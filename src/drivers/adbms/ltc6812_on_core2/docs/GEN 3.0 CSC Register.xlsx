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NeutronControls\ADI\BorgWarner\New_from_John_2026_05_12\"/>
    </mc:Choice>
  </mc:AlternateContent>
  <xr:revisionPtr revIDLastSave="0" documentId="13_ncr:1_{7128445E-A4D9-48F9-AA42-418E51595C51}" xr6:coauthVersionLast="47" xr6:coauthVersionMax="47" xr10:uidLastSave="{00000000-0000-0000-0000-000000000000}"/>
  <bookViews>
    <workbookView xWindow="-110" yWindow="-110" windowWidth="25820" windowHeight="13900" xr2:uid="{68085466-B5AD-4637-96A9-000C34386CDF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0" i="1" l="1"/>
  <c r="G62" i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E61" i="1"/>
  <c r="G43" i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E42" i="1"/>
  <c r="G34" i="1"/>
  <c r="G35" i="1" s="1"/>
  <c r="G36" i="1" s="1"/>
  <c r="G37" i="1" s="1"/>
  <c r="G38" i="1" s="1"/>
  <c r="G39" i="1" s="1"/>
  <c r="G40" i="1" s="1"/>
  <c r="G41" i="1" s="1"/>
  <c r="E33" i="1"/>
  <c r="G25" i="1"/>
  <c r="G26" i="1" s="1"/>
  <c r="G27" i="1" s="1"/>
  <c r="G28" i="1" s="1"/>
  <c r="G29" i="1" s="1"/>
  <c r="G30" i="1" s="1"/>
  <c r="G31" i="1" s="1"/>
  <c r="G32" i="1" s="1"/>
  <c r="E24" i="1"/>
  <c r="G17" i="1"/>
  <c r="G18" i="1" s="1"/>
  <c r="G19" i="1" s="1"/>
  <c r="G20" i="1" s="1"/>
  <c r="G21" i="1" s="1"/>
  <c r="G22" i="1" s="1"/>
  <c r="G23" i="1" s="1"/>
  <c r="C17" i="1"/>
  <c r="C18" i="1" s="1"/>
  <c r="E16" i="1"/>
  <c r="D16" i="1"/>
  <c r="G9" i="1"/>
  <c r="G10" i="1" s="1"/>
  <c r="G11" i="1" s="1"/>
  <c r="G12" i="1" s="1"/>
  <c r="G13" i="1" s="1"/>
  <c r="G14" i="1" s="1"/>
  <c r="G15" i="1" s="1"/>
  <c r="C9" i="1"/>
  <c r="C10" i="1" s="1"/>
  <c r="E8" i="1"/>
  <c r="D8" i="1"/>
  <c r="D17" i="1" l="1"/>
  <c r="D18" i="1"/>
  <c r="C19" i="1"/>
  <c r="C20" i="1" s="1"/>
  <c r="D9" i="1"/>
  <c r="D20" i="1"/>
  <c r="C21" i="1"/>
  <c r="C11" i="1"/>
  <c r="D10" i="1"/>
  <c r="D19" i="1"/>
  <c r="C12" i="1" l="1"/>
  <c r="D11" i="1"/>
  <c r="C22" i="1"/>
  <c r="D21" i="1"/>
  <c r="C23" i="1" l="1"/>
  <c r="D22" i="1"/>
  <c r="D12" i="1"/>
  <c r="C13" i="1"/>
  <c r="C14" i="1" l="1"/>
  <c r="D13" i="1"/>
  <c r="C24" i="1"/>
  <c r="D23" i="1"/>
  <c r="C15" i="1" l="1"/>
  <c r="D15" i="1" s="1"/>
  <c r="D14" i="1"/>
  <c r="D24" i="1"/>
  <c r="C25" i="1"/>
  <c r="C26" i="1" l="1"/>
  <c r="D25" i="1"/>
  <c r="C27" i="1" l="1"/>
  <c r="D26" i="1"/>
  <c r="C28" i="1" l="1"/>
  <c r="D27" i="1"/>
  <c r="D28" i="1" l="1"/>
  <c r="C29" i="1"/>
  <c r="C30" i="1" l="1"/>
  <c r="D29" i="1"/>
  <c r="C31" i="1" l="1"/>
  <c r="D30" i="1"/>
  <c r="C32" i="1" l="1"/>
  <c r="D31" i="1"/>
  <c r="D32" i="1" l="1"/>
  <c r="C33" i="1"/>
  <c r="C34" i="1" l="1"/>
  <c r="D33" i="1"/>
  <c r="C35" i="1" l="1"/>
  <c r="D34" i="1"/>
  <c r="C36" i="1" l="1"/>
  <c r="D35" i="1"/>
  <c r="D36" i="1" l="1"/>
  <c r="C37" i="1"/>
  <c r="C38" i="1" l="1"/>
  <c r="D37" i="1"/>
  <c r="C39" i="1" l="1"/>
  <c r="D38" i="1"/>
  <c r="C40" i="1" l="1"/>
  <c r="D39" i="1"/>
  <c r="D40" i="1" l="1"/>
  <c r="C41" i="1"/>
  <c r="C42" i="1" l="1"/>
  <c r="D41" i="1"/>
  <c r="C43" i="1" l="1"/>
  <c r="D42" i="1"/>
  <c r="C44" i="1" l="1"/>
  <c r="D43" i="1"/>
  <c r="D44" i="1" l="1"/>
  <c r="C45" i="1"/>
  <c r="C46" i="1" l="1"/>
  <c r="D45" i="1"/>
  <c r="C47" i="1" l="1"/>
  <c r="D46" i="1"/>
  <c r="C48" i="1" l="1"/>
  <c r="D47" i="1"/>
  <c r="D48" i="1" l="1"/>
  <c r="C49" i="1"/>
  <c r="C50" i="1" l="1"/>
  <c r="D49" i="1"/>
  <c r="C51" i="1" l="1"/>
  <c r="D50" i="1"/>
  <c r="C52" i="1" l="1"/>
  <c r="D51" i="1"/>
  <c r="D52" i="1" l="1"/>
  <c r="C53" i="1"/>
  <c r="C54" i="1" l="1"/>
  <c r="D53" i="1"/>
  <c r="C55" i="1" l="1"/>
  <c r="D54" i="1"/>
  <c r="C56" i="1" l="1"/>
  <c r="D55" i="1"/>
  <c r="D56" i="1" l="1"/>
  <c r="C57" i="1"/>
  <c r="C58" i="1" l="1"/>
  <c r="D57" i="1"/>
  <c r="C59" i="1" l="1"/>
  <c r="D58" i="1"/>
  <c r="C60" i="1" l="1"/>
  <c r="D59" i="1"/>
  <c r="D60" i="1" l="1"/>
  <c r="C61" i="1"/>
  <c r="C62" i="1" l="1"/>
  <c r="D61" i="1"/>
  <c r="C63" i="1" l="1"/>
  <c r="D62" i="1"/>
  <c r="C64" i="1" l="1"/>
  <c r="D63" i="1"/>
  <c r="D64" i="1" l="1"/>
  <c r="C65" i="1"/>
  <c r="C66" i="1" l="1"/>
  <c r="D65" i="1"/>
  <c r="C67" i="1" l="1"/>
  <c r="D66" i="1"/>
  <c r="C68" i="1" l="1"/>
  <c r="D67" i="1"/>
  <c r="D68" i="1" l="1"/>
  <c r="C69" i="1"/>
  <c r="C70" i="1" l="1"/>
  <c r="D69" i="1"/>
  <c r="C71" i="1" l="1"/>
  <c r="D70" i="1"/>
  <c r="C72" i="1" l="1"/>
  <c r="D71" i="1"/>
  <c r="D72" i="1" l="1"/>
  <c r="C73" i="1"/>
  <c r="C74" i="1" l="1"/>
  <c r="D73" i="1"/>
  <c r="C75" i="1" l="1"/>
  <c r="D74" i="1"/>
  <c r="C76" i="1" l="1"/>
  <c r="D75" i="1"/>
  <c r="D76" i="1" l="1"/>
  <c r="C77" i="1"/>
  <c r="C78" i="1" l="1"/>
  <c r="D77" i="1"/>
  <c r="C79" i="1" l="1"/>
  <c r="D78" i="1"/>
  <c r="C80" i="1" l="1"/>
  <c r="D80" i="1" s="1"/>
  <c r="D79" i="1"/>
</calcChain>
</file>

<file path=xl/sharedStrings.xml><?xml version="1.0" encoding="utf-8"?>
<sst xmlns="http://schemas.openxmlformats.org/spreadsheetml/2006/main" count="251" uniqueCount="129">
  <si>
    <t xml:space="preserve">Communication internal via I²C </t>
  </si>
  <si>
    <t>Measuering values from LCT6812  via isoSPI</t>
  </si>
  <si>
    <t>WRITE</t>
  </si>
  <si>
    <t>READ</t>
  </si>
  <si>
    <t>ISO SPI 1k Byte EEPROM</t>
  </si>
  <si>
    <t>Memory Area</t>
  </si>
  <si>
    <t>Size [byte = 8bit]</t>
  </si>
  <si>
    <t>Offset Address</t>
  </si>
  <si>
    <t>Offset Address in hex</t>
  </si>
  <si>
    <t>Total Size in Byte</t>
  </si>
  <si>
    <t>Description</t>
  </si>
  <si>
    <t>Array index</t>
  </si>
  <si>
    <t>Example values</t>
  </si>
  <si>
    <t xml:space="preserve">Total Memory size in Byte </t>
  </si>
  <si>
    <t>Value</t>
  </si>
  <si>
    <t xml:space="preserve">CSC Chip </t>
  </si>
  <si>
    <t xml:space="preserve">Physical Pin name </t>
  </si>
  <si>
    <t>ID
(ODP)</t>
  </si>
  <si>
    <t>CRC16</t>
  </si>
  <si>
    <t>0x6DA1</t>
  </si>
  <si>
    <t xml:space="preserve">cell temperature L1 </t>
  </si>
  <si>
    <t>AFE0</t>
  </si>
  <si>
    <t>GPIO3</t>
  </si>
  <si>
    <t>cell type (major, Type)</t>
  </si>
  <si>
    <t>cell temperature L2</t>
  </si>
  <si>
    <t>GPIO6</t>
  </si>
  <si>
    <t>cell type (minor, Index/Revision)</t>
  </si>
  <si>
    <t>cell temperature L3</t>
  </si>
  <si>
    <t>GPIO7</t>
  </si>
  <si>
    <t>module type (major, Type)</t>
  </si>
  <si>
    <t>cell temperature L4</t>
  </si>
  <si>
    <t>GPIO8</t>
  </si>
  <si>
    <t>module type (minor, Index/Revision</t>
  </si>
  <si>
    <t>cell temperature L5</t>
  </si>
  <si>
    <t>GPIO9</t>
  </si>
  <si>
    <t>Module serial number(AKASOL)</t>
  </si>
  <si>
    <t>0x4121A60001000080</t>
  </si>
  <si>
    <t>cell temperature R1</t>
  </si>
  <si>
    <t>AFE1</t>
  </si>
  <si>
    <t>PCB type (major, Type)</t>
  </si>
  <si>
    <t>cell temperature R2</t>
  </si>
  <si>
    <t>PCB type (minor, Index/Revision)</t>
  </si>
  <si>
    <t>cell temperature R3</t>
  </si>
  <si>
    <t>ID Backup</t>
  </si>
  <si>
    <t>cell temperature R4</t>
  </si>
  <si>
    <t>cell temperature R5</t>
  </si>
  <si>
    <t>module negative terminal temperature</t>
  </si>
  <si>
    <t>GPIO1</t>
  </si>
  <si>
    <t>module positive terminal temperature</t>
  </si>
  <si>
    <t xml:space="preserve">module negative split temperature </t>
  </si>
  <si>
    <t>GPIO2</t>
  </si>
  <si>
    <t>module positive split temperature</t>
  </si>
  <si>
    <t>cell voltage 1</t>
  </si>
  <si>
    <t>C1</t>
  </si>
  <si>
    <t>Static Area 1</t>
  </si>
  <si>
    <t>CRC32</t>
  </si>
  <si>
    <t>0x8F98A232</t>
  </si>
  <si>
    <t>cell voltage 2</t>
  </si>
  <si>
    <t>C2</t>
  </si>
  <si>
    <t>topology, number of serial cells/module</t>
  </si>
  <si>
    <t>cell voltage 3</t>
  </si>
  <si>
    <t>C3</t>
  </si>
  <si>
    <t>topology, number of parallel cells/module</t>
  </si>
  <si>
    <t>cell voltage 4</t>
  </si>
  <si>
    <t>C4</t>
  </si>
  <si>
    <t>PCB serial number</t>
  </si>
  <si>
    <t>0x0001030405060708</t>
  </si>
  <si>
    <t>cell voltage 5</t>
  </si>
  <si>
    <t>C5</t>
  </si>
  <si>
    <t>IC type (major, Index/Revision)</t>
  </si>
  <si>
    <t>cell voltage 6</t>
  </si>
  <si>
    <t>C6</t>
  </si>
  <si>
    <t>IC type (minor, Type)</t>
  </si>
  <si>
    <t>cell voltage 7</t>
  </si>
  <si>
    <t>C7</t>
  </si>
  <si>
    <t>2nd Life ID (at the beginning it is the pack SN)</t>
  </si>
  <si>
    <t>0x0000000000000000</t>
  </si>
  <si>
    <t>cell voltage 8</t>
  </si>
  <si>
    <t>C8</t>
  </si>
  <si>
    <t>Locking recognition</t>
  </si>
  <si>
    <t>0xc3</t>
  </si>
  <si>
    <t>cell voltage 9</t>
  </si>
  <si>
    <t>C9</t>
  </si>
  <si>
    <t>Reserved for further developments</t>
  </si>
  <si>
    <t>cell voltage 10</t>
  </si>
  <si>
    <t>C10</t>
  </si>
  <si>
    <t>Static Area 2</t>
  </si>
  <si>
    <t>cell voltage 11</t>
  </si>
  <si>
    <t>cell voltage 12</t>
  </si>
  <si>
    <t>cell voltage 13</t>
  </si>
  <si>
    <t>cell voltage 14</t>
  </si>
  <si>
    <t>cell voltage 15</t>
  </si>
  <si>
    <t>cell voltage 16</t>
  </si>
  <si>
    <t>cell voltage 17</t>
  </si>
  <si>
    <t>2nd Life ID state</t>
  </si>
  <si>
    <t>cell voltage 18</t>
  </si>
  <si>
    <t>cell voltage 19</t>
  </si>
  <si>
    <t>Dynamic Area 1</t>
  </si>
  <si>
    <t>0x4E70B86B</t>
  </si>
  <si>
    <t>cell voltage 20</t>
  </si>
  <si>
    <t>counter (for writing data)</t>
  </si>
  <si>
    <t>0x02020304</t>
  </si>
  <si>
    <t>Unique ID (battery pack SN)</t>
  </si>
  <si>
    <t>0x0102010405060708</t>
  </si>
  <si>
    <t>CSC stack voltage</t>
  </si>
  <si>
    <t>AFE0+AFE1</t>
  </si>
  <si>
    <t>V+</t>
  </si>
  <si>
    <t>Time integral of battery alive [h]</t>
  </si>
  <si>
    <t>0x00000000</t>
  </si>
  <si>
    <t>Lifetime Discharge Ah counter [Ah]</t>
  </si>
  <si>
    <t>Counter overvoltage 1 (4,25V)</t>
  </si>
  <si>
    <t>0x00</t>
  </si>
  <si>
    <t>Counter overvoltage 2 (4,3V)</t>
  </si>
  <si>
    <t>Counter undervoltage 1 (2,8V)</t>
  </si>
  <si>
    <t>Counter undervoltage 2 (1,8V)</t>
  </si>
  <si>
    <t>Counter overtemperature 1 (70°C)</t>
  </si>
  <si>
    <t>Counter overtemperature 2 (80°C)</t>
  </si>
  <si>
    <t>Counter Overcurrent discharge 1 (-100A)</t>
  </si>
  <si>
    <t>Counter Overcurrent discharge 2 (-400A)</t>
  </si>
  <si>
    <t>Counter Overcurrent charge 1 (+100A)</t>
  </si>
  <si>
    <t>Counter Overcurrent charge 2 (+240A)</t>
  </si>
  <si>
    <t>Project specific data (deratefac_cp [0.1%])</t>
  </si>
  <si>
    <t>0x0000</t>
  </si>
  <si>
    <t>Project specific data (deratefac_dcp [0.1%])</t>
  </si>
  <si>
    <t>Project specific data (SoH_modulelevel)</t>
  </si>
  <si>
    <t>Dynamic Area 2</t>
  </si>
  <si>
    <t>Rest</t>
  </si>
  <si>
    <t>Rest of storage, due to the requirement that areas should start with a multiple of 16</t>
  </si>
  <si>
    <t xml:space="preserve">Temperature characteristic curve 3.0 equals 3.3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</si>
</sst>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9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4" xfId="0" applyBorder="1"/>
    <xf numFmtId="0" fontId="0" fillId="3" borderId="4" xfId="0" applyFill="1" applyBorder="1"/>
    <xf numFmtId="0" fontId="0" fillId="6" borderId="4" xfId="0" applyFill="1" applyBorder="1"/>
    <xf numFmtId="1" fontId="0" fillId="0" borderId="4" xfId="0" applyNumberFormat="1" applyBorder="1" applyAlignment="1">
      <alignment horizontal="center" vertical="center"/>
    </xf>
    <xf numFmtId="0" fontId="0" fillId="0" borderId="6" xfId="0" applyBorder="1"/>
    <xf numFmtId="0" fontId="0" fillId="3" borderId="6" xfId="0" applyFill="1" applyBorder="1"/>
    <xf numFmtId="0" fontId="0" fillId="6" borderId="6" xfId="0" applyFill="1" applyBorder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7" borderId="0" xfId="0" applyFill="1"/>
    <xf numFmtId="0" fontId="0" fillId="8" borderId="0" xfId="0" applyFill="1"/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 wrapText="1"/>
    </xf>
    <xf numFmtId="0" fontId="0" fillId="5" borderId="4" xfId="0" applyFill="1" applyBorder="1"/>
    <xf numFmtId="0" fontId="0" fillId="0" borderId="5" xfId="0" applyBorder="1" applyAlignment="1">
      <alignment wrapText="1"/>
    </xf>
    <xf numFmtId="0" fontId="0" fillId="5" borderId="0" xfId="0" applyFill="1" applyAlignment="1">
      <alignment vertical="center"/>
    </xf>
    <xf numFmtId="0" fontId="0" fillId="5" borderId="6" xfId="0" applyFill="1" applyBorder="1" applyAlignment="1">
      <alignment vertical="center"/>
    </xf>
    <xf numFmtId="0" fontId="0" fillId="5" borderId="6" xfId="0" applyFill="1" applyBorder="1"/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7" xfId="0" applyBorder="1" applyAlignment="1">
      <alignment wrapText="1"/>
    </xf>
    <xf numFmtId="0" fontId="0" fillId="5" borderId="4" xfId="0" applyFill="1" applyBorder="1" applyAlignment="1">
      <alignment wrapText="1"/>
    </xf>
    <xf numFmtId="0" fontId="0" fillId="0" borderId="5" xfId="0" applyBorder="1"/>
    <xf numFmtId="0" fontId="0" fillId="5" borderId="6" xfId="0" applyFill="1" applyBorder="1" applyAlignment="1">
      <alignment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1" fontId="0" fillId="0" borderId="4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4" xfId="0" applyBorder="1" applyAlignment="1">
      <alignment wrapText="1"/>
    </xf>
    <xf numFmtId="0" fontId="0" fillId="0" borderId="8" xfId="0" applyBorder="1"/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2" fillId="2" borderId="12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2" fillId="0" borderId="0" xfId="0" applyFont="1"/>
    <xf numFmtId="0" fontId="4" fillId="0" borderId="0" xfId="0" applyFont="1" applyAlignment="1">
      <alignment vertical="center" wrapText="1"/>
    </xf>
    <xf numFmtId="0" fontId="5" fillId="0" borderId="0" xfId="1" applyFill="1" applyBorder="1" applyAlignment="1">
      <alignment vertical="center" wrapText="1"/>
    </xf>
    <xf numFmtId="11" fontId="4" fillId="0" borderId="0" xfId="0" applyNumberFormat="1" applyFont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9" borderId="9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1" fontId="0" fillId="0" borderId="0" xfId="0" applyNumberFormat="1" applyAlignment="1">
      <alignment horizontal="center" vertical="center" wrapText="1"/>
    </xf>
    <xf numFmtId="1" fontId="0" fillId="0" borderId="6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11" fontId="4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17295-55C2-43F1-9E88-EA71B83233FE}">
  <dimension ref="A1:AM80"/>
  <sheetViews>
    <sheetView tabSelected="1" zoomScale="85" zoomScaleNormal="85" workbookViewId="0">
      <selection activeCell="P7" sqref="P7"/>
    </sheetView>
  </sheetViews>
  <sheetFormatPr defaultColWidth="11.453125" defaultRowHeight="14.5" x14ac:dyDescent="0.35"/>
  <cols>
    <col min="6" max="6" width="27.1796875" customWidth="1"/>
    <col min="12" max="12" width="25.453125" customWidth="1"/>
    <col min="13" max="13" width="13.7265625" customWidth="1"/>
    <col min="14" max="14" width="20.81640625" customWidth="1"/>
  </cols>
  <sheetData>
    <row r="1" spans="1:39" ht="15" thickBot="1" x14ac:dyDescent="0.4"/>
    <row r="2" spans="1:39" ht="15" thickBot="1" x14ac:dyDescent="0.4">
      <c r="A2" s="61" t="s">
        <v>0</v>
      </c>
      <c r="B2" s="62"/>
      <c r="C2" s="63"/>
      <c r="L2" s="61" t="s">
        <v>1</v>
      </c>
      <c r="M2" s="62"/>
      <c r="N2" s="63"/>
    </row>
    <row r="3" spans="1:39" ht="15.5" x14ac:dyDescent="0.35">
      <c r="A3" t="s">
        <v>2</v>
      </c>
      <c r="L3" t="s">
        <v>3</v>
      </c>
      <c r="Q3" s="86"/>
      <c r="R3" s="86"/>
      <c r="S3" s="86"/>
      <c r="T3" s="86"/>
      <c r="U3" s="86"/>
      <c r="V3" s="86"/>
      <c r="W3" s="86"/>
      <c r="X3" s="45"/>
      <c r="Y3" s="46"/>
      <c r="Z3" s="47"/>
      <c r="AA3" s="48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</row>
    <row r="4" spans="1:39" x14ac:dyDescent="0.35">
      <c r="Q4" s="47"/>
      <c r="R4" s="47"/>
      <c r="S4" s="47"/>
      <c r="T4" s="47"/>
      <c r="U4" s="47"/>
      <c r="V4" s="47"/>
      <c r="W4" s="47"/>
      <c r="X4" s="47"/>
      <c r="Y4" s="46"/>
      <c r="Z4" s="47"/>
      <c r="AA4" s="48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</row>
    <row r="5" spans="1:39" ht="15.5" x14ac:dyDescent="0.35">
      <c r="A5" s="69" t="s">
        <v>4</v>
      </c>
      <c r="B5" s="70"/>
      <c r="C5" s="70"/>
      <c r="D5" s="70"/>
      <c r="E5" s="70"/>
      <c r="F5" s="71"/>
      <c r="L5" t="s">
        <v>128</v>
      </c>
      <c r="Q5" s="47"/>
      <c r="R5" s="47"/>
      <c r="S5" s="47"/>
      <c r="T5" s="47"/>
      <c r="U5" s="47"/>
      <c r="V5" s="47"/>
      <c r="W5" s="47"/>
      <c r="X5" s="47"/>
      <c r="Y5" s="46"/>
      <c r="Z5" s="47"/>
      <c r="AA5" s="48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</row>
    <row r="6" spans="1:39" x14ac:dyDescent="0.35">
      <c r="Q6" s="47"/>
      <c r="R6" s="47"/>
      <c r="S6" s="47"/>
      <c r="T6" s="47"/>
      <c r="U6" s="47"/>
      <c r="V6" s="47"/>
      <c r="W6" s="47"/>
      <c r="X6" s="47"/>
      <c r="Y6" s="46"/>
      <c r="Z6" s="47"/>
      <c r="AA6" s="48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</row>
    <row r="7" spans="1:39" ht="43.5" x14ac:dyDescent="0.35">
      <c r="A7" s="35" t="s">
        <v>5</v>
      </c>
      <c r="B7" s="36" t="s">
        <v>6</v>
      </c>
      <c r="C7" s="36" t="s">
        <v>7</v>
      </c>
      <c r="D7" s="36" t="s">
        <v>8</v>
      </c>
      <c r="E7" s="36" t="s">
        <v>9</v>
      </c>
      <c r="F7" s="37" t="s">
        <v>10</v>
      </c>
      <c r="G7" s="36" t="s">
        <v>11</v>
      </c>
      <c r="H7" s="36" t="s">
        <v>12</v>
      </c>
      <c r="I7" s="38" t="s">
        <v>13</v>
      </c>
      <c r="L7" s="44" t="s">
        <v>14</v>
      </c>
      <c r="M7" s="44" t="s">
        <v>15</v>
      </c>
      <c r="N7" s="39" t="s">
        <v>16</v>
      </c>
      <c r="Q7" s="49"/>
      <c r="R7" s="49"/>
      <c r="S7" s="49"/>
      <c r="T7" s="49"/>
      <c r="U7" s="49"/>
      <c r="V7" s="49"/>
      <c r="W7" s="50"/>
      <c r="X7" s="50"/>
      <c r="Y7" s="50"/>
      <c r="Z7" s="50"/>
      <c r="AA7" s="49"/>
      <c r="AB7" s="50"/>
      <c r="AC7" s="50"/>
      <c r="AD7" s="50"/>
      <c r="AE7" s="51"/>
      <c r="AF7" s="47"/>
      <c r="AG7" s="47"/>
      <c r="AH7" s="47"/>
      <c r="AI7" s="47"/>
      <c r="AJ7" s="47"/>
      <c r="AK7" s="47"/>
      <c r="AL7" s="47"/>
      <c r="AM7" s="47"/>
    </row>
    <row r="8" spans="1:39" ht="156" customHeight="1" x14ac:dyDescent="0.35">
      <c r="A8" s="59" t="s">
        <v>17</v>
      </c>
      <c r="B8">
        <v>2</v>
      </c>
      <c r="C8">
        <v>0</v>
      </c>
      <c r="D8" t="str">
        <f>"0x"&amp;DEC2HEX(C8,4)</f>
        <v>0x0000</v>
      </c>
      <c r="E8" s="72">
        <f>SUM(B8:B15)</f>
        <v>16</v>
      </c>
      <c r="F8" s="1" t="s">
        <v>18</v>
      </c>
      <c r="G8">
        <v>0</v>
      </c>
      <c r="H8" t="s">
        <v>19</v>
      </c>
      <c r="I8" s="72">
        <v>16</v>
      </c>
      <c r="L8" s="40" t="s">
        <v>20</v>
      </c>
      <c r="M8" s="40" t="s">
        <v>21</v>
      </c>
      <c r="N8" s="42" t="s">
        <v>22</v>
      </c>
      <c r="Q8" s="85"/>
      <c r="R8" s="52"/>
      <c r="S8" s="87"/>
      <c r="T8" s="87"/>
      <c r="U8" s="82"/>
      <c r="V8" s="85"/>
      <c r="W8" s="82"/>
      <c r="X8" s="82"/>
      <c r="Y8" s="82"/>
      <c r="Z8" s="82"/>
      <c r="AA8" s="52"/>
      <c r="AB8" s="85"/>
      <c r="AC8" s="79"/>
      <c r="AD8" s="52"/>
      <c r="AE8" s="80"/>
      <c r="AF8" s="53"/>
      <c r="AG8" s="53"/>
      <c r="AH8" s="53"/>
      <c r="AI8" s="47"/>
      <c r="AJ8" s="85"/>
      <c r="AK8" s="85"/>
      <c r="AL8" s="85"/>
      <c r="AM8" s="85"/>
    </row>
    <row r="9" spans="1:39" ht="44.15" customHeight="1" x14ac:dyDescent="0.35">
      <c r="A9" s="59"/>
      <c r="B9">
        <v>1</v>
      </c>
      <c r="C9">
        <f>C8+B8</f>
        <v>2</v>
      </c>
      <c r="D9" t="str">
        <f t="shared" ref="D9:D72" si="0">"0x"&amp;DEC2HEX(C9,4)</f>
        <v>0x0002</v>
      </c>
      <c r="E9" s="72"/>
      <c r="F9" s="1" t="s">
        <v>23</v>
      </c>
      <c r="G9">
        <f t="shared" ref="G9:G15" si="1">G8+B8</f>
        <v>2</v>
      </c>
      <c r="H9" s="2">
        <v>36</v>
      </c>
      <c r="I9" s="72"/>
      <c r="L9" s="40" t="s">
        <v>24</v>
      </c>
      <c r="M9" s="40" t="s">
        <v>21</v>
      </c>
      <c r="N9" s="42" t="s">
        <v>25</v>
      </c>
      <c r="Q9" s="85"/>
      <c r="R9" s="52"/>
      <c r="S9" s="87"/>
      <c r="T9" s="87"/>
      <c r="U9" s="82"/>
      <c r="V9" s="85"/>
      <c r="W9" s="82"/>
      <c r="X9" s="82"/>
      <c r="Y9" s="82"/>
      <c r="Z9" s="82"/>
      <c r="AA9" s="52"/>
      <c r="AB9" s="85"/>
      <c r="AC9" s="79"/>
      <c r="AD9" s="52"/>
      <c r="AE9" s="80"/>
      <c r="AF9" s="53"/>
      <c r="AG9" s="53"/>
      <c r="AH9" s="53"/>
      <c r="AI9" s="47"/>
      <c r="AJ9" s="85"/>
      <c r="AK9" s="85"/>
      <c r="AL9" s="85"/>
      <c r="AM9" s="85"/>
    </row>
    <row r="10" spans="1:39" x14ac:dyDescent="0.35">
      <c r="A10" s="59"/>
      <c r="B10">
        <v>1</v>
      </c>
      <c r="C10">
        <f t="shared" ref="C10:C15" si="2">C9+B9</f>
        <v>3</v>
      </c>
      <c r="D10" t="str">
        <f t="shared" si="0"/>
        <v>0x0003</v>
      </c>
      <c r="E10" s="72"/>
      <c r="F10" s="1" t="s">
        <v>26</v>
      </c>
      <c r="G10">
        <f t="shared" si="1"/>
        <v>3</v>
      </c>
      <c r="H10" s="2">
        <v>0</v>
      </c>
      <c r="I10" s="72"/>
      <c r="L10" s="40" t="s">
        <v>27</v>
      </c>
      <c r="M10" s="40" t="s">
        <v>21</v>
      </c>
      <c r="N10" s="42" t="s">
        <v>28</v>
      </c>
      <c r="Q10" s="85"/>
      <c r="R10" s="52"/>
      <c r="S10" s="87"/>
      <c r="T10" s="87"/>
      <c r="U10" s="82"/>
      <c r="V10" s="85"/>
      <c r="W10" s="82"/>
      <c r="X10" s="82"/>
      <c r="Y10" s="82"/>
      <c r="Z10" s="82"/>
      <c r="AA10" s="52"/>
      <c r="AB10" s="85"/>
      <c r="AC10" s="79"/>
      <c r="AD10" s="52"/>
      <c r="AE10" s="80"/>
      <c r="AF10" s="53"/>
      <c r="AG10" s="53"/>
      <c r="AH10" s="53"/>
      <c r="AI10" s="47"/>
      <c r="AJ10" s="85"/>
      <c r="AK10" s="85"/>
      <c r="AL10" s="85"/>
      <c r="AM10" s="85"/>
    </row>
    <row r="11" spans="1:39" x14ac:dyDescent="0.35">
      <c r="A11" s="59"/>
      <c r="B11">
        <v>1</v>
      </c>
      <c r="C11">
        <f t="shared" si="2"/>
        <v>4</v>
      </c>
      <c r="D11" t="str">
        <f t="shared" si="0"/>
        <v>0x0004</v>
      </c>
      <c r="E11" s="72"/>
      <c r="F11" s="1" t="s">
        <v>29</v>
      </c>
      <c r="G11">
        <f t="shared" si="1"/>
        <v>4</v>
      </c>
      <c r="H11" s="3">
        <v>3</v>
      </c>
      <c r="I11" s="72"/>
      <c r="L11" s="40" t="s">
        <v>30</v>
      </c>
      <c r="M11" s="40" t="s">
        <v>21</v>
      </c>
      <c r="N11" s="42" t="s">
        <v>31</v>
      </c>
      <c r="Q11" s="85"/>
      <c r="R11" s="52"/>
      <c r="S11" s="87"/>
      <c r="T11" s="87"/>
      <c r="U11" s="82"/>
      <c r="V11" s="85"/>
      <c r="W11" s="82"/>
      <c r="X11" s="82"/>
      <c r="Y11" s="82"/>
      <c r="Z11" s="82"/>
      <c r="AA11" s="52"/>
      <c r="AB11" s="85"/>
      <c r="AC11" s="79"/>
      <c r="AD11" s="52"/>
      <c r="AE11" s="80"/>
      <c r="AF11" s="54"/>
      <c r="AG11" s="53"/>
      <c r="AH11" s="53"/>
      <c r="AI11" s="47"/>
      <c r="AJ11" s="85"/>
      <c r="AK11" s="85"/>
      <c r="AL11" s="85"/>
      <c r="AM11" s="85"/>
    </row>
    <row r="12" spans="1:39" ht="44.15" customHeight="1" x14ac:dyDescent="0.35">
      <c r="A12" s="59"/>
      <c r="B12">
        <v>1</v>
      </c>
      <c r="C12">
        <f t="shared" si="2"/>
        <v>5</v>
      </c>
      <c r="D12" t="str">
        <f t="shared" si="0"/>
        <v>0x0005</v>
      </c>
      <c r="E12" s="72"/>
      <c r="F12" s="1" t="s">
        <v>32</v>
      </c>
      <c r="G12">
        <f t="shared" si="1"/>
        <v>5</v>
      </c>
      <c r="H12" s="3">
        <v>2</v>
      </c>
      <c r="I12" s="72"/>
      <c r="L12" s="40" t="s">
        <v>33</v>
      </c>
      <c r="M12" s="40" t="s">
        <v>21</v>
      </c>
      <c r="N12" s="42" t="s">
        <v>34</v>
      </c>
      <c r="Q12" s="85"/>
      <c r="R12" s="52"/>
      <c r="S12" s="78"/>
      <c r="T12" s="78"/>
      <c r="U12" s="78"/>
      <c r="V12" s="85"/>
      <c r="W12" s="78"/>
      <c r="X12" s="78"/>
      <c r="Y12" s="82"/>
      <c r="Z12" s="78"/>
      <c r="AA12" s="85"/>
      <c r="AB12" s="78"/>
      <c r="AC12" s="84"/>
      <c r="AD12" s="52"/>
      <c r="AE12" s="88"/>
      <c r="AF12" s="81"/>
      <c r="AG12" s="81"/>
      <c r="AH12" s="81"/>
      <c r="AI12" s="81"/>
      <c r="AJ12" s="81"/>
      <c r="AK12" s="81"/>
      <c r="AL12" s="81"/>
      <c r="AM12" s="81"/>
    </row>
    <row r="13" spans="1:39" ht="29.15" customHeight="1" x14ac:dyDescent="0.35">
      <c r="A13" s="59"/>
      <c r="B13">
        <v>8</v>
      </c>
      <c r="C13">
        <f t="shared" si="2"/>
        <v>6</v>
      </c>
      <c r="D13" t="str">
        <f t="shared" si="0"/>
        <v>0x0006</v>
      </c>
      <c r="E13" s="72"/>
      <c r="F13" s="1" t="s">
        <v>35</v>
      </c>
      <c r="G13">
        <f t="shared" si="1"/>
        <v>6</v>
      </c>
      <c r="H13" t="s">
        <v>36</v>
      </c>
      <c r="I13" s="72"/>
      <c r="L13" s="40" t="s">
        <v>37</v>
      </c>
      <c r="M13" s="40" t="s">
        <v>38</v>
      </c>
      <c r="N13" s="42" t="s">
        <v>22</v>
      </c>
      <c r="Q13" s="85"/>
      <c r="R13" s="52"/>
      <c r="S13" s="78"/>
      <c r="T13" s="78"/>
      <c r="U13" s="78"/>
      <c r="V13" s="85"/>
      <c r="W13" s="78"/>
      <c r="X13" s="78"/>
      <c r="Y13" s="82"/>
      <c r="Z13" s="78"/>
      <c r="AA13" s="85"/>
      <c r="AB13" s="78"/>
      <c r="AC13" s="84"/>
      <c r="AD13" s="52"/>
      <c r="AE13" s="88"/>
      <c r="AF13" s="81"/>
      <c r="AG13" s="81"/>
      <c r="AH13" s="81"/>
      <c r="AI13" s="81"/>
      <c r="AJ13" s="81"/>
      <c r="AK13" s="81"/>
      <c r="AL13" s="81"/>
      <c r="AM13" s="81"/>
    </row>
    <row r="14" spans="1:39" ht="146.15" customHeight="1" x14ac:dyDescent="0.35">
      <c r="A14" s="59"/>
      <c r="B14">
        <v>1</v>
      </c>
      <c r="C14">
        <f t="shared" si="2"/>
        <v>14</v>
      </c>
      <c r="D14" t="str">
        <f t="shared" si="0"/>
        <v>0x000E</v>
      </c>
      <c r="E14" s="72"/>
      <c r="F14" s="1" t="s">
        <v>39</v>
      </c>
      <c r="G14">
        <f t="shared" si="1"/>
        <v>14</v>
      </c>
      <c r="H14" s="4">
        <v>2</v>
      </c>
      <c r="I14" s="72"/>
      <c r="L14" s="40" t="s">
        <v>40</v>
      </c>
      <c r="M14" s="40" t="s">
        <v>38</v>
      </c>
      <c r="N14" s="42" t="s">
        <v>25</v>
      </c>
      <c r="Q14" s="85"/>
      <c r="R14" s="52"/>
      <c r="S14" s="87"/>
      <c r="T14" s="87"/>
      <c r="U14" s="82"/>
      <c r="V14" s="85"/>
      <c r="W14" s="82"/>
      <c r="X14" s="82"/>
      <c r="Y14" s="82"/>
      <c r="Z14" s="82"/>
      <c r="AA14" s="52"/>
      <c r="AB14" s="85"/>
      <c r="AC14" s="79"/>
      <c r="AD14" s="52"/>
      <c r="AE14" s="80"/>
      <c r="AF14" s="53"/>
      <c r="AG14" s="53"/>
      <c r="AH14" s="53"/>
      <c r="AI14" s="47"/>
      <c r="AJ14" s="85"/>
      <c r="AK14" s="85"/>
      <c r="AL14" s="85"/>
      <c r="AM14" s="85"/>
    </row>
    <row r="15" spans="1:39" ht="44.15" customHeight="1" x14ac:dyDescent="0.35">
      <c r="A15" s="67"/>
      <c r="B15" s="5">
        <v>1</v>
      </c>
      <c r="C15" s="5">
        <f t="shared" si="2"/>
        <v>15</v>
      </c>
      <c r="D15" s="5" t="str">
        <f t="shared" si="0"/>
        <v>0x000F</v>
      </c>
      <c r="E15" s="72"/>
      <c r="F15" s="6" t="s">
        <v>41</v>
      </c>
      <c r="G15" s="5">
        <f t="shared" si="1"/>
        <v>15</v>
      </c>
      <c r="H15" s="7">
        <v>2</v>
      </c>
      <c r="I15" s="73"/>
      <c r="L15" s="40" t="s">
        <v>42</v>
      </c>
      <c r="M15" s="40" t="s">
        <v>38</v>
      </c>
      <c r="N15" s="42" t="s">
        <v>28</v>
      </c>
      <c r="Q15" s="85"/>
      <c r="R15" s="52"/>
      <c r="S15" s="87"/>
      <c r="T15" s="87"/>
      <c r="U15" s="82"/>
      <c r="V15" s="85"/>
      <c r="W15" s="82"/>
      <c r="X15" s="82"/>
      <c r="Y15" s="82"/>
      <c r="Z15" s="82"/>
      <c r="AA15" s="52"/>
      <c r="AB15" s="85"/>
      <c r="AC15" s="79"/>
      <c r="AD15" s="52"/>
      <c r="AE15" s="80"/>
      <c r="AF15" s="53"/>
      <c r="AG15" s="53"/>
      <c r="AH15" s="53"/>
      <c r="AI15" s="47"/>
      <c r="AJ15" s="85"/>
      <c r="AK15" s="85"/>
      <c r="AL15" s="85"/>
      <c r="AM15" s="85"/>
    </row>
    <row r="16" spans="1:39" ht="29.15" customHeight="1" x14ac:dyDescent="0.35">
      <c r="A16" s="59" t="s">
        <v>43</v>
      </c>
      <c r="B16">
        <v>2</v>
      </c>
      <c r="C16">
        <v>0</v>
      </c>
      <c r="D16" t="str">
        <f t="shared" si="0"/>
        <v>0x0000</v>
      </c>
      <c r="E16" s="74">
        <f>SUM(B16:B23)</f>
        <v>16</v>
      </c>
      <c r="F16" s="1" t="s">
        <v>18</v>
      </c>
      <c r="G16">
        <v>0</v>
      </c>
      <c r="H16" t="s">
        <v>19</v>
      </c>
      <c r="I16" s="68">
        <v>1024</v>
      </c>
      <c r="L16" s="40" t="s">
        <v>44</v>
      </c>
      <c r="M16" s="40" t="s">
        <v>38</v>
      </c>
      <c r="N16" s="42" t="s">
        <v>31</v>
      </c>
      <c r="Q16" s="85"/>
      <c r="R16" s="52"/>
      <c r="S16" s="87"/>
      <c r="T16" s="87"/>
      <c r="U16" s="82"/>
      <c r="V16" s="85"/>
      <c r="W16" s="82"/>
      <c r="X16" s="82"/>
      <c r="Y16" s="82"/>
      <c r="Z16" s="82"/>
      <c r="AA16" s="52"/>
      <c r="AB16" s="85"/>
      <c r="AC16" s="79"/>
      <c r="AD16" s="52"/>
      <c r="AE16" s="80"/>
      <c r="AF16" s="53"/>
      <c r="AG16" s="53"/>
      <c r="AH16" s="53"/>
      <c r="AI16" s="47"/>
      <c r="AJ16" s="85"/>
      <c r="AK16" s="85"/>
      <c r="AL16" s="85"/>
      <c r="AM16" s="85"/>
    </row>
    <row r="17" spans="1:39" x14ac:dyDescent="0.35">
      <c r="A17" s="59"/>
      <c r="B17">
        <v>1</v>
      </c>
      <c r="C17">
        <f>C16+B16</f>
        <v>2</v>
      </c>
      <c r="D17" t="str">
        <f t="shared" si="0"/>
        <v>0x0002</v>
      </c>
      <c r="E17" s="72"/>
      <c r="F17" s="1" t="s">
        <v>23</v>
      </c>
      <c r="G17">
        <f t="shared" ref="G17:G23" si="3">G16+B16</f>
        <v>2</v>
      </c>
      <c r="H17" s="2">
        <v>36</v>
      </c>
      <c r="I17" s="64"/>
      <c r="L17" s="40" t="s">
        <v>45</v>
      </c>
      <c r="M17" s="40" t="s">
        <v>38</v>
      </c>
      <c r="N17" s="42" t="s">
        <v>34</v>
      </c>
      <c r="Q17" s="85"/>
      <c r="R17" s="52"/>
      <c r="S17" s="87"/>
      <c r="T17" s="87"/>
      <c r="U17" s="82"/>
      <c r="V17" s="85"/>
      <c r="W17" s="82"/>
      <c r="X17" s="82"/>
      <c r="Y17" s="82"/>
      <c r="Z17" s="82"/>
      <c r="AA17" s="52"/>
      <c r="AB17" s="85"/>
      <c r="AC17" s="79"/>
      <c r="AD17" s="52"/>
      <c r="AE17" s="80"/>
      <c r="AF17" s="54"/>
      <c r="AG17" s="53"/>
      <c r="AH17" s="53"/>
      <c r="AI17" s="47"/>
      <c r="AJ17" s="85"/>
      <c r="AK17" s="85"/>
      <c r="AL17" s="85"/>
      <c r="AM17" s="85"/>
    </row>
    <row r="18" spans="1:39" ht="44.15" customHeight="1" x14ac:dyDescent="0.35">
      <c r="A18" s="59"/>
      <c r="B18">
        <v>1</v>
      </c>
      <c r="C18">
        <f t="shared" ref="C18:C23" si="4">C17+B17</f>
        <v>3</v>
      </c>
      <c r="D18" t="str">
        <f t="shared" si="0"/>
        <v>0x0003</v>
      </c>
      <c r="E18" s="72"/>
      <c r="F18" s="1" t="s">
        <v>26</v>
      </c>
      <c r="G18">
        <f t="shared" si="3"/>
        <v>3</v>
      </c>
      <c r="H18" s="2">
        <v>0</v>
      </c>
      <c r="I18" s="64"/>
      <c r="L18" s="40" t="s">
        <v>46</v>
      </c>
      <c r="M18" s="40" t="s">
        <v>21</v>
      </c>
      <c r="N18" s="42" t="s">
        <v>47</v>
      </c>
      <c r="Q18" s="85"/>
      <c r="R18" s="52"/>
      <c r="S18" s="78"/>
      <c r="T18" s="78"/>
      <c r="U18" s="78"/>
      <c r="V18" s="85"/>
      <c r="W18" s="78"/>
      <c r="X18" s="78"/>
      <c r="Y18" s="82"/>
      <c r="Z18" s="78"/>
      <c r="AA18" s="85"/>
      <c r="AB18" s="78"/>
      <c r="AC18" s="84"/>
      <c r="AD18" s="52"/>
      <c r="AE18" s="88"/>
      <c r="AF18" s="81"/>
      <c r="AG18" s="81"/>
      <c r="AH18" s="81"/>
      <c r="AI18" s="81"/>
      <c r="AJ18" s="81"/>
      <c r="AK18" s="81"/>
      <c r="AL18" s="81"/>
      <c r="AM18" s="81"/>
    </row>
    <row r="19" spans="1:39" ht="29.15" customHeight="1" x14ac:dyDescent="0.35">
      <c r="A19" s="59"/>
      <c r="B19">
        <v>1</v>
      </c>
      <c r="C19">
        <f t="shared" si="4"/>
        <v>4</v>
      </c>
      <c r="D19" t="str">
        <f t="shared" si="0"/>
        <v>0x0004</v>
      </c>
      <c r="E19" s="72"/>
      <c r="F19" s="1" t="s">
        <v>29</v>
      </c>
      <c r="G19">
        <f t="shared" si="3"/>
        <v>4</v>
      </c>
      <c r="H19" s="3">
        <v>3</v>
      </c>
      <c r="I19" s="64"/>
      <c r="L19" s="40" t="s">
        <v>48</v>
      </c>
      <c r="M19" s="40" t="s">
        <v>38</v>
      </c>
      <c r="N19" s="42" t="s">
        <v>47</v>
      </c>
      <c r="Q19" s="85"/>
      <c r="R19" s="52"/>
      <c r="S19" s="78"/>
      <c r="T19" s="78"/>
      <c r="U19" s="78"/>
      <c r="V19" s="85"/>
      <c r="W19" s="78"/>
      <c r="X19" s="78"/>
      <c r="Y19" s="82"/>
      <c r="Z19" s="78"/>
      <c r="AA19" s="85"/>
      <c r="AB19" s="78"/>
      <c r="AC19" s="84"/>
      <c r="AD19" s="52"/>
      <c r="AE19" s="88"/>
      <c r="AF19" s="81"/>
      <c r="AG19" s="81"/>
      <c r="AH19" s="81"/>
      <c r="AI19" s="81"/>
      <c r="AJ19" s="81"/>
      <c r="AK19" s="81"/>
      <c r="AL19" s="81"/>
      <c r="AM19" s="81"/>
    </row>
    <row r="20" spans="1:39" ht="136" customHeight="1" x14ac:dyDescent="0.35">
      <c r="A20" s="59"/>
      <c r="B20">
        <v>1</v>
      </c>
      <c r="C20">
        <f t="shared" si="4"/>
        <v>5</v>
      </c>
      <c r="D20" t="str">
        <f t="shared" si="0"/>
        <v>0x0005</v>
      </c>
      <c r="E20" s="72"/>
      <c r="F20" s="1" t="s">
        <v>32</v>
      </c>
      <c r="G20">
        <f t="shared" si="3"/>
        <v>5</v>
      </c>
      <c r="H20" s="3">
        <v>2</v>
      </c>
      <c r="I20" s="64"/>
      <c r="L20" s="40" t="s">
        <v>49</v>
      </c>
      <c r="M20" s="40" t="s">
        <v>21</v>
      </c>
      <c r="N20" s="42" t="s">
        <v>50</v>
      </c>
      <c r="Q20" s="85"/>
      <c r="R20" s="85"/>
      <c r="S20" s="87"/>
      <c r="T20" s="87"/>
      <c r="U20" s="82"/>
      <c r="V20" s="85"/>
      <c r="W20" s="82"/>
      <c r="X20" s="82"/>
      <c r="Y20" s="82"/>
      <c r="Z20" s="82"/>
      <c r="AA20" s="52"/>
      <c r="AB20" s="85"/>
      <c r="AC20" s="79"/>
      <c r="AD20" s="52"/>
      <c r="AE20" s="80"/>
      <c r="AF20" s="53"/>
      <c r="AG20" s="53"/>
      <c r="AH20" s="53"/>
      <c r="AI20" s="47"/>
      <c r="AJ20" s="85"/>
      <c r="AK20" s="85"/>
      <c r="AL20" s="85"/>
      <c r="AM20" s="85"/>
    </row>
    <row r="21" spans="1:39" ht="44.15" customHeight="1" x14ac:dyDescent="0.35">
      <c r="A21" s="59"/>
      <c r="B21">
        <v>8</v>
      </c>
      <c r="C21">
        <f t="shared" si="4"/>
        <v>6</v>
      </c>
      <c r="D21" t="str">
        <f t="shared" si="0"/>
        <v>0x0006</v>
      </c>
      <c r="E21" s="72"/>
      <c r="F21" s="1" t="s">
        <v>35</v>
      </c>
      <c r="G21">
        <f t="shared" si="3"/>
        <v>6</v>
      </c>
      <c r="H21" t="s">
        <v>36</v>
      </c>
      <c r="I21" s="64"/>
      <c r="L21" s="40" t="s">
        <v>51</v>
      </c>
      <c r="M21" s="40" t="s">
        <v>38</v>
      </c>
      <c r="N21" s="42" t="s">
        <v>50</v>
      </c>
      <c r="Q21" s="85"/>
      <c r="R21" s="85"/>
      <c r="S21" s="87"/>
      <c r="T21" s="87"/>
      <c r="U21" s="82"/>
      <c r="V21" s="85"/>
      <c r="W21" s="82"/>
      <c r="X21" s="82"/>
      <c r="Y21" s="82"/>
      <c r="Z21" s="82"/>
      <c r="AA21" s="52"/>
      <c r="AB21" s="85"/>
      <c r="AC21" s="79"/>
      <c r="AD21" s="52"/>
      <c r="AE21" s="80"/>
      <c r="AF21" s="53"/>
      <c r="AG21" s="53"/>
      <c r="AH21" s="53"/>
      <c r="AI21" s="47"/>
      <c r="AJ21" s="85"/>
      <c r="AK21" s="85"/>
      <c r="AL21" s="85"/>
      <c r="AM21" s="85"/>
    </row>
    <row r="22" spans="1:39" ht="29.15" customHeight="1" x14ac:dyDescent="0.35">
      <c r="A22" s="59"/>
      <c r="B22">
        <v>1</v>
      </c>
      <c r="C22">
        <f t="shared" si="4"/>
        <v>14</v>
      </c>
      <c r="D22" t="str">
        <f t="shared" si="0"/>
        <v>0x000E</v>
      </c>
      <c r="E22" s="72"/>
      <c r="F22" s="1" t="s">
        <v>39</v>
      </c>
      <c r="G22">
        <f t="shared" si="3"/>
        <v>14</v>
      </c>
      <c r="H22" s="4">
        <v>2</v>
      </c>
      <c r="I22" s="64"/>
      <c r="L22" s="40"/>
      <c r="M22" s="40"/>
      <c r="N22" s="43"/>
      <c r="Q22" s="85"/>
      <c r="R22" s="85"/>
      <c r="S22" s="87"/>
      <c r="T22" s="87"/>
      <c r="U22" s="82"/>
      <c r="V22" s="85"/>
      <c r="W22" s="82"/>
      <c r="X22" s="82"/>
      <c r="Y22" s="82"/>
      <c r="Z22" s="82"/>
      <c r="AA22" s="52"/>
      <c r="AB22" s="85"/>
      <c r="AC22" s="79"/>
      <c r="AD22" s="52"/>
      <c r="AE22" s="80"/>
      <c r="AF22" s="53"/>
      <c r="AG22" s="53"/>
      <c r="AH22" s="53"/>
      <c r="AI22" s="47"/>
      <c r="AJ22" s="85"/>
      <c r="AK22" s="85"/>
      <c r="AL22" s="85"/>
      <c r="AM22" s="85"/>
    </row>
    <row r="23" spans="1:39" ht="15" thickBot="1" x14ac:dyDescent="0.4">
      <c r="A23" s="60"/>
      <c r="B23" s="9">
        <v>1</v>
      </c>
      <c r="C23" s="9">
        <f t="shared" si="4"/>
        <v>15</v>
      </c>
      <c r="D23" s="9" t="str">
        <f t="shared" si="0"/>
        <v>0x000F</v>
      </c>
      <c r="E23" s="75"/>
      <c r="F23" s="10" t="s">
        <v>41</v>
      </c>
      <c r="G23" s="9">
        <f t="shared" si="3"/>
        <v>15</v>
      </c>
      <c r="H23" s="11">
        <v>2</v>
      </c>
      <c r="I23" s="64"/>
      <c r="L23" s="40" t="s">
        <v>52</v>
      </c>
      <c r="M23" s="40" t="s">
        <v>21</v>
      </c>
      <c r="N23" s="43" t="s">
        <v>53</v>
      </c>
      <c r="Q23" s="85"/>
      <c r="R23" s="85"/>
      <c r="S23" s="87"/>
      <c r="T23" s="87"/>
      <c r="U23" s="82"/>
      <c r="V23" s="85"/>
      <c r="W23" s="82"/>
      <c r="X23" s="82"/>
      <c r="Y23" s="82"/>
      <c r="Z23" s="82"/>
      <c r="AA23" s="52"/>
      <c r="AB23" s="85"/>
      <c r="AC23" s="79"/>
      <c r="AD23" s="52"/>
      <c r="AE23" s="80"/>
      <c r="AF23" s="54"/>
      <c r="AG23" s="53"/>
      <c r="AH23" s="53"/>
      <c r="AI23" s="47"/>
      <c r="AJ23" s="85"/>
      <c r="AK23" s="85"/>
      <c r="AL23" s="85"/>
      <c r="AM23" s="85"/>
    </row>
    <row r="24" spans="1:39" ht="99.65" customHeight="1" x14ac:dyDescent="0.35">
      <c r="A24" s="66" t="s">
        <v>54</v>
      </c>
      <c r="B24">
        <v>4</v>
      </c>
      <c r="C24" s="12">
        <f>C23+B23</f>
        <v>16</v>
      </c>
      <c r="D24" t="str">
        <f t="shared" si="0"/>
        <v>0x0010</v>
      </c>
      <c r="E24" s="76">
        <f>SUM(B24:B32)</f>
        <v>160</v>
      </c>
      <c r="F24" s="13" t="s">
        <v>55</v>
      </c>
      <c r="G24">
        <v>0</v>
      </c>
      <c r="H24" t="s">
        <v>56</v>
      </c>
      <c r="I24" s="64"/>
      <c r="L24" s="40" t="s">
        <v>57</v>
      </c>
      <c r="M24" s="40" t="s">
        <v>21</v>
      </c>
      <c r="N24" s="43" t="s">
        <v>58</v>
      </c>
      <c r="Q24" s="85"/>
      <c r="R24" s="85"/>
      <c r="S24" s="78"/>
      <c r="T24" s="78"/>
      <c r="U24" s="78"/>
      <c r="V24" s="85"/>
      <c r="W24" s="78"/>
      <c r="X24" s="78"/>
      <c r="Y24" s="82"/>
      <c r="Z24" s="78"/>
      <c r="AA24" s="52"/>
      <c r="AB24" s="85"/>
      <c r="AC24" s="84"/>
      <c r="AD24" s="52"/>
      <c r="AE24" s="84"/>
      <c r="AF24" s="85"/>
      <c r="AG24" s="85"/>
      <c r="AH24" s="85"/>
      <c r="AI24" s="85"/>
      <c r="AJ24" s="81"/>
      <c r="AK24" s="81"/>
      <c r="AL24" s="81"/>
      <c r="AM24" s="81"/>
    </row>
    <row r="25" spans="1:39" ht="29.15" customHeight="1" x14ac:dyDescent="0.35">
      <c r="A25" s="59"/>
      <c r="B25">
        <v>1</v>
      </c>
      <c r="C25">
        <f>C24+B24</f>
        <v>20</v>
      </c>
      <c r="D25" t="str">
        <f t="shared" si="0"/>
        <v>0x0014</v>
      </c>
      <c r="E25" s="64"/>
      <c r="F25" s="13" t="s">
        <v>59</v>
      </c>
      <c r="G25">
        <f t="shared" ref="G25:G32" si="5">G24+B24</f>
        <v>4</v>
      </c>
      <c r="H25">
        <v>20</v>
      </c>
      <c r="I25" s="64"/>
      <c r="L25" s="40" t="s">
        <v>60</v>
      </c>
      <c r="M25" s="40" t="s">
        <v>21</v>
      </c>
      <c r="N25" s="43" t="s">
        <v>61</v>
      </c>
      <c r="Q25" s="85"/>
      <c r="R25" s="85"/>
      <c r="S25" s="78"/>
      <c r="T25" s="78"/>
      <c r="U25" s="78"/>
      <c r="V25" s="85"/>
      <c r="W25" s="78"/>
      <c r="X25" s="78"/>
      <c r="Y25" s="82"/>
      <c r="Z25" s="78"/>
      <c r="AA25" s="52"/>
      <c r="AB25" s="85"/>
      <c r="AC25" s="84"/>
      <c r="AD25" s="52"/>
      <c r="AE25" s="84"/>
      <c r="AF25" s="85"/>
      <c r="AG25" s="85"/>
      <c r="AH25" s="85"/>
      <c r="AI25" s="85"/>
      <c r="AJ25" s="81"/>
      <c r="AK25" s="81"/>
      <c r="AL25" s="81"/>
      <c r="AM25" s="81"/>
    </row>
    <row r="26" spans="1:39" ht="29" x14ac:dyDescent="0.35">
      <c r="A26" s="59"/>
      <c r="B26">
        <v>1</v>
      </c>
      <c r="C26">
        <f t="shared" ref="C26:C31" si="6">C25+B25</f>
        <v>21</v>
      </c>
      <c r="D26" t="str">
        <f t="shared" si="0"/>
        <v>0x0015</v>
      </c>
      <c r="E26" s="64"/>
      <c r="F26" s="13" t="s">
        <v>62</v>
      </c>
      <c r="G26">
        <f t="shared" si="5"/>
        <v>5</v>
      </c>
      <c r="H26">
        <v>30</v>
      </c>
      <c r="I26" s="64"/>
      <c r="L26" s="40" t="s">
        <v>63</v>
      </c>
      <c r="M26" s="40" t="s">
        <v>21</v>
      </c>
      <c r="N26" s="43" t="s">
        <v>64</v>
      </c>
      <c r="Q26" s="85"/>
      <c r="R26" s="85"/>
      <c r="S26" s="78"/>
      <c r="T26" s="78"/>
      <c r="U26" s="78"/>
      <c r="V26" s="85"/>
      <c r="W26" s="78"/>
      <c r="X26" s="78"/>
      <c r="Y26" s="82"/>
      <c r="Z26" s="78"/>
      <c r="AA26" s="52"/>
      <c r="AB26" s="85"/>
      <c r="AC26" s="84"/>
      <c r="AD26" s="52"/>
      <c r="AE26" s="88"/>
      <c r="AF26" s="81"/>
      <c r="AG26" s="81"/>
      <c r="AH26" s="81"/>
      <c r="AI26" s="81"/>
      <c r="AJ26" s="81"/>
      <c r="AK26" s="81"/>
      <c r="AL26" s="81"/>
      <c r="AM26" s="81"/>
    </row>
    <row r="27" spans="1:39" ht="72.650000000000006" customHeight="1" x14ac:dyDescent="0.35">
      <c r="A27" s="59"/>
      <c r="B27">
        <v>8</v>
      </c>
      <c r="C27">
        <f t="shared" si="6"/>
        <v>22</v>
      </c>
      <c r="D27" t="str">
        <f t="shared" si="0"/>
        <v>0x0016</v>
      </c>
      <c r="E27" s="64"/>
      <c r="F27" t="s">
        <v>65</v>
      </c>
      <c r="G27">
        <f t="shared" si="5"/>
        <v>6</v>
      </c>
      <c r="H27" t="s">
        <v>66</v>
      </c>
      <c r="I27" s="64"/>
      <c r="L27" s="40" t="s">
        <v>67</v>
      </c>
      <c r="M27" s="40" t="s">
        <v>21</v>
      </c>
      <c r="N27" s="43" t="s">
        <v>68</v>
      </c>
      <c r="Q27" s="85"/>
      <c r="R27" s="85"/>
      <c r="S27" s="78"/>
      <c r="T27" s="78"/>
      <c r="U27" s="78"/>
      <c r="V27" s="85"/>
      <c r="W27" s="78"/>
      <c r="X27" s="78"/>
      <c r="Y27" s="82"/>
      <c r="Z27" s="78"/>
      <c r="AA27" s="52"/>
      <c r="AB27" s="85"/>
      <c r="AC27" s="84"/>
      <c r="AD27" s="52"/>
      <c r="AE27" s="88"/>
      <c r="AF27" s="81"/>
      <c r="AG27" s="81"/>
      <c r="AH27" s="81"/>
      <c r="AI27" s="81"/>
      <c r="AJ27" s="81"/>
      <c r="AK27" s="81"/>
      <c r="AL27" s="81"/>
      <c r="AM27" s="81"/>
    </row>
    <row r="28" spans="1:39" ht="94.5" customHeight="1" x14ac:dyDescent="0.35">
      <c r="A28" s="59"/>
      <c r="B28">
        <v>1</v>
      </c>
      <c r="C28">
        <f t="shared" si="6"/>
        <v>30</v>
      </c>
      <c r="D28" t="str">
        <f t="shared" si="0"/>
        <v>0x001E</v>
      </c>
      <c r="E28" s="64"/>
      <c r="F28" t="s">
        <v>69</v>
      </c>
      <c r="G28">
        <f t="shared" si="5"/>
        <v>14</v>
      </c>
      <c r="H28" s="14">
        <v>2</v>
      </c>
      <c r="I28" s="64"/>
      <c r="L28" s="40" t="s">
        <v>70</v>
      </c>
      <c r="M28" s="40" t="s">
        <v>21</v>
      </c>
      <c r="N28" s="43" t="s">
        <v>71</v>
      </c>
      <c r="Q28" s="85"/>
      <c r="R28" s="85"/>
      <c r="S28" s="78"/>
      <c r="T28" s="78"/>
      <c r="U28" s="78"/>
      <c r="V28" s="85"/>
      <c r="W28" s="78"/>
      <c r="X28" s="78"/>
      <c r="Y28" s="82"/>
      <c r="Z28" s="78"/>
      <c r="AA28" s="85"/>
      <c r="AB28" s="85"/>
      <c r="AC28" s="84"/>
      <c r="AD28" s="52"/>
      <c r="AE28" s="84"/>
      <c r="AF28" s="85"/>
      <c r="AG28" s="85"/>
      <c r="AH28" s="85"/>
      <c r="AI28" s="85"/>
      <c r="AJ28" s="81"/>
      <c r="AK28" s="81"/>
      <c r="AL28" s="81"/>
      <c r="AM28" s="81"/>
    </row>
    <row r="29" spans="1:39" ht="29.15" customHeight="1" x14ac:dyDescent="0.35">
      <c r="A29" s="59"/>
      <c r="B29">
        <v>1</v>
      </c>
      <c r="C29">
        <f t="shared" si="6"/>
        <v>31</v>
      </c>
      <c r="D29" t="str">
        <f t="shared" si="0"/>
        <v>0x001F</v>
      </c>
      <c r="E29" s="64"/>
      <c r="F29" t="s">
        <v>72</v>
      </c>
      <c r="G29">
        <f t="shared" si="5"/>
        <v>15</v>
      </c>
      <c r="H29" s="14">
        <v>0</v>
      </c>
      <c r="I29" s="64"/>
      <c r="L29" s="40" t="s">
        <v>73</v>
      </c>
      <c r="M29" s="40" t="s">
        <v>21</v>
      </c>
      <c r="N29" s="43" t="s">
        <v>74</v>
      </c>
      <c r="Q29" s="85"/>
      <c r="R29" s="85"/>
      <c r="S29" s="78"/>
      <c r="T29" s="78"/>
      <c r="U29" s="78"/>
      <c r="V29" s="85"/>
      <c r="W29" s="78"/>
      <c r="X29" s="78"/>
      <c r="Y29" s="82"/>
      <c r="Z29" s="78"/>
      <c r="AA29" s="85"/>
      <c r="AB29" s="85"/>
      <c r="AC29" s="84"/>
      <c r="AD29" s="52"/>
      <c r="AE29" s="84"/>
      <c r="AF29" s="85"/>
      <c r="AG29" s="85"/>
      <c r="AH29" s="85"/>
      <c r="AI29" s="85"/>
      <c r="AJ29" s="81"/>
      <c r="AK29" s="81"/>
      <c r="AL29" s="81"/>
      <c r="AM29" s="81"/>
    </row>
    <row r="30" spans="1:39" ht="72.650000000000006" customHeight="1" x14ac:dyDescent="0.35">
      <c r="A30" s="59"/>
      <c r="B30">
        <v>8</v>
      </c>
      <c r="C30">
        <f t="shared" si="6"/>
        <v>32</v>
      </c>
      <c r="D30" t="str">
        <f t="shared" si="0"/>
        <v>0x0020</v>
      </c>
      <c r="E30" s="64"/>
      <c r="F30" t="s">
        <v>75</v>
      </c>
      <c r="G30">
        <f t="shared" si="5"/>
        <v>16</v>
      </c>
      <c r="H30" t="s">
        <v>76</v>
      </c>
      <c r="I30" s="64"/>
      <c r="L30" s="40" t="s">
        <v>77</v>
      </c>
      <c r="M30" s="40" t="s">
        <v>21</v>
      </c>
      <c r="N30" s="43" t="s">
        <v>78</v>
      </c>
      <c r="Q30" s="85"/>
      <c r="R30" s="85"/>
      <c r="S30" s="55"/>
      <c r="T30" s="55"/>
      <c r="U30" s="55"/>
      <c r="V30" s="85"/>
      <c r="W30" s="55"/>
      <c r="X30" s="55"/>
      <c r="Y30" s="56"/>
      <c r="Z30" s="55"/>
      <c r="AA30" s="52"/>
      <c r="AB30" s="52"/>
      <c r="AC30" s="50"/>
      <c r="AD30" s="48"/>
      <c r="AE30" s="51"/>
      <c r="AF30" s="47"/>
      <c r="AG30" s="47"/>
      <c r="AH30" s="47"/>
      <c r="AI30" s="47"/>
      <c r="AJ30" s="47"/>
      <c r="AK30" s="47"/>
      <c r="AL30" s="47"/>
      <c r="AM30" s="47"/>
    </row>
    <row r="31" spans="1:39" x14ac:dyDescent="0.35">
      <c r="A31" s="59"/>
      <c r="B31">
        <v>1</v>
      </c>
      <c r="C31">
        <f t="shared" si="6"/>
        <v>40</v>
      </c>
      <c r="D31" t="str">
        <f t="shared" si="0"/>
        <v>0x0028</v>
      </c>
      <c r="E31" s="64"/>
      <c r="F31" t="s">
        <v>79</v>
      </c>
      <c r="G31">
        <f t="shared" si="5"/>
        <v>24</v>
      </c>
      <c r="H31" s="15" t="s">
        <v>80</v>
      </c>
      <c r="I31" s="64"/>
      <c r="L31" s="40" t="s">
        <v>81</v>
      </c>
      <c r="M31" s="40" t="s">
        <v>21</v>
      </c>
      <c r="N31" s="43" t="s">
        <v>82</v>
      </c>
      <c r="Q31" s="85"/>
      <c r="R31" s="85"/>
      <c r="S31" s="55"/>
      <c r="T31" s="55"/>
      <c r="U31" s="55"/>
      <c r="V31" s="85"/>
      <c r="W31" s="55"/>
      <c r="X31" s="55"/>
      <c r="Y31" s="56"/>
      <c r="Z31" s="55"/>
      <c r="AA31" s="52"/>
      <c r="AB31" s="52"/>
      <c r="AC31" s="50"/>
      <c r="AD31" s="48"/>
      <c r="AE31" s="51"/>
      <c r="AF31" s="47"/>
      <c r="AG31" s="47"/>
      <c r="AH31" s="47"/>
      <c r="AI31" s="47"/>
      <c r="AJ31" s="47"/>
      <c r="AK31" s="47"/>
      <c r="AL31" s="47"/>
      <c r="AM31" s="47"/>
    </row>
    <row r="32" spans="1:39" ht="94.5" customHeight="1" x14ac:dyDescent="0.35">
      <c r="A32" s="67"/>
      <c r="B32" s="16">
        <v>135</v>
      </c>
      <c r="C32" s="16">
        <f>B31+C31</f>
        <v>41</v>
      </c>
      <c r="D32" s="16" t="str">
        <f t="shared" si="0"/>
        <v>0x0029</v>
      </c>
      <c r="E32" s="77"/>
      <c r="F32" s="17" t="s">
        <v>83</v>
      </c>
      <c r="G32" s="18">
        <f t="shared" si="5"/>
        <v>25</v>
      </c>
      <c r="H32" s="18"/>
      <c r="I32" s="64"/>
      <c r="L32" s="40" t="s">
        <v>84</v>
      </c>
      <c r="M32" s="40" t="s">
        <v>21</v>
      </c>
      <c r="N32" s="43" t="s">
        <v>85</v>
      </c>
      <c r="Q32" s="85"/>
      <c r="R32" s="85"/>
      <c r="S32" s="78"/>
      <c r="T32" s="78"/>
      <c r="U32" s="78"/>
      <c r="V32" s="85"/>
      <c r="W32" s="78"/>
      <c r="X32" s="78"/>
      <c r="Y32" s="82"/>
      <c r="Z32" s="78"/>
      <c r="AA32" s="57"/>
      <c r="AB32" s="83"/>
      <c r="AC32" s="84"/>
      <c r="AD32" s="52"/>
      <c r="AE32" s="84"/>
      <c r="AF32" s="85"/>
      <c r="AG32" s="85"/>
      <c r="AH32" s="85"/>
      <c r="AI32" s="85"/>
      <c r="AJ32" s="81"/>
      <c r="AK32" s="81"/>
      <c r="AL32" s="81"/>
      <c r="AM32" s="81"/>
    </row>
    <row r="33" spans="1:39" ht="29.15" customHeight="1" x14ac:dyDescent="0.35">
      <c r="A33" s="58" t="s">
        <v>86</v>
      </c>
      <c r="B33">
        <v>4</v>
      </c>
      <c r="C33" s="12">
        <f>C32+B32</f>
        <v>176</v>
      </c>
      <c r="D33" t="str">
        <f t="shared" si="0"/>
        <v>0x00B0</v>
      </c>
      <c r="E33" s="64">
        <f>SUM(B33:B41)</f>
        <v>160</v>
      </c>
      <c r="F33" s="19" t="s">
        <v>55</v>
      </c>
      <c r="G33">
        <v>0</v>
      </c>
      <c r="H33" t="s">
        <v>56</v>
      </c>
      <c r="I33" s="64"/>
      <c r="L33" s="40" t="s">
        <v>87</v>
      </c>
      <c r="M33" s="40" t="s">
        <v>38</v>
      </c>
      <c r="N33" s="43" t="s">
        <v>53</v>
      </c>
      <c r="Q33" s="85"/>
      <c r="R33" s="85"/>
      <c r="S33" s="78"/>
      <c r="T33" s="78"/>
      <c r="U33" s="78"/>
      <c r="V33" s="85"/>
      <c r="W33" s="78"/>
      <c r="X33" s="78"/>
      <c r="Y33" s="82"/>
      <c r="Z33" s="78"/>
      <c r="AA33" s="52"/>
      <c r="AB33" s="83"/>
      <c r="AC33" s="84"/>
      <c r="AD33" s="52"/>
      <c r="AE33" s="84"/>
      <c r="AF33" s="85"/>
      <c r="AG33" s="85"/>
      <c r="AH33" s="85"/>
      <c r="AI33" s="85"/>
      <c r="AJ33" s="81"/>
      <c r="AK33" s="81"/>
      <c r="AL33" s="81"/>
      <c r="AM33" s="81"/>
    </row>
    <row r="34" spans="1:39" ht="56.5" customHeight="1" x14ac:dyDescent="0.35">
      <c r="A34" s="59"/>
      <c r="B34">
        <v>1</v>
      </c>
      <c r="C34">
        <f>C33+B33</f>
        <v>180</v>
      </c>
      <c r="D34" t="str">
        <f t="shared" si="0"/>
        <v>0x00B4</v>
      </c>
      <c r="E34" s="64"/>
      <c r="F34" s="13" t="s">
        <v>59</v>
      </c>
      <c r="G34">
        <f t="shared" ref="G34:G41" si="7">G33+B33</f>
        <v>4</v>
      </c>
      <c r="H34">
        <v>20</v>
      </c>
      <c r="I34" s="64"/>
      <c r="L34" s="40" t="s">
        <v>88</v>
      </c>
      <c r="M34" s="40" t="s">
        <v>38</v>
      </c>
      <c r="N34" s="43" t="s">
        <v>58</v>
      </c>
      <c r="Q34" s="85"/>
      <c r="R34" s="85"/>
      <c r="S34" s="78"/>
      <c r="T34" s="78"/>
      <c r="U34" s="78"/>
      <c r="V34" s="85"/>
      <c r="W34" s="78"/>
      <c r="X34" s="78"/>
      <c r="Y34" s="82"/>
      <c r="Z34" s="78"/>
      <c r="AA34" s="85"/>
      <c r="AB34" s="85"/>
      <c r="AC34" s="84"/>
      <c r="AD34" s="52"/>
      <c r="AE34" s="84"/>
      <c r="AF34" s="85"/>
      <c r="AG34" s="85"/>
      <c r="AH34" s="85"/>
      <c r="AI34" s="85"/>
      <c r="AJ34" s="81"/>
      <c r="AK34" s="81"/>
      <c r="AL34" s="81"/>
      <c r="AM34" s="81"/>
    </row>
    <row r="35" spans="1:39" ht="29.15" customHeight="1" x14ac:dyDescent="0.35">
      <c r="A35" s="59"/>
      <c r="B35">
        <v>1</v>
      </c>
      <c r="C35">
        <f t="shared" ref="C35:C40" si="8">C34+B34</f>
        <v>181</v>
      </c>
      <c r="D35" t="str">
        <f t="shared" si="0"/>
        <v>0x00B5</v>
      </c>
      <c r="E35" s="64"/>
      <c r="F35" s="13" t="s">
        <v>62</v>
      </c>
      <c r="G35">
        <f t="shared" si="7"/>
        <v>5</v>
      </c>
      <c r="H35">
        <v>30</v>
      </c>
      <c r="I35" s="64"/>
      <c r="L35" s="40" t="s">
        <v>89</v>
      </c>
      <c r="M35" s="40" t="s">
        <v>38</v>
      </c>
      <c r="N35" s="43" t="s">
        <v>61</v>
      </c>
      <c r="Q35" s="85"/>
      <c r="R35" s="85"/>
      <c r="S35" s="78"/>
      <c r="T35" s="78"/>
      <c r="U35" s="78"/>
      <c r="V35" s="85"/>
      <c r="W35" s="78"/>
      <c r="X35" s="78"/>
      <c r="Y35" s="82"/>
      <c r="Z35" s="78"/>
      <c r="AA35" s="85"/>
      <c r="AB35" s="85"/>
      <c r="AC35" s="84"/>
      <c r="AD35" s="52"/>
      <c r="AE35" s="84"/>
      <c r="AF35" s="85"/>
      <c r="AG35" s="85"/>
      <c r="AH35" s="85"/>
      <c r="AI35" s="85"/>
      <c r="AJ35" s="81"/>
      <c r="AK35" s="81"/>
      <c r="AL35" s="81"/>
      <c r="AM35" s="81"/>
    </row>
    <row r="36" spans="1:39" ht="29.15" customHeight="1" x14ac:dyDescent="0.35">
      <c r="A36" s="59"/>
      <c r="B36">
        <v>8</v>
      </c>
      <c r="C36">
        <f t="shared" si="8"/>
        <v>182</v>
      </c>
      <c r="D36" t="str">
        <f t="shared" si="0"/>
        <v>0x00B6</v>
      </c>
      <c r="E36" s="64"/>
      <c r="F36" t="s">
        <v>65</v>
      </c>
      <c r="G36">
        <f t="shared" si="7"/>
        <v>6</v>
      </c>
      <c r="H36" t="s">
        <v>66</v>
      </c>
      <c r="I36" s="64"/>
      <c r="L36" s="40" t="s">
        <v>90</v>
      </c>
      <c r="M36" s="40" t="s">
        <v>38</v>
      </c>
      <c r="N36" s="43" t="s">
        <v>64</v>
      </c>
      <c r="Q36" s="85"/>
      <c r="R36" s="85"/>
      <c r="S36" s="55"/>
      <c r="T36" s="55"/>
      <c r="U36" s="55"/>
      <c r="V36" s="52"/>
      <c r="W36" s="55"/>
      <c r="X36" s="55"/>
      <c r="Y36" s="46"/>
      <c r="Z36" s="55"/>
      <c r="AA36" s="52"/>
      <c r="AB36" s="55"/>
      <c r="AC36" s="50"/>
      <c r="AD36" s="50"/>
      <c r="AE36" s="51"/>
      <c r="AF36" s="47"/>
      <c r="AG36" s="47"/>
      <c r="AH36" s="47"/>
      <c r="AI36" s="47"/>
      <c r="AJ36" s="47"/>
      <c r="AK36" s="47"/>
      <c r="AL36" s="47"/>
      <c r="AM36" s="47"/>
    </row>
    <row r="37" spans="1:39" x14ac:dyDescent="0.35">
      <c r="A37" s="59"/>
      <c r="B37">
        <v>1</v>
      </c>
      <c r="C37">
        <f t="shared" si="8"/>
        <v>190</v>
      </c>
      <c r="D37" t="str">
        <f t="shared" si="0"/>
        <v>0x00BE</v>
      </c>
      <c r="E37" s="64"/>
      <c r="F37" t="s">
        <v>69</v>
      </c>
      <c r="G37">
        <f t="shared" si="7"/>
        <v>14</v>
      </c>
      <c r="H37" s="14">
        <v>2</v>
      </c>
      <c r="I37" s="64"/>
      <c r="L37" s="40" t="s">
        <v>91</v>
      </c>
      <c r="M37" s="40" t="s">
        <v>38</v>
      </c>
      <c r="N37" s="43" t="s">
        <v>68</v>
      </c>
      <c r="Q37" s="85"/>
      <c r="R37" s="85"/>
      <c r="S37" s="87"/>
      <c r="T37" s="87"/>
      <c r="U37" s="82"/>
      <c r="V37" s="85"/>
      <c r="W37" s="82"/>
      <c r="X37" s="82"/>
      <c r="Y37" s="82"/>
      <c r="Z37" s="82"/>
      <c r="AA37" s="85"/>
      <c r="AB37" s="52"/>
      <c r="AC37" s="79"/>
      <c r="AD37" s="52"/>
      <c r="AE37" s="80"/>
      <c r="AF37" s="53"/>
      <c r="AG37" s="53"/>
      <c r="AH37" s="53"/>
      <c r="AI37" s="47"/>
      <c r="AJ37" s="47"/>
      <c r="AK37" s="47"/>
      <c r="AL37" s="47"/>
      <c r="AM37" s="47"/>
    </row>
    <row r="38" spans="1:39" ht="29.15" customHeight="1" x14ac:dyDescent="0.35">
      <c r="A38" s="59"/>
      <c r="B38">
        <v>1</v>
      </c>
      <c r="C38">
        <f t="shared" si="8"/>
        <v>191</v>
      </c>
      <c r="D38" t="str">
        <f t="shared" si="0"/>
        <v>0x00BF</v>
      </c>
      <c r="E38" s="64"/>
      <c r="F38" t="s">
        <v>72</v>
      </c>
      <c r="G38">
        <f t="shared" si="7"/>
        <v>15</v>
      </c>
      <c r="H38" s="14">
        <v>0</v>
      </c>
      <c r="I38" s="64"/>
      <c r="L38" s="40" t="s">
        <v>92</v>
      </c>
      <c r="M38" s="40" t="s">
        <v>38</v>
      </c>
      <c r="N38" s="43" t="s">
        <v>71</v>
      </c>
      <c r="Q38" s="85"/>
      <c r="R38" s="85"/>
      <c r="S38" s="87"/>
      <c r="T38" s="87"/>
      <c r="U38" s="82"/>
      <c r="V38" s="85"/>
      <c r="W38" s="82"/>
      <c r="X38" s="82"/>
      <c r="Y38" s="82"/>
      <c r="Z38" s="82"/>
      <c r="AA38" s="85"/>
      <c r="AB38" s="52"/>
      <c r="AC38" s="79"/>
      <c r="AD38" s="52"/>
      <c r="AE38" s="80"/>
      <c r="AF38" s="53"/>
      <c r="AG38" s="53"/>
      <c r="AH38" s="53"/>
      <c r="AI38" s="47"/>
      <c r="AJ38" s="47"/>
      <c r="AK38" s="47"/>
      <c r="AL38" s="47"/>
      <c r="AM38" s="47"/>
    </row>
    <row r="39" spans="1:39" x14ac:dyDescent="0.35">
      <c r="A39" s="59"/>
      <c r="B39">
        <v>8</v>
      </c>
      <c r="C39">
        <f t="shared" si="8"/>
        <v>192</v>
      </c>
      <c r="D39" t="str">
        <f t="shared" si="0"/>
        <v>0x00C0</v>
      </c>
      <c r="E39" s="64"/>
      <c r="F39" t="s">
        <v>75</v>
      </c>
      <c r="G39">
        <f t="shared" si="7"/>
        <v>16</v>
      </c>
      <c r="H39" t="s">
        <v>76</v>
      </c>
      <c r="I39" s="64"/>
      <c r="L39" s="40" t="s">
        <v>93</v>
      </c>
      <c r="M39" s="40" t="s">
        <v>38</v>
      </c>
      <c r="N39" s="43" t="s">
        <v>74</v>
      </c>
      <c r="Q39" s="85"/>
      <c r="R39" s="85"/>
      <c r="S39" s="87"/>
      <c r="T39" s="87"/>
      <c r="U39" s="82"/>
      <c r="V39" s="85"/>
      <c r="W39" s="82"/>
      <c r="X39" s="82"/>
      <c r="Y39" s="82"/>
      <c r="Z39" s="82"/>
      <c r="AA39" s="85"/>
      <c r="AB39" s="52"/>
      <c r="AC39" s="79"/>
      <c r="AD39" s="52"/>
      <c r="AE39" s="80"/>
      <c r="AF39" s="53"/>
      <c r="AG39" s="53"/>
      <c r="AH39" s="53"/>
      <c r="AI39" s="47"/>
      <c r="AJ39" s="47"/>
      <c r="AK39" s="47"/>
      <c r="AL39" s="47"/>
      <c r="AM39" s="47"/>
    </row>
    <row r="40" spans="1:39" x14ac:dyDescent="0.35">
      <c r="A40" s="59"/>
      <c r="B40">
        <v>1</v>
      </c>
      <c r="C40">
        <f t="shared" si="8"/>
        <v>200</v>
      </c>
      <c r="D40" t="str">
        <f t="shared" si="0"/>
        <v>0x00C8</v>
      </c>
      <c r="E40" s="64"/>
      <c r="F40" t="s">
        <v>94</v>
      </c>
      <c r="G40">
        <f t="shared" si="7"/>
        <v>24</v>
      </c>
      <c r="H40" s="15" t="s">
        <v>80</v>
      </c>
      <c r="I40" s="64"/>
      <c r="L40" s="40" t="s">
        <v>95</v>
      </c>
      <c r="M40" s="40" t="s">
        <v>38</v>
      </c>
      <c r="N40" s="43" t="s">
        <v>78</v>
      </c>
      <c r="Q40" s="85"/>
      <c r="R40" s="85"/>
      <c r="S40" s="87"/>
      <c r="T40" s="87"/>
      <c r="U40" s="82"/>
      <c r="V40" s="85"/>
      <c r="W40" s="82"/>
      <c r="X40" s="82"/>
      <c r="Y40" s="82"/>
      <c r="Z40" s="82"/>
      <c r="AA40" s="85"/>
      <c r="AB40" s="52"/>
      <c r="AC40" s="79"/>
      <c r="AD40" s="52"/>
      <c r="AE40" s="80"/>
      <c r="AF40" s="54"/>
      <c r="AG40" s="53"/>
      <c r="AH40" s="53"/>
      <c r="AI40" s="47"/>
      <c r="AJ40" s="47"/>
      <c r="AK40" s="47"/>
      <c r="AL40" s="47"/>
      <c r="AM40" s="47"/>
    </row>
    <row r="41" spans="1:39" ht="100" customHeight="1" thickBot="1" x14ac:dyDescent="0.4">
      <c r="A41" s="60"/>
      <c r="B41" s="20">
        <v>135</v>
      </c>
      <c r="C41" s="20">
        <f>C40+B40</f>
        <v>201</v>
      </c>
      <c r="D41" s="21" t="str">
        <f t="shared" si="0"/>
        <v>0x00C9</v>
      </c>
      <c r="E41" s="65"/>
      <c r="F41" s="17" t="s">
        <v>83</v>
      </c>
      <c r="G41" s="22">
        <f t="shared" si="7"/>
        <v>25</v>
      </c>
      <c r="H41" s="22"/>
      <c r="I41" s="64"/>
      <c r="L41" s="40" t="s">
        <v>96</v>
      </c>
      <c r="M41" s="40" t="s">
        <v>38</v>
      </c>
      <c r="N41" s="43" t="s">
        <v>82</v>
      </c>
      <c r="Q41" s="85"/>
      <c r="R41" s="85"/>
      <c r="S41" s="78"/>
      <c r="T41" s="78"/>
      <c r="U41" s="78"/>
      <c r="V41" s="85"/>
      <c r="W41" s="78"/>
      <c r="X41" s="78"/>
      <c r="Y41" s="82"/>
      <c r="Z41" s="78"/>
      <c r="AA41" s="52"/>
      <c r="AB41" s="85"/>
      <c r="AC41" s="84"/>
      <c r="AD41" s="52"/>
      <c r="AE41" s="84"/>
      <c r="AF41" s="81"/>
      <c r="AG41" s="81"/>
      <c r="AH41" s="81"/>
      <c r="AI41" s="81"/>
      <c r="AJ41" s="81"/>
      <c r="AK41" s="81"/>
      <c r="AL41" s="81"/>
      <c r="AM41" s="81"/>
    </row>
    <row r="42" spans="1:39" ht="29.15" customHeight="1" x14ac:dyDescent="0.35">
      <c r="A42" s="66" t="s">
        <v>97</v>
      </c>
      <c r="B42" s="23">
        <v>4</v>
      </c>
      <c r="C42" s="24">
        <f>C41+B41</f>
        <v>336</v>
      </c>
      <c r="D42" t="str">
        <f t="shared" si="0"/>
        <v>0x0150</v>
      </c>
      <c r="E42" s="68">
        <f>SUM(B42:B60)</f>
        <v>336</v>
      </c>
      <c r="F42" s="25" t="s">
        <v>55</v>
      </c>
      <c r="G42">
        <v>0</v>
      </c>
      <c r="H42" t="s">
        <v>98</v>
      </c>
      <c r="I42" s="64"/>
      <c r="L42" s="40" t="s">
        <v>99</v>
      </c>
      <c r="M42" s="40" t="s">
        <v>38</v>
      </c>
      <c r="N42" s="43" t="s">
        <v>85</v>
      </c>
      <c r="Q42" s="85"/>
      <c r="R42" s="85"/>
      <c r="S42" s="78"/>
      <c r="T42" s="78"/>
      <c r="U42" s="78"/>
      <c r="V42" s="85"/>
      <c r="W42" s="78"/>
      <c r="X42" s="78"/>
      <c r="Y42" s="82"/>
      <c r="Z42" s="78"/>
      <c r="AA42" s="52"/>
      <c r="AB42" s="85"/>
      <c r="AC42" s="84"/>
      <c r="AD42" s="52"/>
      <c r="AE42" s="84"/>
      <c r="AF42" s="81"/>
      <c r="AG42" s="81"/>
      <c r="AH42" s="81"/>
      <c r="AI42" s="81"/>
      <c r="AJ42" s="81"/>
      <c r="AK42" s="81"/>
      <c r="AL42" s="81"/>
      <c r="AM42" s="81"/>
    </row>
    <row r="43" spans="1:39" x14ac:dyDescent="0.35">
      <c r="A43" s="59"/>
      <c r="B43">
        <v>4</v>
      </c>
      <c r="C43">
        <f>C42+B42</f>
        <v>340</v>
      </c>
      <c r="D43" t="str">
        <f t="shared" si="0"/>
        <v>0x0154</v>
      </c>
      <c r="E43" s="64"/>
      <c r="F43" s="13" t="s">
        <v>100</v>
      </c>
      <c r="G43">
        <f t="shared" ref="G43:G60" si="9">G42+B42</f>
        <v>4</v>
      </c>
      <c r="H43" t="s">
        <v>101</v>
      </c>
      <c r="I43" s="64"/>
      <c r="L43" s="40"/>
      <c r="M43" s="40"/>
      <c r="N43" s="40"/>
      <c r="Q43" s="85"/>
      <c r="R43" s="85"/>
      <c r="S43" s="78"/>
      <c r="T43" s="78"/>
      <c r="U43" s="78"/>
      <c r="V43" s="85"/>
      <c r="W43" s="78"/>
      <c r="X43" s="78"/>
      <c r="Y43" s="82"/>
      <c r="Z43" s="78"/>
      <c r="AA43" s="52"/>
      <c r="AB43" s="85"/>
      <c r="AC43" s="84"/>
      <c r="AD43" s="52"/>
      <c r="AE43" s="88"/>
      <c r="AF43" s="81"/>
      <c r="AG43" s="81"/>
      <c r="AH43" s="81"/>
      <c r="AI43" s="81"/>
      <c r="AJ43" s="81"/>
      <c r="AK43" s="81"/>
      <c r="AL43" s="81"/>
      <c r="AM43" s="81"/>
    </row>
    <row r="44" spans="1:39" ht="72.650000000000006" customHeight="1" x14ac:dyDescent="0.35">
      <c r="A44" s="59"/>
      <c r="B44">
        <v>8</v>
      </c>
      <c r="C44">
        <f t="shared" ref="C44:C60" si="10">C43+B43</f>
        <v>344</v>
      </c>
      <c r="D44" t="str">
        <f t="shared" si="0"/>
        <v>0x0158</v>
      </c>
      <c r="E44" s="64"/>
      <c r="F44" s="13" t="s">
        <v>102</v>
      </c>
      <c r="G44">
        <f t="shared" si="9"/>
        <v>8</v>
      </c>
      <c r="H44" t="s">
        <v>103</v>
      </c>
      <c r="I44" s="64"/>
      <c r="L44" s="41" t="s">
        <v>104</v>
      </c>
      <c r="M44" s="40" t="s">
        <v>105</v>
      </c>
      <c r="N44" s="41" t="s">
        <v>106</v>
      </c>
      <c r="Q44" s="85"/>
      <c r="R44" s="85"/>
      <c r="S44" s="78"/>
      <c r="T44" s="78"/>
      <c r="U44" s="78"/>
      <c r="V44" s="85"/>
      <c r="W44" s="78"/>
      <c r="X44" s="78"/>
      <c r="Y44" s="82"/>
      <c r="Z44" s="78"/>
      <c r="AA44" s="52"/>
      <c r="AB44" s="85"/>
      <c r="AC44" s="84"/>
      <c r="AD44" s="52"/>
      <c r="AE44" s="88"/>
      <c r="AF44" s="81"/>
      <c r="AG44" s="81"/>
      <c r="AH44" s="81"/>
      <c r="AI44" s="81"/>
      <c r="AJ44" s="81"/>
      <c r="AK44" s="81"/>
      <c r="AL44" s="81"/>
      <c r="AM44" s="81"/>
    </row>
    <row r="45" spans="1:39" ht="94.5" customHeight="1" x14ac:dyDescent="0.35">
      <c r="A45" s="59"/>
      <c r="B45">
        <v>4</v>
      </c>
      <c r="C45">
        <f t="shared" si="10"/>
        <v>352</v>
      </c>
      <c r="D45" t="str">
        <f t="shared" si="0"/>
        <v>0x0160</v>
      </c>
      <c r="E45" s="64"/>
      <c r="F45" s="13" t="s">
        <v>107</v>
      </c>
      <c r="G45">
        <f t="shared" si="9"/>
        <v>16</v>
      </c>
      <c r="H45" t="s">
        <v>108</v>
      </c>
      <c r="I45" s="64"/>
      <c r="Q45" s="85"/>
      <c r="R45" s="85"/>
      <c r="S45" s="78"/>
      <c r="T45" s="78"/>
      <c r="U45" s="78"/>
      <c r="V45" s="85"/>
      <c r="W45" s="78"/>
      <c r="X45" s="78"/>
      <c r="Y45" s="82"/>
      <c r="Z45" s="78"/>
      <c r="AA45" s="85"/>
      <c r="AB45" s="85"/>
      <c r="AC45" s="84"/>
      <c r="AD45" s="52"/>
      <c r="AE45" s="84"/>
      <c r="AF45" s="81"/>
      <c r="AG45" s="81"/>
      <c r="AH45" s="81"/>
      <c r="AI45" s="81"/>
      <c r="AJ45" s="81"/>
      <c r="AK45" s="81"/>
      <c r="AL45" s="81"/>
      <c r="AM45" s="81"/>
    </row>
    <row r="46" spans="1:39" ht="29.15" customHeight="1" x14ac:dyDescent="0.35">
      <c r="A46" s="59"/>
      <c r="B46">
        <v>4</v>
      </c>
      <c r="C46">
        <f t="shared" si="10"/>
        <v>356</v>
      </c>
      <c r="D46" t="str">
        <f t="shared" si="0"/>
        <v>0x0164</v>
      </c>
      <c r="E46" s="64"/>
      <c r="F46" s="13" t="s">
        <v>109</v>
      </c>
      <c r="G46">
        <f t="shared" si="9"/>
        <v>20</v>
      </c>
      <c r="H46" t="s">
        <v>108</v>
      </c>
      <c r="I46" s="64"/>
      <c r="Q46" s="85"/>
      <c r="R46" s="85"/>
      <c r="S46" s="78"/>
      <c r="T46" s="78"/>
      <c r="U46" s="78"/>
      <c r="V46" s="85"/>
      <c r="W46" s="78"/>
      <c r="X46" s="78"/>
      <c r="Y46" s="82"/>
      <c r="Z46" s="78"/>
      <c r="AA46" s="85"/>
      <c r="AB46" s="85"/>
      <c r="AC46" s="84"/>
      <c r="AD46" s="52"/>
      <c r="AE46" s="84"/>
      <c r="AF46" s="81"/>
      <c r="AG46" s="81"/>
      <c r="AH46" s="81"/>
      <c r="AI46" s="81"/>
      <c r="AJ46" s="81"/>
      <c r="AK46" s="81"/>
      <c r="AL46" s="81"/>
      <c r="AM46" s="81"/>
    </row>
    <row r="47" spans="1:39" ht="72.650000000000006" customHeight="1" x14ac:dyDescent="0.35">
      <c r="A47" s="59"/>
      <c r="B47">
        <v>1</v>
      </c>
      <c r="C47">
        <f t="shared" si="10"/>
        <v>360</v>
      </c>
      <c r="D47" t="str">
        <f t="shared" si="0"/>
        <v>0x0168</v>
      </c>
      <c r="E47" s="64"/>
      <c r="F47" s="13" t="s">
        <v>110</v>
      </c>
      <c r="G47">
        <f t="shared" si="9"/>
        <v>24</v>
      </c>
      <c r="H47" t="s">
        <v>111</v>
      </c>
      <c r="I47" s="64"/>
      <c r="Q47" s="85"/>
      <c r="R47" s="85"/>
      <c r="S47" s="55"/>
      <c r="T47" s="55"/>
      <c r="U47" s="55"/>
      <c r="V47" s="85"/>
      <c r="W47" s="55"/>
      <c r="X47" s="55"/>
      <c r="Y47" s="56"/>
      <c r="Z47" s="55"/>
      <c r="AA47" s="52"/>
      <c r="AB47" s="52"/>
      <c r="AC47" s="50"/>
      <c r="AD47" s="48"/>
      <c r="AE47" s="51"/>
      <c r="AF47" s="47"/>
      <c r="AG47" s="47"/>
      <c r="AH47" s="47"/>
      <c r="AI47" s="47"/>
      <c r="AJ47" s="47"/>
      <c r="AK47" s="47"/>
      <c r="AL47" s="47"/>
      <c r="AM47" s="47"/>
    </row>
    <row r="48" spans="1:39" x14ac:dyDescent="0.35">
      <c r="A48" s="59"/>
      <c r="B48">
        <v>1</v>
      </c>
      <c r="C48">
        <f t="shared" si="10"/>
        <v>361</v>
      </c>
      <c r="D48" t="str">
        <f t="shared" si="0"/>
        <v>0x0169</v>
      </c>
      <c r="E48" s="64"/>
      <c r="F48" s="13" t="s">
        <v>112</v>
      </c>
      <c r="G48">
        <f t="shared" si="9"/>
        <v>25</v>
      </c>
      <c r="H48" t="s">
        <v>111</v>
      </c>
      <c r="I48" s="64"/>
      <c r="Q48" s="85"/>
      <c r="R48" s="85"/>
      <c r="S48" s="55"/>
      <c r="T48" s="55"/>
      <c r="U48" s="55"/>
      <c r="V48" s="85"/>
      <c r="W48" s="55"/>
      <c r="X48" s="55"/>
      <c r="Y48" s="56"/>
      <c r="Z48" s="55"/>
      <c r="AA48" s="52"/>
      <c r="AB48" s="52"/>
      <c r="AC48" s="50"/>
      <c r="AD48" s="48"/>
      <c r="AE48" s="51"/>
      <c r="AF48" s="47"/>
      <c r="AG48" s="47"/>
      <c r="AH48" s="47"/>
      <c r="AI48" s="47"/>
      <c r="AJ48" s="47"/>
      <c r="AK48" s="47"/>
      <c r="AL48" s="47"/>
      <c r="AM48" s="47"/>
    </row>
    <row r="49" spans="1:39" ht="94.5" customHeight="1" x14ac:dyDescent="0.35">
      <c r="A49" s="59"/>
      <c r="B49">
        <v>1</v>
      </c>
      <c r="C49">
        <f t="shared" si="10"/>
        <v>362</v>
      </c>
      <c r="D49" t="str">
        <f t="shared" si="0"/>
        <v>0x016A</v>
      </c>
      <c r="E49" s="64"/>
      <c r="F49" s="13" t="s">
        <v>113</v>
      </c>
      <c r="G49">
        <f t="shared" si="9"/>
        <v>26</v>
      </c>
      <c r="H49" t="s">
        <v>111</v>
      </c>
      <c r="I49" s="64"/>
      <c r="L49" s="55"/>
      <c r="M49" s="55"/>
      <c r="Q49" s="85"/>
      <c r="R49" s="85"/>
      <c r="S49" s="78"/>
      <c r="T49" s="78"/>
      <c r="U49" s="78"/>
      <c r="V49" s="85"/>
      <c r="W49" s="78"/>
      <c r="X49" s="78"/>
      <c r="Y49" s="82"/>
      <c r="Z49" s="78"/>
      <c r="AA49" s="57"/>
      <c r="AB49" s="83"/>
      <c r="AC49" s="84"/>
      <c r="AD49" s="52"/>
      <c r="AE49" s="84"/>
      <c r="AF49" s="81"/>
      <c r="AG49" s="81"/>
      <c r="AH49" s="81"/>
      <c r="AI49" s="81"/>
      <c r="AJ49" s="81"/>
      <c r="AK49" s="81"/>
      <c r="AL49" s="81"/>
      <c r="AM49" s="81"/>
    </row>
    <row r="50" spans="1:39" ht="29.15" customHeight="1" x14ac:dyDescent="0.35">
      <c r="A50" s="59"/>
      <c r="B50">
        <v>1</v>
      </c>
      <c r="C50">
        <f t="shared" si="10"/>
        <v>363</v>
      </c>
      <c r="D50" t="str">
        <f t="shared" si="0"/>
        <v>0x016B</v>
      </c>
      <c r="E50" s="64"/>
      <c r="F50" s="13" t="s">
        <v>114</v>
      </c>
      <c r="G50">
        <f t="shared" si="9"/>
        <v>27</v>
      </c>
      <c r="H50" t="s">
        <v>111</v>
      </c>
      <c r="I50" s="64"/>
      <c r="Q50" s="85"/>
      <c r="R50" s="85"/>
      <c r="S50" s="78"/>
      <c r="T50" s="78"/>
      <c r="U50" s="78"/>
      <c r="V50" s="85"/>
      <c r="W50" s="78"/>
      <c r="X50" s="78"/>
      <c r="Y50" s="82"/>
      <c r="Z50" s="78"/>
      <c r="AA50" s="52"/>
      <c r="AB50" s="83"/>
      <c r="AC50" s="84"/>
      <c r="AD50" s="52"/>
      <c r="AE50" s="84"/>
      <c r="AF50" s="81"/>
      <c r="AG50" s="81"/>
      <c r="AH50" s="81"/>
      <c r="AI50" s="81"/>
      <c r="AJ50" s="81"/>
      <c r="AK50" s="81"/>
      <c r="AL50" s="81"/>
      <c r="AM50" s="81"/>
    </row>
    <row r="51" spans="1:39" ht="56.5" customHeight="1" x14ac:dyDescent="0.35">
      <c r="A51" s="59"/>
      <c r="B51">
        <v>1</v>
      </c>
      <c r="C51">
        <f t="shared" si="10"/>
        <v>364</v>
      </c>
      <c r="D51" t="str">
        <f t="shared" si="0"/>
        <v>0x016C</v>
      </c>
      <c r="E51" s="64"/>
      <c r="F51" s="13" t="s">
        <v>115</v>
      </c>
      <c r="G51">
        <f t="shared" si="9"/>
        <v>28</v>
      </c>
      <c r="H51" t="s">
        <v>111</v>
      </c>
      <c r="I51" s="64"/>
      <c r="Q51" s="85"/>
      <c r="R51" s="85"/>
      <c r="S51" s="78"/>
      <c r="T51" s="78"/>
      <c r="U51" s="78"/>
      <c r="V51" s="85"/>
      <c r="W51" s="78"/>
      <c r="X51" s="78"/>
      <c r="Y51" s="82"/>
      <c r="Z51" s="78"/>
      <c r="AA51" s="85"/>
      <c r="AB51" s="85"/>
      <c r="AC51" s="84"/>
      <c r="AD51" s="52"/>
      <c r="AE51" s="84"/>
      <c r="AF51" s="81"/>
      <c r="AG51" s="81"/>
      <c r="AH51" s="81"/>
      <c r="AI51" s="81"/>
      <c r="AJ51" s="81"/>
      <c r="AK51" s="81"/>
      <c r="AL51" s="81"/>
      <c r="AM51" s="81"/>
    </row>
    <row r="52" spans="1:39" ht="29.15" customHeight="1" x14ac:dyDescent="0.35">
      <c r="A52" s="59"/>
      <c r="B52">
        <v>1</v>
      </c>
      <c r="C52">
        <f t="shared" si="10"/>
        <v>365</v>
      </c>
      <c r="D52" t="str">
        <f t="shared" si="0"/>
        <v>0x016D</v>
      </c>
      <c r="E52" s="64"/>
      <c r="F52" s="13" t="s">
        <v>116</v>
      </c>
      <c r="G52">
        <f t="shared" si="9"/>
        <v>29</v>
      </c>
      <c r="H52" t="s">
        <v>111</v>
      </c>
      <c r="I52" s="64"/>
      <c r="Q52" s="85"/>
      <c r="R52" s="85"/>
      <c r="S52" s="78"/>
      <c r="T52" s="78"/>
      <c r="U52" s="78"/>
      <c r="V52" s="85"/>
      <c r="W52" s="78"/>
      <c r="X52" s="78"/>
      <c r="Y52" s="82"/>
      <c r="Z52" s="78"/>
      <c r="AA52" s="85"/>
      <c r="AB52" s="85"/>
      <c r="AC52" s="84"/>
      <c r="AD52" s="52"/>
      <c r="AE52" s="84"/>
      <c r="AF52" s="81"/>
      <c r="AG52" s="81"/>
      <c r="AH52" s="81"/>
      <c r="AI52" s="81"/>
      <c r="AJ52" s="81"/>
      <c r="AK52" s="81"/>
      <c r="AL52" s="81"/>
      <c r="AM52" s="81"/>
    </row>
    <row r="53" spans="1:39" ht="29.15" customHeight="1" x14ac:dyDescent="0.35">
      <c r="A53" s="59"/>
      <c r="B53">
        <v>1</v>
      </c>
      <c r="C53">
        <f t="shared" si="10"/>
        <v>366</v>
      </c>
      <c r="D53" t="str">
        <f t="shared" si="0"/>
        <v>0x016E</v>
      </c>
      <c r="E53" s="64"/>
      <c r="F53" s="13" t="s">
        <v>117</v>
      </c>
      <c r="G53">
        <f t="shared" si="9"/>
        <v>30</v>
      </c>
      <c r="H53" t="s">
        <v>111</v>
      </c>
      <c r="I53" s="64"/>
      <c r="Q53" s="52"/>
      <c r="R53" s="85"/>
      <c r="S53" s="55"/>
      <c r="T53" s="55"/>
      <c r="U53" s="55"/>
      <c r="V53" s="52"/>
      <c r="W53" s="55"/>
      <c r="X53" s="55"/>
      <c r="Y53" s="46"/>
      <c r="Z53" s="55"/>
      <c r="AA53" s="52"/>
      <c r="AB53" s="55"/>
      <c r="AC53" s="55"/>
      <c r="AD53" s="55"/>
      <c r="AE53" s="47"/>
      <c r="AF53" s="47"/>
      <c r="AG53" s="47"/>
      <c r="AH53" s="47"/>
      <c r="AI53" s="47"/>
      <c r="AJ53" s="47"/>
      <c r="AK53" s="47"/>
      <c r="AL53" s="47"/>
      <c r="AM53" s="47"/>
    </row>
    <row r="54" spans="1:39" ht="40.5" customHeight="1" x14ac:dyDescent="0.35">
      <c r="A54" s="59"/>
      <c r="B54">
        <v>1</v>
      </c>
      <c r="C54">
        <f t="shared" si="10"/>
        <v>367</v>
      </c>
      <c r="D54" t="str">
        <f t="shared" si="0"/>
        <v>0x016F</v>
      </c>
      <c r="E54" s="64"/>
      <c r="F54" s="13" t="s">
        <v>118</v>
      </c>
      <c r="G54">
        <f t="shared" si="9"/>
        <v>31</v>
      </c>
      <c r="H54" t="s">
        <v>111</v>
      </c>
      <c r="I54" s="64"/>
      <c r="Q54" s="85"/>
      <c r="R54" s="85"/>
      <c r="S54" s="78"/>
      <c r="T54" s="78"/>
      <c r="U54" s="78"/>
      <c r="V54" s="85"/>
      <c r="W54" s="78"/>
      <c r="X54" s="82"/>
      <c r="Y54" s="78"/>
      <c r="Z54" s="78"/>
      <c r="AA54" s="85"/>
      <c r="AB54" s="85"/>
      <c r="AC54" s="78"/>
      <c r="AD54" s="52"/>
      <c r="AE54" s="81"/>
      <c r="AF54" s="81"/>
      <c r="AG54" s="81"/>
      <c r="AH54" s="81"/>
      <c r="AI54" s="81"/>
      <c r="AJ54" s="81"/>
      <c r="AK54" s="81"/>
      <c r="AL54" s="81"/>
      <c r="AM54" s="81"/>
    </row>
    <row r="55" spans="1:39" ht="29.15" customHeight="1" x14ac:dyDescent="0.35">
      <c r="A55" s="59"/>
      <c r="B55">
        <v>1</v>
      </c>
      <c r="C55">
        <f t="shared" si="10"/>
        <v>368</v>
      </c>
      <c r="D55" t="str">
        <f t="shared" si="0"/>
        <v>0x0170</v>
      </c>
      <c r="E55" s="64"/>
      <c r="F55" s="13" t="s">
        <v>119</v>
      </c>
      <c r="G55">
        <f t="shared" si="9"/>
        <v>32</v>
      </c>
      <c r="H55" t="s">
        <v>111</v>
      </c>
      <c r="I55" s="64"/>
      <c r="Q55" s="85"/>
      <c r="R55" s="85"/>
      <c r="S55" s="78"/>
      <c r="T55" s="78"/>
      <c r="U55" s="78"/>
      <c r="V55" s="85"/>
      <c r="W55" s="78"/>
      <c r="X55" s="82"/>
      <c r="Y55" s="78"/>
      <c r="Z55" s="78"/>
      <c r="AA55" s="85"/>
      <c r="AB55" s="85"/>
      <c r="AC55" s="78"/>
      <c r="AD55" s="52"/>
      <c r="AE55" s="81"/>
      <c r="AF55" s="81"/>
      <c r="AG55" s="81"/>
      <c r="AH55" s="81"/>
      <c r="AI55" s="81"/>
      <c r="AJ55" s="81"/>
      <c r="AK55" s="81"/>
      <c r="AL55" s="81"/>
      <c r="AM55" s="81"/>
    </row>
    <row r="56" spans="1:39" ht="29" x14ac:dyDescent="0.35">
      <c r="A56" s="59"/>
      <c r="B56">
        <v>1</v>
      </c>
      <c r="C56">
        <f t="shared" si="10"/>
        <v>369</v>
      </c>
      <c r="D56" t="str">
        <f t="shared" si="0"/>
        <v>0x0171</v>
      </c>
      <c r="E56" s="64"/>
      <c r="F56" s="13" t="s">
        <v>120</v>
      </c>
      <c r="G56">
        <f t="shared" si="9"/>
        <v>33</v>
      </c>
      <c r="H56" t="s">
        <v>111</v>
      </c>
      <c r="I56" s="64"/>
    </row>
    <row r="57" spans="1:39" ht="29" x14ac:dyDescent="0.35">
      <c r="A57" s="59"/>
      <c r="B57">
        <v>2</v>
      </c>
      <c r="C57">
        <f t="shared" si="10"/>
        <v>370</v>
      </c>
      <c r="D57" t="str">
        <f t="shared" si="0"/>
        <v>0x0172</v>
      </c>
      <c r="E57" s="64"/>
      <c r="F57" s="13" t="s">
        <v>121</v>
      </c>
      <c r="G57">
        <f t="shared" si="9"/>
        <v>34</v>
      </c>
      <c r="H57" t="s">
        <v>122</v>
      </c>
      <c r="I57" s="64"/>
    </row>
    <row r="58" spans="1:39" ht="29.5" customHeight="1" x14ac:dyDescent="0.35">
      <c r="A58" s="59"/>
      <c r="B58">
        <v>2</v>
      </c>
      <c r="C58">
        <f t="shared" si="10"/>
        <v>372</v>
      </c>
      <c r="D58" t="str">
        <f t="shared" si="0"/>
        <v>0x0174</v>
      </c>
      <c r="E58" s="64"/>
      <c r="F58" s="13" t="s">
        <v>123</v>
      </c>
      <c r="G58">
        <f t="shared" si="9"/>
        <v>36</v>
      </c>
      <c r="H58" t="s">
        <v>122</v>
      </c>
      <c r="I58" s="64"/>
    </row>
    <row r="59" spans="1:39" ht="29" x14ac:dyDescent="0.35">
      <c r="A59" s="59"/>
      <c r="B59">
        <v>4</v>
      </c>
      <c r="C59">
        <f t="shared" si="10"/>
        <v>374</v>
      </c>
      <c r="D59" t="str">
        <f t="shared" si="0"/>
        <v>0x0176</v>
      </c>
      <c r="E59" s="64"/>
      <c r="F59" s="13" t="s">
        <v>124</v>
      </c>
      <c r="G59">
        <f t="shared" si="9"/>
        <v>38</v>
      </c>
      <c r="H59" t="s">
        <v>108</v>
      </c>
      <c r="I59" s="64"/>
    </row>
    <row r="60" spans="1:39" ht="29.5" thickBot="1" x14ac:dyDescent="0.4">
      <c r="A60" s="67"/>
      <c r="B60" s="18">
        <v>294</v>
      </c>
      <c r="C60" s="3">
        <f t="shared" si="10"/>
        <v>378</v>
      </c>
      <c r="D60" s="18" t="str">
        <f t="shared" si="0"/>
        <v>0x017A</v>
      </c>
      <c r="E60" s="65"/>
      <c r="F60" s="26" t="s">
        <v>83</v>
      </c>
      <c r="G60" s="3">
        <f t="shared" si="9"/>
        <v>42</v>
      </c>
      <c r="H60" s="3"/>
      <c r="I60" s="64"/>
    </row>
    <row r="61" spans="1:39" x14ac:dyDescent="0.35">
      <c r="A61" s="58" t="s">
        <v>125</v>
      </c>
      <c r="B61" s="27">
        <v>4</v>
      </c>
      <c r="C61" s="27">
        <f>C60+B60</f>
        <v>672</v>
      </c>
      <c r="D61" t="str">
        <f t="shared" si="0"/>
        <v>0x02A0</v>
      </c>
      <c r="E61" s="68">
        <f>SUM(B61:B79)</f>
        <v>336</v>
      </c>
      <c r="F61" s="19" t="s">
        <v>55</v>
      </c>
      <c r="G61" s="27">
        <v>0</v>
      </c>
      <c r="H61" s="27" t="s">
        <v>98</v>
      </c>
      <c r="I61" s="64"/>
    </row>
    <row r="62" spans="1:39" x14ac:dyDescent="0.35">
      <c r="A62" s="59"/>
      <c r="B62">
        <v>4</v>
      </c>
      <c r="C62">
        <f>C61+B61</f>
        <v>676</v>
      </c>
      <c r="D62" t="str">
        <f t="shared" si="0"/>
        <v>0x02A4</v>
      </c>
      <c r="E62" s="64"/>
      <c r="F62" s="13" t="s">
        <v>100</v>
      </c>
      <c r="G62">
        <f t="shared" ref="G62:G79" si="11">G61+B61</f>
        <v>4</v>
      </c>
      <c r="H62" t="s">
        <v>101</v>
      </c>
      <c r="I62" s="64"/>
    </row>
    <row r="63" spans="1:39" x14ac:dyDescent="0.35">
      <c r="A63" s="59"/>
      <c r="B63">
        <v>8</v>
      </c>
      <c r="C63">
        <f t="shared" ref="C63:C79" si="12">C62+B62</f>
        <v>680</v>
      </c>
      <c r="D63" t="str">
        <f t="shared" si="0"/>
        <v>0x02A8</v>
      </c>
      <c r="E63" s="64"/>
      <c r="F63" s="13" t="s">
        <v>102</v>
      </c>
      <c r="G63">
        <f t="shared" si="11"/>
        <v>8</v>
      </c>
      <c r="H63" t="s">
        <v>103</v>
      </c>
      <c r="I63" s="64"/>
    </row>
    <row r="64" spans="1:39" x14ac:dyDescent="0.35">
      <c r="A64" s="59"/>
      <c r="B64">
        <v>4</v>
      </c>
      <c r="C64">
        <f t="shared" si="12"/>
        <v>688</v>
      </c>
      <c r="D64" t="str">
        <f t="shared" si="0"/>
        <v>0x02B0</v>
      </c>
      <c r="E64" s="64"/>
      <c r="F64" s="13" t="s">
        <v>107</v>
      </c>
      <c r="G64">
        <f t="shared" si="11"/>
        <v>16</v>
      </c>
      <c r="H64" t="s">
        <v>108</v>
      </c>
      <c r="I64" s="64"/>
    </row>
    <row r="65" spans="1:9" ht="29" x14ac:dyDescent="0.35">
      <c r="A65" s="59"/>
      <c r="B65">
        <v>4</v>
      </c>
      <c r="C65">
        <f t="shared" si="12"/>
        <v>692</v>
      </c>
      <c r="D65" t="str">
        <f t="shared" si="0"/>
        <v>0x02B4</v>
      </c>
      <c r="E65" s="64"/>
      <c r="F65" s="13" t="s">
        <v>109</v>
      </c>
      <c r="G65">
        <f t="shared" si="11"/>
        <v>20</v>
      </c>
      <c r="H65" t="s">
        <v>108</v>
      </c>
      <c r="I65" s="64"/>
    </row>
    <row r="66" spans="1:9" x14ac:dyDescent="0.35">
      <c r="A66" s="59"/>
      <c r="B66">
        <v>1</v>
      </c>
      <c r="C66">
        <f t="shared" si="12"/>
        <v>696</v>
      </c>
      <c r="D66" t="str">
        <f t="shared" si="0"/>
        <v>0x02B8</v>
      </c>
      <c r="E66" s="64"/>
      <c r="F66" s="13" t="s">
        <v>110</v>
      </c>
      <c r="G66">
        <f t="shared" si="11"/>
        <v>24</v>
      </c>
      <c r="H66" t="s">
        <v>111</v>
      </c>
      <c r="I66" s="64"/>
    </row>
    <row r="67" spans="1:9" x14ac:dyDescent="0.35">
      <c r="A67" s="59"/>
      <c r="B67">
        <v>1</v>
      </c>
      <c r="C67">
        <f t="shared" si="12"/>
        <v>697</v>
      </c>
      <c r="D67" t="str">
        <f t="shared" si="0"/>
        <v>0x02B9</v>
      </c>
      <c r="E67" s="64"/>
      <c r="F67" s="13" t="s">
        <v>112</v>
      </c>
      <c r="G67">
        <f t="shared" si="11"/>
        <v>25</v>
      </c>
      <c r="H67" t="s">
        <v>111</v>
      </c>
      <c r="I67" s="64"/>
    </row>
    <row r="68" spans="1:9" x14ac:dyDescent="0.35">
      <c r="A68" s="59"/>
      <c r="B68">
        <v>1</v>
      </c>
      <c r="C68">
        <f t="shared" si="12"/>
        <v>698</v>
      </c>
      <c r="D68" t="str">
        <f t="shared" si="0"/>
        <v>0x02BA</v>
      </c>
      <c r="E68" s="64"/>
      <c r="F68" s="13" t="s">
        <v>113</v>
      </c>
      <c r="G68">
        <f t="shared" si="11"/>
        <v>26</v>
      </c>
      <c r="H68" t="s">
        <v>111</v>
      </c>
      <c r="I68" s="64"/>
    </row>
    <row r="69" spans="1:9" x14ac:dyDescent="0.35">
      <c r="A69" s="59"/>
      <c r="B69">
        <v>1</v>
      </c>
      <c r="C69">
        <f t="shared" si="12"/>
        <v>699</v>
      </c>
      <c r="D69" t="str">
        <f t="shared" si="0"/>
        <v>0x02BB</v>
      </c>
      <c r="E69" s="64"/>
      <c r="F69" s="13" t="s">
        <v>114</v>
      </c>
      <c r="G69">
        <f t="shared" si="11"/>
        <v>27</v>
      </c>
      <c r="H69" t="s">
        <v>111</v>
      </c>
      <c r="I69" s="64"/>
    </row>
    <row r="70" spans="1:9" ht="29" x14ac:dyDescent="0.35">
      <c r="A70" s="59"/>
      <c r="B70">
        <v>1</v>
      </c>
      <c r="C70">
        <f t="shared" si="12"/>
        <v>700</v>
      </c>
      <c r="D70" t="str">
        <f t="shared" si="0"/>
        <v>0x02BC</v>
      </c>
      <c r="E70" s="64"/>
      <c r="F70" s="13" t="s">
        <v>115</v>
      </c>
      <c r="G70">
        <f t="shared" si="11"/>
        <v>28</v>
      </c>
      <c r="H70" t="s">
        <v>111</v>
      </c>
      <c r="I70" s="64"/>
    </row>
    <row r="71" spans="1:9" ht="29" x14ac:dyDescent="0.35">
      <c r="A71" s="59"/>
      <c r="B71">
        <v>1</v>
      </c>
      <c r="C71">
        <f t="shared" si="12"/>
        <v>701</v>
      </c>
      <c r="D71" t="str">
        <f t="shared" si="0"/>
        <v>0x02BD</v>
      </c>
      <c r="E71" s="64"/>
      <c r="F71" s="13" t="s">
        <v>116</v>
      </c>
      <c r="G71">
        <f t="shared" si="11"/>
        <v>29</v>
      </c>
      <c r="H71" t="s">
        <v>111</v>
      </c>
      <c r="I71" s="64"/>
    </row>
    <row r="72" spans="1:9" ht="29" x14ac:dyDescent="0.35">
      <c r="A72" s="59"/>
      <c r="B72">
        <v>1</v>
      </c>
      <c r="C72">
        <f t="shared" si="12"/>
        <v>702</v>
      </c>
      <c r="D72" t="str">
        <f t="shared" si="0"/>
        <v>0x02BE</v>
      </c>
      <c r="E72" s="64"/>
      <c r="F72" s="13" t="s">
        <v>117</v>
      </c>
      <c r="G72">
        <f t="shared" si="11"/>
        <v>30</v>
      </c>
      <c r="H72" t="s">
        <v>111</v>
      </c>
      <c r="I72" s="64"/>
    </row>
    <row r="73" spans="1:9" ht="29" x14ac:dyDescent="0.35">
      <c r="A73" s="59"/>
      <c r="B73">
        <v>1</v>
      </c>
      <c r="C73">
        <f t="shared" si="12"/>
        <v>703</v>
      </c>
      <c r="D73" t="str">
        <f t="shared" ref="D73:D80" si="13">"0x"&amp;DEC2HEX(C73,4)</f>
        <v>0x02BF</v>
      </c>
      <c r="E73" s="64"/>
      <c r="F73" s="13" t="s">
        <v>118</v>
      </c>
      <c r="G73">
        <f t="shared" si="11"/>
        <v>31</v>
      </c>
      <c r="H73" t="s">
        <v>111</v>
      </c>
      <c r="I73" s="64"/>
    </row>
    <row r="74" spans="1:9" ht="29" x14ac:dyDescent="0.35">
      <c r="A74" s="59"/>
      <c r="B74">
        <v>1</v>
      </c>
      <c r="C74">
        <f t="shared" si="12"/>
        <v>704</v>
      </c>
      <c r="D74" t="str">
        <f t="shared" si="13"/>
        <v>0x02C0</v>
      </c>
      <c r="E74" s="64"/>
      <c r="F74" s="13" t="s">
        <v>119</v>
      </c>
      <c r="G74">
        <f t="shared" si="11"/>
        <v>32</v>
      </c>
      <c r="H74" t="s">
        <v>111</v>
      </c>
      <c r="I74" s="64"/>
    </row>
    <row r="75" spans="1:9" ht="29" x14ac:dyDescent="0.35">
      <c r="A75" s="59"/>
      <c r="B75">
        <v>1</v>
      </c>
      <c r="C75">
        <f t="shared" si="12"/>
        <v>705</v>
      </c>
      <c r="D75" t="str">
        <f t="shared" si="13"/>
        <v>0x02C1</v>
      </c>
      <c r="E75" s="64"/>
      <c r="F75" s="13" t="s">
        <v>120</v>
      </c>
      <c r="G75">
        <f t="shared" si="11"/>
        <v>33</v>
      </c>
      <c r="H75" t="s">
        <v>111</v>
      </c>
      <c r="I75" s="64"/>
    </row>
    <row r="76" spans="1:9" ht="29" x14ac:dyDescent="0.35">
      <c r="A76" s="59"/>
      <c r="B76">
        <v>2</v>
      </c>
      <c r="C76">
        <f t="shared" si="12"/>
        <v>706</v>
      </c>
      <c r="D76" t="str">
        <f t="shared" si="13"/>
        <v>0x02C2</v>
      </c>
      <c r="E76" s="64"/>
      <c r="F76" s="13" t="s">
        <v>121</v>
      </c>
      <c r="G76">
        <f t="shared" si="11"/>
        <v>34</v>
      </c>
      <c r="H76" t="s">
        <v>122</v>
      </c>
      <c r="I76" s="64"/>
    </row>
    <row r="77" spans="1:9" ht="29" x14ac:dyDescent="0.35">
      <c r="A77" s="59"/>
      <c r="B77">
        <v>2</v>
      </c>
      <c r="C77">
        <f t="shared" si="12"/>
        <v>708</v>
      </c>
      <c r="D77" t="str">
        <f t="shared" si="13"/>
        <v>0x02C4</v>
      </c>
      <c r="E77" s="64"/>
      <c r="F77" s="13" t="s">
        <v>123</v>
      </c>
      <c r="G77">
        <f t="shared" si="11"/>
        <v>36</v>
      </c>
      <c r="H77" t="s">
        <v>122</v>
      </c>
      <c r="I77" s="64"/>
    </row>
    <row r="78" spans="1:9" ht="29" x14ac:dyDescent="0.35">
      <c r="A78" s="59"/>
      <c r="B78">
        <v>4</v>
      </c>
      <c r="C78">
        <f t="shared" si="12"/>
        <v>710</v>
      </c>
      <c r="D78" t="str">
        <f t="shared" si="13"/>
        <v>0x02C6</v>
      </c>
      <c r="E78" s="64"/>
      <c r="F78" s="13" t="s">
        <v>124</v>
      </c>
      <c r="G78">
        <f t="shared" si="11"/>
        <v>38</v>
      </c>
      <c r="H78" t="s">
        <v>108</v>
      </c>
      <c r="I78" s="64"/>
    </row>
    <row r="79" spans="1:9" ht="29.5" thickBot="1" x14ac:dyDescent="0.4">
      <c r="A79" s="60"/>
      <c r="B79" s="22">
        <v>294</v>
      </c>
      <c r="C79" s="22">
        <f t="shared" si="12"/>
        <v>714</v>
      </c>
      <c r="D79" s="3" t="str">
        <f t="shared" si="13"/>
        <v>0x02CA</v>
      </c>
      <c r="E79" s="65"/>
      <c r="F79" s="28" t="s">
        <v>83</v>
      </c>
      <c r="G79" s="3">
        <f t="shared" si="11"/>
        <v>42</v>
      </c>
      <c r="H79" s="3"/>
      <c r="I79" s="64"/>
    </row>
    <row r="80" spans="1:9" ht="43.5" x14ac:dyDescent="0.35">
      <c r="A80" s="29" t="s">
        <v>126</v>
      </c>
      <c r="B80" s="30">
        <v>16</v>
      </c>
      <c r="C80" s="31">
        <f>C79+B80</f>
        <v>730</v>
      </c>
      <c r="D80" s="32" t="str">
        <f t="shared" si="13"/>
        <v>0x02DA</v>
      </c>
      <c r="E80" s="8">
        <f>B80</f>
        <v>16</v>
      </c>
      <c r="F80" s="33" t="s">
        <v>127</v>
      </c>
      <c r="G80" s="34"/>
      <c r="H80" s="34"/>
      <c r="I80" s="64"/>
    </row>
  </sheetData>
  <mergeCells count="300">
    <mergeCell ref="AG54:AG55"/>
    <mergeCell ref="AH54:AH55"/>
    <mergeCell ref="AI54:AI55"/>
    <mergeCell ref="AJ54:AJ55"/>
    <mergeCell ref="AK54:AK55"/>
    <mergeCell ref="AM51:AM52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E54:AE55"/>
    <mergeCell ref="AF54:AF55"/>
    <mergeCell ref="AL54:AL55"/>
    <mergeCell ref="AK51:AK52"/>
    <mergeCell ref="S51:S52"/>
    <mergeCell ref="AM49:AM50"/>
    <mergeCell ref="AH49:AH50"/>
    <mergeCell ref="AI49:AI50"/>
    <mergeCell ref="AJ49:AJ50"/>
    <mergeCell ref="AK49:AK50"/>
    <mergeCell ref="AL49:AL50"/>
    <mergeCell ref="AI51:AI52"/>
    <mergeCell ref="AJ51:AJ52"/>
    <mergeCell ref="AM54:AM55"/>
    <mergeCell ref="AH51:AH52"/>
    <mergeCell ref="T51:T52"/>
    <mergeCell ref="U51:U52"/>
    <mergeCell ref="W51:W52"/>
    <mergeCell ref="X51:X52"/>
    <mergeCell ref="Y51:Y52"/>
    <mergeCell ref="Z51:Z52"/>
    <mergeCell ref="AA51:AA52"/>
    <mergeCell ref="AB51:AB52"/>
    <mergeCell ref="AM41:AM42"/>
    <mergeCell ref="AE43:AE44"/>
    <mergeCell ref="AF43:AF44"/>
    <mergeCell ref="AG43:AG44"/>
    <mergeCell ref="AH43:AH44"/>
    <mergeCell ref="AI43:AI44"/>
    <mergeCell ref="AJ43:AJ44"/>
    <mergeCell ref="T41:T42"/>
    <mergeCell ref="U41:U42"/>
    <mergeCell ref="W41:W42"/>
    <mergeCell ref="X41:X42"/>
    <mergeCell ref="Y41:Y42"/>
    <mergeCell ref="AM43:AM44"/>
    <mergeCell ref="AL51:AL52"/>
    <mergeCell ref="AB49:AB50"/>
    <mergeCell ref="AC49:AC50"/>
    <mergeCell ref="S43:S44"/>
    <mergeCell ref="T43:T44"/>
    <mergeCell ref="U43:U44"/>
    <mergeCell ref="W43:W44"/>
    <mergeCell ref="X43:X44"/>
    <mergeCell ref="Y43:Y44"/>
    <mergeCell ref="Z43:Z44"/>
    <mergeCell ref="AB43:AB44"/>
    <mergeCell ref="AC43:AC44"/>
    <mergeCell ref="AM26:AM27"/>
    <mergeCell ref="AA28:AA29"/>
    <mergeCell ref="AJ24:AJ25"/>
    <mergeCell ref="AK24:AK25"/>
    <mergeCell ref="AL24:AL25"/>
    <mergeCell ref="AM24:AM25"/>
    <mergeCell ref="AE26:AE27"/>
    <mergeCell ref="AF26:AF27"/>
    <mergeCell ref="AG26:AG27"/>
    <mergeCell ref="AJ28:AJ29"/>
    <mergeCell ref="AK28:AK29"/>
    <mergeCell ref="AL28:AL29"/>
    <mergeCell ref="AM28:AM29"/>
    <mergeCell ref="AB28:AB29"/>
    <mergeCell ref="AC28:AC29"/>
    <mergeCell ref="AE28:AE29"/>
    <mergeCell ref="AF28:AI29"/>
    <mergeCell ref="AH26:AH27"/>
    <mergeCell ref="AI26:AI27"/>
    <mergeCell ref="AB24:AB25"/>
    <mergeCell ref="AC24:AC25"/>
    <mergeCell ref="AE24:AE25"/>
    <mergeCell ref="AF24:AI25"/>
    <mergeCell ref="W26:W27"/>
    <mergeCell ref="X26:X27"/>
    <mergeCell ref="Y26:Y27"/>
    <mergeCell ref="Z26:Z27"/>
    <mergeCell ref="AB26:AB27"/>
    <mergeCell ref="AC26:AC27"/>
    <mergeCell ref="AJ26:AJ27"/>
    <mergeCell ref="AK26:AK27"/>
    <mergeCell ref="AL26:AL27"/>
    <mergeCell ref="AK18:AK19"/>
    <mergeCell ref="AL18:AL19"/>
    <mergeCell ref="AM18:AM19"/>
    <mergeCell ref="AB20:AB23"/>
    <mergeCell ref="AC20:AC23"/>
    <mergeCell ref="AE20:AE23"/>
    <mergeCell ref="AJ20:AM23"/>
    <mergeCell ref="AB18:AB19"/>
    <mergeCell ref="AC18:AC19"/>
    <mergeCell ref="R20:R36"/>
    <mergeCell ref="S20:S23"/>
    <mergeCell ref="T20:T23"/>
    <mergeCell ref="U20:U23"/>
    <mergeCell ref="V20:V35"/>
    <mergeCell ref="W20:W23"/>
    <mergeCell ref="X20:X23"/>
    <mergeCell ref="Y20:Y23"/>
    <mergeCell ref="Z20:Z23"/>
    <mergeCell ref="W34:W35"/>
    <mergeCell ref="X34:X35"/>
    <mergeCell ref="X24:X25"/>
    <mergeCell ref="Z28:Z29"/>
    <mergeCell ref="S28:S29"/>
    <mergeCell ref="T28:T29"/>
    <mergeCell ref="U28:U29"/>
    <mergeCell ref="W28:W29"/>
    <mergeCell ref="X28:X29"/>
    <mergeCell ref="Y28:Y29"/>
    <mergeCell ref="Y24:Y25"/>
    <mergeCell ref="Z24:Z25"/>
    <mergeCell ref="S26:S27"/>
    <mergeCell ref="T26:T27"/>
    <mergeCell ref="U26:U27"/>
    <mergeCell ref="AL12:AL13"/>
    <mergeCell ref="AM12:AM13"/>
    <mergeCell ref="S14:S17"/>
    <mergeCell ref="T14:T17"/>
    <mergeCell ref="U14:U17"/>
    <mergeCell ref="V14:V19"/>
    <mergeCell ref="W14:W17"/>
    <mergeCell ref="X14:X17"/>
    <mergeCell ref="Y14:Y17"/>
    <mergeCell ref="Z14:Z17"/>
    <mergeCell ref="AB14:AB17"/>
    <mergeCell ref="AC14:AC17"/>
    <mergeCell ref="AE14:AE17"/>
    <mergeCell ref="AJ14:AM17"/>
    <mergeCell ref="AE18:AE19"/>
    <mergeCell ref="AF18:AF19"/>
    <mergeCell ref="AG18:AG19"/>
    <mergeCell ref="AH18:AH19"/>
    <mergeCell ref="AI18:AI19"/>
    <mergeCell ref="X18:X19"/>
    <mergeCell ref="Y18:Y19"/>
    <mergeCell ref="Z18:Z19"/>
    <mergeCell ref="AA18:AA19"/>
    <mergeCell ref="AJ18:AJ19"/>
    <mergeCell ref="AE8:AE11"/>
    <mergeCell ref="AJ8:AM11"/>
    <mergeCell ref="S12:S13"/>
    <mergeCell ref="T12:T13"/>
    <mergeCell ref="U12:U13"/>
    <mergeCell ref="W12:W13"/>
    <mergeCell ref="X12:X13"/>
    <mergeCell ref="Y12:Y13"/>
    <mergeCell ref="Z12:Z13"/>
    <mergeCell ref="AA12:AA13"/>
    <mergeCell ref="AB12:AB13"/>
    <mergeCell ref="AC12:AC13"/>
    <mergeCell ref="AE12:AE13"/>
    <mergeCell ref="AF12:AF13"/>
    <mergeCell ref="AG12:AG13"/>
    <mergeCell ref="AH12:AH13"/>
    <mergeCell ref="X8:X11"/>
    <mergeCell ref="Y8:Y11"/>
    <mergeCell ref="Z8:Z11"/>
    <mergeCell ref="AB8:AB11"/>
    <mergeCell ref="AC8:AC11"/>
    <mergeCell ref="AI12:AI13"/>
    <mergeCell ref="AJ12:AJ13"/>
    <mergeCell ref="AK12:AK13"/>
    <mergeCell ref="Q3:W3"/>
    <mergeCell ref="Q8:Q52"/>
    <mergeCell ref="S8:S11"/>
    <mergeCell ref="T8:T11"/>
    <mergeCell ref="U8:U11"/>
    <mergeCell ref="V8:V13"/>
    <mergeCell ref="W8:W11"/>
    <mergeCell ref="S18:S19"/>
    <mergeCell ref="T18:T19"/>
    <mergeCell ref="U18:U19"/>
    <mergeCell ref="W18:W19"/>
    <mergeCell ref="S24:S25"/>
    <mergeCell ref="T24:T25"/>
    <mergeCell ref="U24:U25"/>
    <mergeCell ref="W24:W25"/>
    <mergeCell ref="S34:S35"/>
    <mergeCell ref="R37:R53"/>
    <mergeCell ref="S37:S40"/>
    <mergeCell ref="T37:T40"/>
    <mergeCell ref="U37:U40"/>
    <mergeCell ref="V37:V52"/>
    <mergeCell ref="W37:W40"/>
    <mergeCell ref="T34:T35"/>
    <mergeCell ref="U34:U35"/>
    <mergeCell ref="X37:X40"/>
    <mergeCell ref="Y37:Y40"/>
    <mergeCell ref="Z37:Z40"/>
    <mergeCell ref="AH41:AH42"/>
    <mergeCell ref="AI41:AI42"/>
    <mergeCell ref="AJ41:AJ42"/>
    <mergeCell ref="AK41:AK42"/>
    <mergeCell ref="AL41:AL42"/>
    <mergeCell ref="AK43:AK44"/>
    <mergeCell ref="AL43:AL44"/>
    <mergeCell ref="AB41:AB42"/>
    <mergeCell ref="AC41:AC42"/>
    <mergeCell ref="AE41:AE42"/>
    <mergeCell ref="AF41:AF42"/>
    <mergeCell ref="AG41:AG42"/>
    <mergeCell ref="AA37:AA40"/>
    <mergeCell ref="Z41:Z42"/>
    <mergeCell ref="AF34:AI35"/>
    <mergeCell ref="AJ34:AJ35"/>
    <mergeCell ref="AK34:AK35"/>
    <mergeCell ref="AL34:AL35"/>
    <mergeCell ref="AM34:AM35"/>
    <mergeCell ref="Z34:Z35"/>
    <mergeCell ref="AA34:AA35"/>
    <mergeCell ref="AB34:AB35"/>
    <mergeCell ref="AC34:AC35"/>
    <mergeCell ref="AE34:AE35"/>
    <mergeCell ref="AE49:AE50"/>
    <mergeCell ref="AF49:AF50"/>
    <mergeCell ref="AG49:AG50"/>
    <mergeCell ref="W49:W50"/>
    <mergeCell ref="X49:X50"/>
    <mergeCell ref="Y49:Y50"/>
    <mergeCell ref="Z49:Z50"/>
    <mergeCell ref="AC51:AC52"/>
    <mergeCell ref="AE51:AE52"/>
    <mergeCell ref="AF51:AF52"/>
    <mergeCell ref="AG51:AG52"/>
    <mergeCell ref="AM45:AM46"/>
    <mergeCell ref="AF45:AF46"/>
    <mergeCell ref="AG45:AG46"/>
    <mergeCell ref="AH45:AH46"/>
    <mergeCell ref="AI45:AI46"/>
    <mergeCell ref="AJ45:AJ46"/>
    <mergeCell ref="S45:S46"/>
    <mergeCell ref="T45:T46"/>
    <mergeCell ref="U45:U46"/>
    <mergeCell ref="W45:W46"/>
    <mergeCell ref="X45:X46"/>
    <mergeCell ref="Y45:Y46"/>
    <mergeCell ref="Z45:Z46"/>
    <mergeCell ref="AB45:AB46"/>
    <mergeCell ref="AC45:AC46"/>
    <mergeCell ref="AE45:AE46"/>
    <mergeCell ref="AA45:AA46"/>
    <mergeCell ref="S49:S50"/>
    <mergeCell ref="T49:T50"/>
    <mergeCell ref="U49:U50"/>
    <mergeCell ref="S41:S42"/>
    <mergeCell ref="AC37:AC40"/>
    <mergeCell ref="AE37:AE40"/>
    <mergeCell ref="AM32:AM33"/>
    <mergeCell ref="S32:S33"/>
    <mergeCell ref="T32:T33"/>
    <mergeCell ref="U32:U33"/>
    <mergeCell ref="W32:W33"/>
    <mergeCell ref="X32:X33"/>
    <mergeCell ref="Y32:Y33"/>
    <mergeCell ref="Z32:Z33"/>
    <mergeCell ref="AB32:AB33"/>
    <mergeCell ref="AC32:AC33"/>
    <mergeCell ref="AE32:AE33"/>
    <mergeCell ref="AF32:AI33"/>
    <mergeCell ref="AJ32:AJ33"/>
    <mergeCell ref="AK32:AK33"/>
    <mergeCell ref="AL32:AL33"/>
    <mergeCell ref="Y34:Y35"/>
    <mergeCell ref="AK45:AK46"/>
    <mergeCell ref="AL45:AL46"/>
    <mergeCell ref="A33:A41"/>
    <mergeCell ref="L2:N2"/>
    <mergeCell ref="E33:E41"/>
    <mergeCell ref="A42:A60"/>
    <mergeCell ref="E42:E60"/>
    <mergeCell ref="A61:A79"/>
    <mergeCell ref="E61:E79"/>
    <mergeCell ref="A2:C2"/>
    <mergeCell ref="A5:F5"/>
    <mergeCell ref="A8:A15"/>
    <mergeCell ref="E8:E15"/>
    <mergeCell ref="I8:I15"/>
    <mergeCell ref="A16:A23"/>
    <mergeCell ref="E16:E23"/>
    <mergeCell ref="I16:I80"/>
    <mergeCell ref="A24:A32"/>
    <mergeCell ref="E24:E32"/>
  </mergeCells>
  <phoneticPr fontId="3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Sturm, Julian (Darmstadt)</dc:creator>
  <cp:keywords/>
  <dc:description/>
  <cp:lastModifiedBy>Raymond Geng</cp:lastModifiedBy>
  <cp:revision/>
  <dcterms:created xsi:type="dcterms:W3CDTF">2026-04-29T07:59:16Z</dcterms:created>
  <dcterms:modified xsi:type="dcterms:W3CDTF">2026-05-13T02:55:23Z</dcterms:modified>
  <cp:category/>
  <cp:contentStatus/>
</cp:coreProperties>
</file>