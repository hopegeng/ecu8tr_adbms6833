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DieseArbeitsmappe"/>
  <mc:AlternateContent xmlns:mc="http://schemas.openxmlformats.org/markup-compatibility/2006">
    <mc:Choice Requires="x15">
      <x15ac:absPath xmlns:x15ac="http://schemas.microsoft.com/office/spreadsheetml/2010/11/ac" url="G:\John Evans\Projects\BMU replacement\Neutron Controls ECU8TR\"/>
    </mc:Choice>
  </mc:AlternateContent>
  <xr:revisionPtr revIDLastSave="0" documentId="8_{02D55F4E-6621-4A81-9DE2-17A46A34CDF5}" xr6:coauthVersionLast="47" xr6:coauthVersionMax="47" xr10:uidLastSave="{00000000-0000-0000-0000-000000000000}"/>
  <bookViews>
    <workbookView xWindow="28680" yWindow="-120" windowWidth="29040" windowHeight="16440" tabRatio="748" activeTab="1" xr2:uid="{00000000-000D-0000-FFFF-FFFF00000000}"/>
  </bookViews>
  <sheets>
    <sheet name="Cover" sheetId="15" r:id="rId1"/>
    <sheet name="EoL 1 Modul Samsung" sheetId="28" r:id="rId2"/>
    <sheet name="EoL 1 Modul LG" sheetId="77" r:id="rId3"/>
    <sheet name="History" sheetId="58" r:id="rId4"/>
  </sheets>
  <definedNames>
    <definedName name="_xlnm._FilterDatabase" localSheetId="2" hidden="1">'EoL 1 Modul LG'!$A$3:$Q$81</definedName>
    <definedName name="_xlnm._FilterDatabase" localSheetId="1" hidden="1">'EoL 1 Modul Samsung'!$A$3:$R$81</definedName>
    <definedName name="_Order1" hidden="1">255</definedName>
    <definedName name="_Toc524409620" localSheetId="0">Cover!$A$1</definedName>
    <definedName name="_Toc524409621" localSheetId="0">Cover!#REF!</definedName>
    <definedName name="_Toc524775590" localSheetId="0">Cover!#REF!</definedName>
    <definedName name="Bauform">#REF!</definedName>
    <definedName name="Design">#REF!</definedName>
    <definedName name="_xlnm.Print_Area" localSheetId="2">'EoL 1 Modul LG'!$B$1:$K$81</definedName>
    <definedName name="_xlnm.Print_Area" localSheetId="1">'EoL 1 Modul Samsung'!$B$1:$L$81</definedName>
    <definedName name="_xlnm.Print_Titles" localSheetId="2">'EoL 1 Modul LG'!$1:$3</definedName>
    <definedName name="_xlnm.Print_Titles" localSheetId="1">'EoL 1 Modul Samsung'!$1:$3</definedName>
    <definedName name="Projektbezeichnung">Cover!#REF!</definedName>
    <definedName name="WR_Typ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64" i="77" l="1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J79" i="77"/>
  <c r="O79" i="77" s="1"/>
  <c r="J78" i="77"/>
  <c r="O78" i="77" s="1"/>
  <c r="O77" i="77"/>
  <c r="J77" i="77"/>
  <c r="J76" i="77"/>
  <c r="J75" i="77"/>
  <c r="O75" i="77" s="1"/>
  <c r="J74" i="77"/>
  <c r="O74" i="77" s="1"/>
  <c r="J73" i="77"/>
  <c r="O73" i="77" s="1"/>
  <c r="J72" i="77"/>
  <c r="O72" i="77" s="1"/>
  <c r="J71" i="77"/>
  <c r="O71" i="77" s="1"/>
  <c r="J70" i="77"/>
  <c r="O70" i="77" s="1"/>
  <c r="O69" i="77"/>
  <c r="O68" i="77"/>
  <c r="O67" i="77"/>
  <c r="J66" i="77"/>
  <c r="O66" i="77" s="1"/>
  <c r="O65" i="77"/>
  <c r="O64" i="77"/>
  <c r="J63" i="77"/>
  <c r="O63" i="77" s="1"/>
  <c r="O62" i="77"/>
  <c r="J61" i="77"/>
  <c r="O61" i="77" s="1"/>
  <c r="O60" i="77"/>
  <c r="J59" i="77"/>
  <c r="O59" i="77" s="1"/>
  <c r="J58" i="77"/>
  <c r="O58" i="77" s="1"/>
  <c r="O57" i="77"/>
  <c r="J56" i="77"/>
  <c r="O56" i="77" s="1"/>
  <c r="O55" i="77"/>
  <c r="J54" i="77"/>
  <c r="O54" i="77" s="1"/>
  <c r="J53" i="77"/>
  <c r="O53" i="77" s="1"/>
  <c r="J52" i="77"/>
  <c r="O52" i="77" s="1"/>
  <c r="J51" i="77"/>
  <c r="O51" i="77" s="1"/>
  <c r="J50" i="77"/>
  <c r="O50" i="77" s="1"/>
  <c r="J49" i="77"/>
  <c r="O49" i="77" s="1"/>
  <c r="J48" i="77"/>
  <c r="O48" i="77" s="1"/>
  <c r="J47" i="77"/>
  <c r="O47" i="77" s="1"/>
  <c r="J46" i="77"/>
  <c r="O46" i="77" s="1"/>
  <c r="J45" i="77"/>
  <c r="O45" i="77" s="1"/>
  <c r="O44" i="77"/>
  <c r="O43" i="77"/>
  <c r="O42" i="77"/>
  <c r="O41" i="77"/>
  <c r="J39" i="77"/>
  <c r="O39" i="77" s="1"/>
  <c r="J38" i="77"/>
  <c r="O38" i="77" s="1"/>
  <c r="J37" i="77"/>
  <c r="O37" i="77" s="1"/>
  <c r="J36" i="77"/>
  <c r="O36" i="77" s="1"/>
  <c r="J35" i="77"/>
  <c r="O35" i="77" s="1"/>
  <c r="J34" i="77"/>
  <c r="O34" i="77" s="1"/>
  <c r="J33" i="77"/>
  <c r="O33" i="77" s="1"/>
  <c r="O32" i="77"/>
  <c r="O31" i="77"/>
  <c r="J31" i="77"/>
  <c r="O30" i="77"/>
  <c r="J29" i="77"/>
  <c r="O29" i="77" s="1"/>
  <c r="O28" i="77"/>
  <c r="O27" i="77"/>
  <c r="O26" i="77"/>
  <c r="O25" i="77"/>
  <c r="J24" i="77"/>
  <c r="O24" i="77" s="1"/>
  <c r="O23" i="77"/>
  <c r="J21" i="77"/>
  <c r="O21" i="77" s="1"/>
  <c r="J20" i="77"/>
  <c r="O20" i="77" s="1"/>
  <c r="O19" i="77"/>
  <c r="J19" i="77"/>
  <c r="O18" i="77"/>
  <c r="J18" i="77"/>
  <c r="O17" i="77"/>
  <c r="O16" i="77"/>
  <c r="O15" i="77"/>
  <c r="O14" i="77"/>
  <c r="O12" i="77"/>
  <c r="J11" i="77"/>
  <c r="O11" i="77" s="1"/>
  <c r="J10" i="77"/>
  <c r="O10" i="77" s="1"/>
  <c r="J9" i="77"/>
  <c r="O9" i="77" s="1"/>
  <c r="O8" i="77"/>
  <c r="O7" i="77"/>
  <c r="J7" i="77"/>
  <c r="O6" i="77"/>
  <c r="O5" i="77"/>
  <c r="O4" i="77"/>
  <c r="B1" i="77"/>
  <c r="K11" i="28"/>
  <c r="P11" i="28" s="1"/>
  <c r="K48" i="28"/>
  <c r="K76" i="28"/>
  <c r="K75" i="28"/>
  <c r="P75" i="28"/>
  <c r="K39" i="28"/>
  <c r="P39" i="28" s="1"/>
  <c r="B1" i="28"/>
  <c r="P67" i="28"/>
  <c r="K66" i="28"/>
  <c r="P66" i="28" s="1"/>
  <c r="P65" i="28"/>
  <c r="P62" i="28"/>
  <c r="K61" i="28"/>
  <c r="P61" i="28" s="1"/>
  <c r="K59" i="28"/>
  <c r="P59" i="28"/>
  <c r="P44" i="28"/>
  <c r="P43" i="28"/>
  <c r="K54" i="28"/>
  <c r="P54" i="28"/>
  <c r="K53" i="28"/>
  <c r="P53" i="28" s="1"/>
  <c r="K52" i="28"/>
  <c r="P52" i="28" s="1"/>
  <c r="K51" i="28"/>
  <c r="P51" i="28"/>
  <c r="P8" i="28"/>
  <c r="K10" i="28"/>
  <c r="P10" i="28" s="1"/>
  <c r="K9" i="28"/>
  <c r="P9" i="28"/>
  <c r="K50" i="28"/>
  <c r="P50" i="28"/>
  <c r="K49" i="28"/>
  <c r="P49" i="28"/>
  <c r="P69" i="28"/>
  <c r="K74" i="28"/>
  <c r="P74" i="28"/>
  <c r="K73" i="28"/>
  <c r="P73" i="28"/>
  <c r="K72" i="28"/>
  <c r="P72" i="28" s="1"/>
  <c r="K71" i="28"/>
  <c r="P71" i="28"/>
  <c r="K70" i="28"/>
  <c r="P70" i="28" s="1"/>
  <c r="P64" i="28"/>
  <c r="K63" i="28"/>
  <c r="P63" i="28" s="1"/>
  <c r="P5" i="28"/>
  <c r="P6" i="28"/>
  <c r="P14" i="28"/>
  <c r="P15" i="28"/>
  <c r="P16" i="28"/>
  <c r="P17" i="28"/>
  <c r="P23" i="28"/>
  <c r="P25" i="28"/>
  <c r="P26" i="28"/>
  <c r="P27" i="28"/>
  <c r="P28" i="28"/>
  <c r="P32" i="28"/>
  <c r="P41" i="28"/>
  <c r="P42" i="28"/>
  <c r="P55" i="28"/>
  <c r="P57" i="28"/>
  <c r="P60" i="28"/>
  <c r="P68" i="28"/>
  <c r="P80" i="28"/>
  <c r="P81" i="28"/>
  <c r="K56" i="28"/>
  <c r="P56" i="28"/>
  <c r="P48" i="28"/>
  <c r="K58" i="28"/>
  <c r="P58" i="28"/>
  <c r="K38" i="28"/>
  <c r="P38" i="28"/>
  <c r="K37" i="28"/>
  <c r="P37" i="28" s="1"/>
  <c r="K79" i="28"/>
  <c r="P79" i="28"/>
  <c r="K78" i="28"/>
  <c r="P78" i="28" s="1"/>
  <c r="K77" i="28"/>
  <c r="P77" i="28"/>
  <c r="K20" i="28"/>
  <c r="P20" i="28"/>
  <c r="K19" i="28"/>
  <c r="P19" i="28"/>
  <c r="K47" i="28"/>
  <c r="P47" i="28" s="1"/>
  <c r="K46" i="28"/>
  <c r="P46" i="28"/>
  <c r="K45" i="28"/>
  <c r="P45" i="28" s="1"/>
  <c r="K33" i="28"/>
  <c r="P33" i="28" s="1"/>
  <c r="K31" i="28"/>
  <c r="P31" i="28" s="1"/>
  <c r="P30" i="28"/>
  <c r="K18" i="28"/>
  <c r="P18" i="28" s="1"/>
  <c r="K7" i="28"/>
  <c r="P7" i="28"/>
  <c r="P4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K36" i="28"/>
  <c r="P36" i="28" s="1"/>
  <c r="K35" i="28"/>
  <c r="P35" i="28"/>
  <c r="K34" i="28"/>
  <c r="P34" i="28" s="1"/>
  <c r="K29" i="28"/>
  <c r="P29" i="28"/>
  <c r="P12" i="28"/>
  <c r="P98" i="28"/>
  <c r="P99" i="28"/>
  <c r="P100" i="28"/>
  <c r="P101" i="28"/>
  <c r="P102" i="28"/>
  <c r="P103" i="28"/>
  <c r="P104" i="28"/>
  <c r="P105" i="28"/>
  <c r="P106" i="28"/>
  <c r="P107" i="28"/>
  <c r="P108" i="28"/>
  <c r="P109" i="28"/>
  <c r="P110" i="28"/>
  <c r="P111" i="28"/>
  <c r="P112" i="28"/>
  <c r="P113" i="28"/>
  <c r="P114" i="28"/>
  <c r="P115" i="28"/>
  <c r="P116" i="28"/>
  <c r="P117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P133" i="28"/>
  <c r="P134" i="28"/>
  <c r="P135" i="28"/>
  <c r="P136" i="28"/>
  <c r="P137" i="28"/>
  <c r="P138" i="28"/>
  <c r="P139" i="28"/>
  <c r="P140" i="28"/>
  <c r="P141" i="28"/>
  <c r="P142" i="28"/>
  <c r="P143" i="28"/>
  <c r="P144" i="28"/>
  <c r="P145" i="28"/>
  <c r="P146" i="28"/>
  <c r="P147" i="28"/>
  <c r="P148" i="28"/>
  <c r="P149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176" i="28"/>
  <c r="P177" i="28"/>
  <c r="P178" i="28"/>
  <c r="P179" i="28"/>
  <c r="P180" i="28"/>
  <c r="P181" i="28"/>
  <c r="P182" i="28"/>
  <c r="P183" i="28"/>
  <c r="P184" i="28"/>
  <c r="P185" i="28"/>
  <c r="P186" i="28"/>
  <c r="P187" i="28"/>
  <c r="P188" i="28"/>
  <c r="P189" i="28"/>
  <c r="P190" i="28"/>
  <c r="P191" i="28"/>
  <c r="P192" i="28"/>
  <c r="K24" i="28"/>
  <c r="P24" i="28" s="1"/>
  <c r="K21" i="28"/>
  <c r="P193" i="28"/>
  <c r="P194" i="28"/>
  <c r="P195" i="28"/>
  <c r="P196" i="28"/>
  <c r="P197" i="28"/>
  <c r="P198" i="28"/>
  <c r="P199" i="28"/>
  <c r="P200" i="28"/>
  <c r="P201" i="28"/>
  <c r="P202" i="28"/>
  <c r="P203" i="28"/>
  <c r="P204" i="28"/>
  <c r="P205" i="28"/>
  <c r="P206" i="28"/>
  <c r="P207" i="28"/>
  <c r="P20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240" i="28"/>
  <c r="P241" i="28"/>
  <c r="P242" i="28"/>
  <c r="P243" i="28"/>
  <c r="P244" i="28"/>
  <c r="P245" i="28"/>
  <c r="P246" i="28"/>
  <c r="P247" i="28"/>
  <c r="P248" i="28"/>
  <c r="P249" i="28"/>
  <c r="P250" i="28"/>
  <c r="P251" i="28"/>
  <c r="P252" i="28"/>
  <c r="P253" i="28"/>
  <c r="P254" i="28"/>
  <c r="P255" i="28"/>
  <c r="P256" i="28"/>
  <c r="P257" i="28"/>
  <c r="P258" i="28"/>
  <c r="P259" i="28"/>
  <c r="P260" i="28"/>
  <c r="P261" i="28"/>
  <c r="P262" i="28"/>
  <c r="P263" i="28"/>
  <c r="P264" i="28"/>
  <c r="P265" i="28"/>
  <c r="P266" i="28"/>
  <c r="P267" i="28"/>
  <c r="P268" i="28"/>
  <c r="P269" i="28"/>
  <c r="P270" i="28"/>
  <c r="P271" i="28"/>
  <c r="P272" i="28"/>
  <c r="P273" i="28"/>
  <c r="P274" i="28"/>
  <c r="P275" i="28"/>
  <c r="P276" i="28"/>
  <c r="P277" i="28"/>
  <c r="P278" i="28"/>
  <c r="P279" i="28"/>
  <c r="P280" i="28"/>
  <c r="P281" i="28"/>
  <c r="P282" i="28"/>
  <c r="P283" i="28"/>
  <c r="P284" i="28"/>
  <c r="P285" i="28"/>
  <c r="P286" i="28"/>
  <c r="P287" i="28"/>
  <c r="P288" i="28"/>
  <c r="P289" i="28"/>
  <c r="P290" i="28"/>
  <c r="P291" i="28"/>
  <c r="P292" i="28"/>
  <c r="P293" i="28"/>
  <c r="P294" i="28"/>
  <c r="P295" i="28"/>
  <c r="P296" i="28"/>
  <c r="P297" i="28"/>
  <c r="P298" i="28"/>
  <c r="P299" i="28"/>
  <c r="P300" i="28"/>
  <c r="P301" i="28"/>
  <c r="P302" i="28"/>
  <c r="P303" i="28"/>
  <c r="P304" i="28"/>
  <c r="P305" i="28"/>
  <c r="P306" i="28"/>
  <c r="P307" i="28"/>
  <c r="P308" i="28"/>
  <c r="P309" i="28"/>
  <c r="P310" i="28"/>
  <c r="P311" i="28"/>
  <c r="P312" i="28"/>
  <c r="P313" i="28"/>
  <c r="P314" i="28"/>
  <c r="P315" i="28"/>
  <c r="P316" i="28"/>
  <c r="P317" i="28"/>
  <c r="P318" i="28"/>
  <c r="P319" i="28"/>
  <c r="P320" i="28"/>
  <c r="P321" i="28"/>
  <c r="P322" i="28"/>
  <c r="P323" i="28"/>
  <c r="P324" i="28"/>
  <c r="P325" i="28"/>
  <c r="P326" i="28"/>
  <c r="P327" i="28"/>
  <c r="P328" i="28"/>
  <c r="P329" i="28"/>
  <c r="P330" i="28"/>
  <c r="P331" i="28"/>
  <c r="P332" i="28"/>
  <c r="P333" i="28"/>
  <c r="P334" i="28"/>
  <c r="P335" i="28"/>
  <c r="P336" i="28"/>
  <c r="P337" i="28"/>
  <c r="P338" i="28"/>
  <c r="P339" i="28"/>
  <c r="P340" i="28"/>
  <c r="P341" i="28"/>
  <c r="P342" i="28"/>
  <c r="P343" i="28"/>
  <c r="P344" i="28"/>
  <c r="P345" i="28"/>
  <c r="P346" i="28"/>
  <c r="P347" i="28"/>
  <c r="P348" i="28"/>
  <c r="P349" i="28"/>
  <c r="P350" i="28"/>
  <c r="P351" i="28"/>
  <c r="P352" i="28"/>
  <c r="P353" i="28"/>
  <c r="P354" i="28"/>
  <c r="P355" i="28"/>
  <c r="P356" i="28"/>
  <c r="P357" i="28"/>
  <c r="P358" i="28"/>
  <c r="P359" i="28"/>
  <c r="P360" i="28"/>
  <c r="P361" i="28"/>
  <c r="P362" i="28"/>
  <c r="P363" i="28"/>
  <c r="P364" i="28"/>
  <c r="P365" i="28"/>
  <c r="P366" i="28"/>
  <c r="P367" i="28"/>
  <c r="P368" i="28"/>
  <c r="P369" i="28"/>
  <c r="P370" i="28"/>
  <c r="P371" i="28"/>
  <c r="P372" i="28"/>
  <c r="P373" i="28"/>
  <c r="P374" i="28"/>
  <c r="P375" i="28"/>
  <c r="P376" i="28"/>
  <c r="P377" i="28"/>
  <c r="P378" i="28"/>
  <c r="P379" i="28"/>
  <c r="P380" i="28"/>
  <c r="P381" i="28"/>
  <c r="P382" i="28"/>
  <c r="P383" i="28"/>
  <c r="P384" i="28"/>
  <c r="P385" i="28"/>
  <c r="P386" i="28"/>
  <c r="P387" i="28"/>
  <c r="P388" i="28"/>
  <c r="P389" i="28"/>
  <c r="P390" i="28"/>
  <c r="P391" i="28"/>
  <c r="P392" i="28"/>
  <c r="P393" i="28"/>
  <c r="P394" i="28"/>
  <c r="P395" i="28"/>
  <c r="P396" i="28"/>
  <c r="P397" i="28"/>
  <c r="P398" i="28"/>
  <c r="P399" i="28"/>
  <c r="P400" i="28"/>
  <c r="P401" i="28"/>
  <c r="P402" i="28"/>
  <c r="P403" i="28"/>
  <c r="P404" i="28"/>
  <c r="P405" i="28"/>
  <c r="P406" i="28"/>
  <c r="P407" i="28"/>
  <c r="P408" i="28"/>
  <c r="P409" i="28"/>
  <c r="P410" i="28"/>
  <c r="P411" i="28"/>
  <c r="P412" i="28"/>
  <c r="P413" i="28"/>
  <c r="P414" i="28"/>
  <c r="P415" i="28"/>
  <c r="P416" i="28"/>
  <c r="P417" i="28"/>
  <c r="P418" i="28"/>
  <c r="P419" i="28"/>
  <c r="P420" i="28"/>
  <c r="P421" i="28"/>
  <c r="P422" i="28"/>
  <c r="P423" i="28"/>
  <c r="P424" i="28"/>
  <c r="P425" i="28"/>
  <c r="P426" i="28"/>
  <c r="P427" i="28"/>
  <c r="P428" i="28"/>
  <c r="P429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5" i="28"/>
  <c r="P456" i="28"/>
  <c r="P457" i="28"/>
  <c r="P458" i="28"/>
  <c r="P459" i="28"/>
  <c r="P460" i="28"/>
  <c r="P461" i="28"/>
  <c r="P462" i="28"/>
  <c r="P463" i="28"/>
  <c r="P464" i="28"/>
  <c r="P465" i="28"/>
  <c r="P466" i="28"/>
  <c r="P467" i="28"/>
  <c r="P468" i="28"/>
  <c r="P469" i="28"/>
  <c r="P470" i="28"/>
  <c r="P471" i="28"/>
  <c r="P472" i="28"/>
  <c r="P473" i="28"/>
  <c r="P474" i="28"/>
  <c r="P475" i="28"/>
  <c r="P476" i="28"/>
  <c r="P477" i="28"/>
  <c r="P478" i="28"/>
  <c r="P479" i="28"/>
  <c r="P480" i="28"/>
  <c r="P481" i="28"/>
  <c r="P482" i="28"/>
  <c r="P483" i="28"/>
  <c r="P484" i="28"/>
  <c r="P485" i="28"/>
  <c r="P486" i="28"/>
  <c r="P487" i="28"/>
  <c r="P488" i="28"/>
  <c r="P489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3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520" i="28"/>
  <c r="P521" i="28"/>
  <c r="P522" i="28"/>
  <c r="P523" i="28"/>
  <c r="P524" i="28"/>
  <c r="P525" i="28"/>
  <c r="P526" i="28"/>
  <c r="P527" i="28"/>
  <c r="P528" i="28"/>
  <c r="P529" i="28"/>
  <c r="P530" i="28"/>
  <c r="P531" i="28"/>
  <c r="P532" i="28"/>
  <c r="P533" i="28"/>
  <c r="P534" i="28"/>
  <c r="P535" i="28"/>
  <c r="P536" i="28"/>
  <c r="P537" i="28"/>
  <c r="P538" i="28"/>
  <c r="P539" i="28"/>
  <c r="P540" i="28"/>
  <c r="P541" i="28"/>
  <c r="P542" i="28"/>
  <c r="P543" i="28"/>
  <c r="P544" i="28"/>
  <c r="P545" i="28"/>
  <c r="P546" i="28"/>
  <c r="P547" i="28"/>
  <c r="P548" i="28"/>
  <c r="P549" i="28"/>
  <c r="P550" i="28"/>
  <c r="P551" i="28"/>
  <c r="P552" i="28"/>
  <c r="P553" i="28"/>
  <c r="P554" i="28"/>
  <c r="P555" i="28"/>
  <c r="P556" i="28"/>
  <c r="P557" i="28"/>
  <c r="P558" i="28"/>
  <c r="P559" i="28"/>
  <c r="P560" i="28"/>
  <c r="P561" i="28"/>
  <c r="P562" i="28"/>
  <c r="P563" i="28"/>
  <c r="P564" i="28"/>
  <c r="P565" i="28"/>
  <c r="P566" i="28"/>
  <c r="P567" i="28"/>
  <c r="P568" i="28"/>
  <c r="P569" i="28"/>
  <c r="P570" i="28"/>
  <c r="P571" i="28"/>
  <c r="P572" i="28"/>
  <c r="P573" i="28"/>
  <c r="P574" i="28"/>
  <c r="P575" i="28"/>
  <c r="P576" i="28"/>
  <c r="P577" i="28"/>
  <c r="P578" i="28"/>
  <c r="P579" i="28"/>
  <c r="P580" i="28"/>
  <c r="P581" i="28"/>
  <c r="P582" i="28"/>
  <c r="P583" i="28"/>
  <c r="P584" i="28"/>
  <c r="P585" i="28"/>
  <c r="P586" i="28"/>
  <c r="P587" i="28"/>
  <c r="P588" i="28"/>
  <c r="P589" i="28"/>
  <c r="P590" i="28"/>
  <c r="P591" i="28"/>
  <c r="P592" i="28"/>
  <c r="P593" i="28"/>
  <c r="P594" i="28"/>
  <c r="P595" i="28"/>
  <c r="P596" i="28"/>
  <c r="P597" i="28"/>
  <c r="P598" i="28"/>
  <c r="P599" i="28"/>
  <c r="P600" i="28"/>
  <c r="P601" i="28"/>
  <c r="P602" i="28"/>
  <c r="P603" i="28"/>
  <c r="P604" i="28"/>
  <c r="P605" i="28"/>
  <c r="P606" i="28"/>
  <c r="P607" i="28"/>
  <c r="P608" i="28"/>
  <c r="P609" i="28"/>
  <c r="P610" i="28"/>
  <c r="P611" i="28"/>
  <c r="P612" i="28"/>
  <c r="P613" i="28"/>
  <c r="P614" i="28"/>
  <c r="P615" i="28"/>
  <c r="P616" i="28"/>
  <c r="P617" i="28"/>
  <c r="P618" i="28"/>
  <c r="P619" i="28"/>
  <c r="P620" i="28"/>
  <c r="P621" i="28"/>
  <c r="P622" i="28"/>
  <c r="P623" i="28"/>
  <c r="P624" i="28"/>
  <c r="P625" i="28"/>
  <c r="P626" i="28"/>
  <c r="P627" i="28"/>
  <c r="P628" i="28"/>
  <c r="P629" i="28"/>
  <c r="P630" i="28"/>
  <c r="P631" i="28"/>
  <c r="P632" i="28"/>
  <c r="P633" i="28"/>
  <c r="P634" i="28"/>
  <c r="P635" i="28"/>
  <c r="P636" i="28"/>
  <c r="P637" i="28"/>
  <c r="P638" i="28"/>
  <c r="P639" i="28"/>
  <c r="P640" i="28"/>
  <c r="P641" i="28"/>
  <c r="P642" i="28"/>
  <c r="P643" i="28"/>
  <c r="P644" i="28"/>
  <c r="P645" i="28"/>
  <c r="P646" i="28"/>
  <c r="P647" i="28"/>
  <c r="P648" i="28"/>
  <c r="P649" i="28"/>
  <c r="P650" i="28"/>
  <c r="P651" i="28"/>
  <c r="P652" i="28"/>
  <c r="P653" i="28"/>
  <c r="P654" i="28"/>
  <c r="P655" i="28"/>
  <c r="P656" i="28"/>
  <c r="P657" i="28"/>
  <c r="P658" i="28"/>
  <c r="P659" i="28"/>
  <c r="P660" i="28"/>
  <c r="P661" i="28"/>
  <c r="P662" i="28"/>
  <c r="P663" i="28"/>
  <c r="P664" i="28"/>
  <c r="P665" i="28"/>
  <c r="P666" i="28"/>
  <c r="P667" i="28"/>
  <c r="P668" i="28"/>
  <c r="P669" i="28"/>
  <c r="P670" i="28"/>
  <c r="P671" i="28"/>
  <c r="P672" i="28"/>
  <c r="P673" i="28"/>
  <c r="P674" i="28"/>
  <c r="P675" i="28"/>
  <c r="P676" i="28"/>
  <c r="P677" i="28"/>
  <c r="P678" i="28"/>
  <c r="P679" i="28"/>
  <c r="P680" i="28"/>
  <c r="P681" i="28"/>
  <c r="P682" i="28"/>
  <c r="P683" i="28"/>
  <c r="P684" i="28"/>
  <c r="P685" i="28"/>
  <c r="P686" i="28"/>
  <c r="P687" i="28"/>
  <c r="P688" i="28"/>
  <c r="P689" i="28"/>
  <c r="P690" i="28"/>
  <c r="P691" i="28"/>
  <c r="P692" i="28"/>
  <c r="P693" i="28"/>
  <c r="P694" i="28"/>
  <c r="P695" i="28"/>
  <c r="P696" i="28"/>
  <c r="P697" i="28"/>
  <c r="P698" i="28"/>
  <c r="P699" i="28"/>
  <c r="P700" i="28"/>
  <c r="P701" i="28"/>
  <c r="P702" i="28"/>
  <c r="P703" i="28"/>
  <c r="P704" i="28"/>
  <c r="P705" i="28"/>
  <c r="P706" i="28"/>
  <c r="P707" i="28"/>
  <c r="P708" i="28"/>
  <c r="P709" i="28"/>
  <c r="P710" i="28"/>
  <c r="P711" i="28"/>
  <c r="P712" i="28"/>
  <c r="P713" i="28"/>
  <c r="P714" i="28"/>
  <c r="P715" i="28"/>
  <c r="P716" i="28"/>
  <c r="P717" i="28"/>
  <c r="P718" i="28"/>
  <c r="P719" i="28"/>
  <c r="P720" i="28"/>
  <c r="P721" i="28"/>
  <c r="P722" i="28"/>
  <c r="P723" i="28"/>
  <c r="P724" i="28"/>
  <c r="P725" i="28"/>
  <c r="P726" i="28"/>
  <c r="P727" i="28"/>
  <c r="P728" i="28"/>
  <c r="P729" i="28"/>
  <c r="P730" i="28"/>
  <c r="P731" i="28"/>
  <c r="P732" i="28"/>
  <c r="P733" i="28"/>
  <c r="P734" i="28"/>
  <c r="P735" i="28"/>
  <c r="P736" i="28"/>
  <c r="P737" i="28"/>
  <c r="P738" i="28"/>
  <c r="P739" i="28"/>
  <c r="P740" i="28"/>
  <c r="P741" i="28"/>
  <c r="P742" i="28"/>
  <c r="P743" i="28"/>
  <c r="P744" i="28"/>
  <c r="P745" i="28"/>
  <c r="P746" i="28"/>
  <c r="P747" i="28"/>
  <c r="P748" i="28"/>
  <c r="P749" i="28"/>
  <c r="P750" i="28"/>
  <c r="P751" i="28"/>
  <c r="P752" i="28"/>
  <c r="P753" i="28"/>
  <c r="P754" i="28"/>
  <c r="P755" i="28"/>
  <c r="P756" i="28"/>
  <c r="P757" i="28"/>
  <c r="P758" i="28"/>
  <c r="P759" i="28"/>
  <c r="P760" i="28"/>
  <c r="P761" i="28"/>
  <c r="P762" i="28"/>
  <c r="P763" i="28"/>
  <c r="P764" i="28"/>
  <c r="I18" i="15"/>
  <c r="H18" i="15"/>
  <c r="G18" i="15"/>
  <c r="P21" i="28"/>
  <c r="H37" i="15"/>
  <c r="H39" i="15"/>
  <c r="H40" i="15"/>
  <c r="H38" i="15"/>
  <c r="H36" i="15"/>
  <c r="H35" i="15"/>
</calcChain>
</file>

<file path=xl/sharedStrings.xml><?xml version="1.0" encoding="utf-8"?>
<sst xmlns="http://schemas.openxmlformats.org/spreadsheetml/2006/main" count="952" uniqueCount="320">
  <si>
    <t xml:space="preserve">Checklist: </t>
  </si>
  <si>
    <t>Volvo Modul EoL Test</t>
  </si>
  <si>
    <t>Project Number / Name</t>
  </si>
  <si>
    <t>Modultest UHE</t>
  </si>
  <si>
    <t>SVN-Release Nr. Testliste</t>
  </si>
  <si>
    <t>Version Testliste</t>
  </si>
  <si>
    <t>1.1</t>
  </si>
  <si>
    <t>Version SCU Bootloader</t>
  </si>
  <si>
    <t>SW-Version BMU</t>
  </si>
  <si>
    <t>Checksumme SW-Version SCU</t>
  </si>
  <si>
    <t>SW-Version BMS-S</t>
  </si>
  <si>
    <t>BMM</t>
  </si>
  <si>
    <t>Generation</t>
  </si>
  <si>
    <t>Nominal Voltage</t>
  </si>
  <si>
    <t>Nominal Capacity</t>
  </si>
  <si>
    <t>sonst.2</t>
  </si>
  <si>
    <t>Software</t>
  </si>
  <si>
    <t>Hardware</t>
  </si>
  <si>
    <t>Test environment:</t>
  </si>
  <si>
    <t xml:space="preserve">PCAN-Explorer V. </t>
  </si>
  <si>
    <t>Quelle</t>
  </si>
  <si>
    <t>C2 Prog V.</t>
  </si>
  <si>
    <t>Senke</t>
  </si>
  <si>
    <t xml:space="preserve">SCU Downloadmanager V. </t>
  </si>
  <si>
    <t>Spannungsmessgerät</t>
  </si>
  <si>
    <t>Symbol-File V. / SVN-Release Nr. ?</t>
  </si>
  <si>
    <t>PCAN-USB Pro</t>
  </si>
  <si>
    <t>Drehmomentschlüssel</t>
  </si>
  <si>
    <t>Prüfmittelkalibrierscheine</t>
  </si>
  <si>
    <t>Evaluation</t>
  </si>
  <si>
    <t>Anzahl der Teiltestlisten</t>
  </si>
  <si>
    <t xml:space="preserve">Test according to checklist </t>
  </si>
  <si>
    <t>passed</t>
  </si>
  <si>
    <t>Overall number of testactions:</t>
  </si>
  <si>
    <t>Test actions total</t>
  </si>
  <si>
    <t>failed</t>
  </si>
  <si>
    <t>Details:</t>
  </si>
  <si>
    <t>Test actions OK</t>
  </si>
  <si>
    <t>Test actions failed</t>
  </si>
  <si>
    <t>Test action(s) not testable</t>
  </si>
  <si>
    <t>Test result(s) defined as permissible deviation</t>
  </si>
  <si>
    <t>Test actions open</t>
  </si>
  <si>
    <t>Remarks:</t>
  </si>
  <si>
    <t>Signatures:</t>
  </si>
  <si>
    <t>Tester - Elektronik</t>
  </si>
  <si>
    <t>Date:</t>
  </si>
  <si>
    <t>Tester - Hardware</t>
  </si>
  <si>
    <t>Tester - EoL</t>
  </si>
  <si>
    <t>Tester - Verpacker</t>
  </si>
  <si>
    <t>Checkliste: Kantenbesäumung mit Transporten</t>
  </si>
  <si>
    <t>1.2</t>
  </si>
  <si>
    <t>Case</t>
  </si>
  <si>
    <t>action</t>
  </si>
  <si>
    <t>comments</t>
  </si>
  <si>
    <t>expected result</t>
  </si>
  <si>
    <t>result</t>
  </si>
  <si>
    <t>evaluation</t>
  </si>
  <si>
    <t>comment</t>
  </si>
  <si>
    <t>error code</t>
  </si>
  <si>
    <t>MSA</t>
  </si>
  <si>
    <t>SAT</t>
  </si>
  <si>
    <t>Ref.</t>
  </si>
  <si>
    <t>unit</t>
  </si>
  <si>
    <t>value</t>
  </si>
  <si>
    <t>tolerance</t>
  </si>
  <si>
    <t>Vorbereitende Maßnahmen</t>
  </si>
  <si>
    <t>Allgemein</t>
  </si>
  <si>
    <t>1.1.1</t>
  </si>
  <si>
    <t>Modul in Station ablegen</t>
  </si>
  <si>
    <t>1.1.2</t>
  </si>
  <si>
    <t>RFID-Chip Modulträger lesen</t>
  </si>
  <si>
    <t>Materialnummer
Prüflings-Seriennummer
PCB (Leiterplatten)-Seriennummer</t>
  </si>
  <si>
    <t>RFID</t>
  </si>
  <si>
    <t>MES</t>
  </si>
  <si>
    <t>RFID auslesen fehlgeschlagen</t>
  </si>
  <si>
    <t>kritisch</t>
  </si>
  <si>
    <t>1.1.3</t>
  </si>
  <si>
    <t>Prüfablauf anhand von Materialnummer laden</t>
  </si>
  <si>
    <t>unkritisch</t>
  </si>
  <si>
    <t>1.1.4</t>
  </si>
  <si>
    <t>Materialnummer aus RFID auslesen</t>
  </si>
  <si>
    <t>1.1.5</t>
  </si>
  <si>
    <t>Prüflings-Seriennummer aus RFID auslesen</t>
  </si>
  <si>
    <t>1.1.6</t>
  </si>
  <si>
    <t>PCB (Leiterplatten-)Seriennummer aus RFID auslesen</t>
  </si>
  <si>
    <t>1.1.7</t>
  </si>
  <si>
    <t>Raumtemperatur erfassen</t>
  </si>
  <si>
    <t>ext. Tempfühler Pt100/Pt1000</t>
  </si>
  <si>
    <t>°C</t>
  </si>
  <si>
    <t>Relevant</t>
  </si>
  <si>
    <t>OK</t>
  </si>
  <si>
    <t>1.1.8</t>
  </si>
  <si>
    <t>Trace-Aufnahme starten</t>
  </si>
  <si>
    <t>Im PEAK-Format *.trc.
CAN Kanal 1 "AkaCAN"</t>
  </si>
  <si>
    <t>Baugruppe kontaktieren</t>
  </si>
  <si>
    <t>1.2.1</t>
  </si>
  <si>
    <t>Prüfadapter mit Baugruppe verbinden</t>
  </si>
  <si>
    <t>CAN:
250 kBit/s, 29 Bit Identifier
Baudrate und Identifier umschaltbar
Pos/Neg-Pol
isoSPI A/B
Zellspannungsabriffe (Kopfplatine)
Bonddrahtprüfung (Seitenplatinen)</t>
  </si>
  <si>
    <t>CAN-Bus</t>
  </si>
  <si>
    <t>2.1</t>
  </si>
  <si>
    <t>CAN Kommunikation</t>
  </si>
  <si>
    <t>2.1.1</t>
  </si>
  <si>
    <t>Daten werden gesendet</t>
  </si>
  <si>
    <t>CAN-ID = 10002801h (Rx) [M001_ModuleStatus]</t>
  </si>
  <si>
    <t>Keine Modulkommunikation</t>
  </si>
  <si>
    <t>2.1.2</t>
  </si>
  <si>
    <t>isoSPI IC1</t>
  </si>
  <si>
    <t>CAN-ID = 10005801h (Rx)
Signal = M001_flag_BadCRC_IC1</t>
  </si>
  <si>
    <t>0</t>
  </si>
  <si>
    <t>isoSPI IC fehlerhaft</t>
  </si>
  <si>
    <t>2.1.3</t>
  </si>
  <si>
    <t>isoSPI IC2</t>
  </si>
  <si>
    <t>CAN-ID = 10005801h (Rx)
Signal = M001_flag_BadCRC_IC2</t>
  </si>
  <si>
    <t>2.1.4</t>
  </si>
  <si>
    <t>Error Frames</t>
  </si>
  <si>
    <t>CAN Error Frames</t>
  </si>
  <si>
    <t>2.2</t>
  </si>
  <si>
    <t>Buslast</t>
  </si>
  <si>
    <t>2.2.1</t>
  </si>
  <si>
    <t>CAN Verbindung überwachen auf Busauslastung</t>
  </si>
  <si>
    <t>Überwachungsdauer 3 s;
maximale Busauslastung innerhalb Zeitfenster</t>
  </si>
  <si>
    <t>%</t>
  </si>
  <si>
    <t>max.</t>
  </si>
  <si>
    <t>CAN Buslast zu hoch</t>
  </si>
  <si>
    <t>nicht kritisch</t>
  </si>
  <si>
    <t>Modulinformationen und Produktionsdaten schreiben</t>
  </si>
  <si>
    <t>3.1</t>
  </si>
  <si>
    <t>Modulinformationen schreiben</t>
  </si>
  <si>
    <t>via AKAEoLSupportTool
Materialnummer
Prüflings-Seriennummer
PCB (Leiterplatten)-Seriennummer
 müssen an das Tool übergeben werden (JSON)</t>
  </si>
  <si>
    <t>Prüfung Moduldaten</t>
  </si>
  <si>
    <t>4.1</t>
  </si>
  <si>
    <t>Kontrolle Ladezustand und Plausbilitätscheck</t>
  </si>
  <si>
    <t>4.1.1</t>
  </si>
  <si>
    <t>Differenz max. Zellspannung zu min. Zellspannung</t>
  </si>
  <si>
    <t>CAN-ID = 10003801h (Rx)
Signale = M001_max_U_cellVoltage_mV_fast und M001_min_U_CellVoltage_mV_fast</t>
  </si>
  <si>
    <t>mV</t>
  </si>
  <si>
    <t>Differenz Zellspannung zu hoch</t>
  </si>
  <si>
    <t>4.1.2</t>
  </si>
  <si>
    <t>Spannung Präzisions-Mutlimeter erfassen (Prüfstand)</t>
  </si>
  <si>
    <t>V</t>
  </si>
  <si>
    <t>Modulspannung zu hoch/niedrig</t>
  </si>
  <si>
    <t>4.1.3</t>
  </si>
  <si>
    <t>Modulspannung CSC auslesen</t>
  </si>
  <si>
    <t>CAN-ID = 10002801h (Rx)
Signal = M001_act_U_ModuleVoltage_V</t>
  </si>
  <si>
    <t>Ergebnis aus Prüfstandsmessung</t>
  </si>
  <si>
    <t>± 0,2</t>
  </si>
  <si>
    <t>4.2</t>
  </si>
  <si>
    <t>Kontrolle Zellspannungen und Temperaturen</t>
  </si>
  <si>
    <t>4.2.1</t>
  </si>
  <si>
    <t>Zellspannungen prüfen</t>
  </si>
  <si>
    <t>CAN-ID = 10000C01h bis 10000C14h (Rx)
Signal = V001_act_U_CellVoltage_mV bis V020_act_U_CellVoltage_mV</t>
  </si>
  <si>
    <t>Ergebnis aus Prüfstandsmessung/20</t>
  </si>
  <si>
    <t>± 10</t>
  </si>
  <si>
    <t>Zellspannung zu hoch/niedrig</t>
  </si>
  <si>
    <t>4.2.2</t>
  </si>
  <si>
    <t>Zelltemperaturen prüfen</t>
  </si>
  <si>
    <t>CAN-ID = 10000C01h bis 10000C14h (Rx)
Signal = T001_act_T_CellTemp_C bis T020_act_T_CellTemp_C</t>
  </si>
  <si>
    <t>Erfasste Raumtemperatur</t>
  </si>
  <si>
    <t>Zelltemperatur zu hoch/niedrig</t>
  </si>
  <si>
    <t>4.2.3</t>
  </si>
  <si>
    <t>Temperatur Terminal Neg prüfen</t>
  </si>
  <si>
    <t>CAN-ID = 10001801h (Rx)
Signal = M001_act_T_TerminalTempNeg_C</t>
  </si>
  <si>
    <t>TerminalTemperatur zu hoch/niedrig</t>
  </si>
  <si>
    <t>4.2.4</t>
  </si>
  <si>
    <t>Temperatur Terminal Pos prüfen</t>
  </si>
  <si>
    <t>CAN-ID = 10001801h (Rx)
Signal = M001_act_T_TerminalTempPos_C</t>
  </si>
  <si>
    <t>4.2.5</t>
  </si>
  <si>
    <t>Temperatur Split Neg prüfen</t>
  </si>
  <si>
    <t>CAN-ID = 10002801 (Rx)
Signal = M001_act_T_TermTempSplitNeg</t>
  </si>
  <si>
    <t>Temperatur Split zu hoch/niedrig</t>
  </si>
  <si>
    <t>4.2.6</t>
  </si>
  <si>
    <t>Temperatur Split Pos prüfen</t>
  </si>
  <si>
    <t>CAN-ID = 10002801 (Rx)
Signal = M001_act_T_TermTempSplitPos</t>
  </si>
  <si>
    <t>4.2.7</t>
  </si>
  <si>
    <t>Zelltemperaturdifferenz</t>
  </si>
  <si>
    <t>2</t>
  </si>
  <si>
    <t>4.2.8</t>
  </si>
  <si>
    <t>Terminaltemperaturdifferenz</t>
  </si>
  <si>
    <t>4.3</t>
  </si>
  <si>
    <t>Modulinformationsprüfung</t>
  </si>
  <si>
    <t>4.3.1</t>
  </si>
  <si>
    <t>Produktions-Seriennummer auslesen</t>
  </si>
  <si>
    <t>CAN-ID = 10006801h [mux = Production] (Rx)
Signale = M001_Aka_FunctionArea, M001_AkaYear, M001_Aka_Week, M001_Aka_Plant, M001_Aka_Line, M001_Aka_Los_No</t>
  </si>
  <si>
    <t>4.3.2</t>
  </si>
  <si>
    <t>PCB-Seriennummer Low auslesen</t>
  </si>
  <si>
    <t>CAN-ID = 1000F801 [mux = SerialnumberLow]
Signale = M001_conf_PCBNewSerialNrLo</t>
  </si>
  <si>
    <t>4.3.3</t>
  </si>
  <si>
    <t>PCB-Seriennummer High auslesen</t>
  </si>
  <si>
    <t>CAN-ID = 1000F801 [mux = SerialnumberHigh]
Signale = M001_conf_PCBNewSerialNrHi</t>
  </si>
  <si>
    <t>4.3.4</t>
  </si>
  <si>
    <t>Zellen in Reihe prüfen</t>
  </si>
  <si>
    <t>CAN-ID = 10004801h (Rx)
Signal = M001_inf_SerialCells</t>
  </si>
  <si>
    <t>Modulinformation fehlerhaft</t>
  </si>
  <si>
    <t>4.3.5</t>
  </si>
  <si>
    <t>Zellen Parallel prüfen</t>
  </si>
  <si>
    <t>CAN-ID = 10004801h (Rx)
Signal = M001_inf_ParallelCells</t>
  </si>
  <si>
    <t>4.3.6</t>
  </si>
  <si>
    <t>Zelltyp Major prüfen</t>
  </si>
  <si>
    <t>CAN-ID = 10004801h (Rx)
Signal = M001_inf_CellTypeMajor</t>
  </si>
  <si>
    <t>4.3.7</t>
  </si>
  <si>
    <t>Zelltyp Minor prüfen</t>
  </si>
  <si>
    <t>CAN-ID = 10004801h (Rx)
Signal = M001_inf_CellTypeMinor</t>
  </si>
  <si>
    <t>4.3.8</t>
  </si>
  <si>
    <t>Modul-Typ Major prüfen</t>
  </si>
  <si>
    <t>CAN-ID = 1000F801 [mux = ModuleType]
Signale = M001_conf_NewModuleTypeMajor</t>
  </si>
  <si>
    <t>4.3.9</t>
  </si>
  <si>
    <t>Modul-Typ Minor prüfen</t>
  </si>
  <si>
    <t>CAN-ID = 1000F801 [mux = ModuleType]
Signale = M001_conf_NewModuleTypeMinor</t>
  </si>
  <si>
    <t>4.3.10</t>
  </si>
  <si>
    <t>PCB-Typ Major prüfen</t>
  </si>
  <si>
    <t>CAN-ID = 1000F801 [mux = PCBType]
Signale = M001_conf_NewPCBTypeMajor</t>
  </si>
  <si>
    <t>4.3.11</t>
  </si>
  <si>
    <t>PCB-Typ Minor prüfen</t>
  </si>
  <si>
    <t>CAN-ID = 1000F801 [mux = PCBType]
Signale = M001_conf_NewPCBTypeMinor</t>
  </si>
  <si>
    <t>4.3.12</t>
  </si>
  <si>
    <t>IC-Typ Major prüfen</t>
  </si>
  <si>
    <t>CAN-ID = 1000F801 [mux = ICType]
Signale = M001_conf_NewICTypeMajor</t>
  </si>
  <si>
    <t>4.3.13</t>
  </si>
  <si>
    <t>IC-Typ Minor prüfen</t>
  </si>
  <si>
    <t>CAN-ID = 1000F801 [mux = ICType]
Signale = M001_conf_NewICTypeMinor</t>
  </si>
  <si>
    <t>Schraubenkopfauflage</t>
  </si>
  <si>
    <t>5.1</t>
  </si>
  <si>
    <t>Schraubverbindung 1-50</t>
  </si>
  <si>
    <t>Werte einzeln abfragen und prüfen</t>
  </si>
  <si>
    <t>i.O.</t>
  </si>
  <si>
    <t>Schraubverbindung fehlerhaft</t>
  </si>
  <si>
    <t>Bonddrahtprüfung</t>
  </si>
  <si>
    <t>Bei Entladepuls -75 A und Ladepuls 75 A</t>
  </si>
  <si>
    <t>6.1</t>
  </si>
  <si>
    <t>Bonddrahtprüfung Bonddraht 1-300 Bondseite 1</t>
  </si>
  <si>
    <t>Bonddraht fehlt</t>
  </si>
  <si>
    <t>6.2</t>
  </si>
  <si>
    <t>Bonddrahtprüfung Bonddraht 1-300 Bondseite 2</t>
  </si>
  <si>
    <t>7</t>
  </si>
  <si>
    <t>SoC-Angleich</t>
  </si>
  <si>
    <t>Relevant (MFU)</t>
  </si>
  <si>
    <t>7.1</t>
  </si>
  <si>
    <t>Modulspannung CSC auslesen
(wenn i.O. weiter mit 7.4
wenn &lt; Schwellwert, weiter mit 7.2
wenn &gt; Schwellwert, weiter mit 7.3)</t>
  </si>
  <si>
    <t>7.2</t>
  </si>
  <si>
    <t>Laden des Moduls</t>
  </si>
  <si>
    <t>7.2.1</t>
  </si>
  <si>
    <t>Laden des Moduls auf Zielspanung</t>
  </si>
  <si>
    <t>Quellenstrom 0,5 C
Quellenspannung max. 80 V</t>
  </si>
  <si>
    <t>A</t>
  </si>
  <si>
    <t>± 1</t>
  </si>
  <si>
    <t>Ladegerät hat nicht zugeschaltet</t>
  </si>
  <si>
    <t>7.2.2</t>
  </si>
  <si>
    <t>Abbruchkritierum Ladevorgang, sobald mittlere Zellspannung den Wert erreicht (kontinuierlich überprüfen, Weiter mit 7.3)</t>
  </si>
  <si>
    <t>CAN-ID = 10003801h (Rx)
Signal = M001_avg_U_CellVoltage_mV_fast</t>
  </si>
  <si>
    <t>7.3</t>
  </si>
  <si>
    <t>Entladen des Moduls</t>
  </si>
  <si>
    <t>7.3.1</t>
  </si>
  <si>
    <t>Entladen des Moduls auf Zielspanung</t>
  </si>
  <si>
    <t>Senkenstrom 0,5 C
Senkenspannung min. 56 V</t>
  </si>
  <si>
    <t>7.3.2</t>
  </si>
  <si>
    <t>Abbruchkritierum Entladevorgang, sobald mittlere Zellspannung den Wert erreicht (kontinuierlich überprüfen, Weiter mit 7.4)</t>
  </si>
  <si>
    <t>Auslesen der Zelltemperaturen</t>
  </si>
  <si>
    <t>Kritisch</t>
  </si>
  <si>
    <t>Temperatur Terminal Neg auslesen</t>
  </si>
  <si>
    <t>Temperatur Terminal Pos auslesen</t>
  </si>
  <si>
    <t>Temperatur Split Neg auslesen</t>
  </si>
  <si>
    <t>Temperatur Split Pos auslesen</t>
  </si>
  <si>
    <t>4</t>
  </si>
  <si>
    <t>Warten</t>
  </si>
  <si>
    <t>8</t>
  </si>
  <si>
    <t>Abschluss</t>
  </si>
  <si>
    <t>8.1</t>
  </si>
  <si>
    <t>Kontrolle der Zellspannungen</t>
  </si>
  <si>
    <t>CAN-ID = 10000C01h bis 10000C24h (Rx)
Signal = V001_act_U_CellVoltage_mV bis V020_act_U_CellVoltage_mV</t>
  </si>
  <si>
    <t>8.2</t>
  </si>
  <si>
    <t>Zellspannungsdifferenz zu hoch</t>
  </si>
  <si>
    <t>8.3</t>
  </si>
  <si>
    <t>Modulspannung CSC prüfen</t>
  </si>
  <si>
    <t>8.4</t>
  </si>
  <si>
    <t>Trace-Aufnahme stoppen und speichern</t>
  </si>
  <si>
    <t>Speicherort/Pfad einstellbar</t>
  </si>
  <si>
    <t>8.5</t>
  </si>
  <si>
    <t>Alle Verbindungen vom Prüfling lösen</t>
  </si>
  <si>
    <t>Datum</t>
  </si>
  <si>
    <t>Wer</t>
  </si>
  <si>
    <t>Änderung</t>
  </si>
  <si>
    <t>Kaptiel</t>
  </si>
  <si>
    <t>TBU/DEC</t>
  </si>
  <si>
    <t>Unterscheidung der Prüfabläufe anhand von Materialnummer hinzugefügt</t>
  </si>
  <si>
    <t>Modulinformationsprüfung: IC-Typ Major/Minor, Modultyp Major/Minor, PCB-Typ Major/Minor, PCB Seriennummer hinzugefügt</t>
  </si>
  <si>
    <t>RFID Daten auslesen und in Report schreiben</t>
  </si>
  <si>
    <t>1.1.4 bis 1.1.6</t>
  </si>
  <si>
    <t>DEc/PSc</t>
  </si>
  <si>
    <t xml:space="preserve">Erwarteter SOC auf 29 % reduziert (Analog zu Pilot-EOL) </t>
  </si>
  <si>
    <t>7.3,8.2 und 8.3</t>
  </si>
  <si>
    <t>DEc</t>
  </si>
  <si>
    <t>SoC Angleich Ablauf unterscheidung Laden/Entladen/Kein SoC Angleich</t>
  </si>
  <si>
    <t>Arbeitsblatt "EOL 1 Modul LG" Modul hinzugefügt</t>
  </si>
  <si>
    <t>SoC Angleich: Für abbruchkriterium mittlere Zellspannung betrachten</t>
  </si>
  <si>
    <t>ModuleSafetyMechanisms prüfen</t>
  </si>
  <si>
    <t>CAN-ID = 10010801h (Rx)
M001_ModuleSafetyMechanisms</t>
  </si>
  <si>
    <t xml:space="preserve">00 01 00 01 00 00 00 00 </t>
  </si>
  <si>
    <t>ModuleSafetyMechanism ausgelöst</t>
  </si>
  <si>
    <t>4.1.4</t>
  </si>
  <si>
    <t>Dec</t>
  </si>
  <si>
    <t>Kaptiel 4.1.4 ModuleSafetyMechanisms prüfen hinzugefügt</t>
  </si>
  <si>
    <t>± 3,5</t>
  </si>
  <si>
    <t>Dec / Ibu</t>
  </si>
  <si>
    <t>Limits mit EOL Ablauf an DAS Line1 (Tailend, ST-80/90) abgeglichen</t>
  </si>
  <si>
    <t>± 0,15</t>
  </si>
  <si>
    <t>2.1.5</t>
  </si>
  <si>
    <t>71,34</t>
  </si>
  <si>
    <t>± 5,5</t>
  </si>
  <si>
    <t>± 4,25</t>
  </si>
  <si>
    <t>s</t>
  </si>
  <si>
    <t>8.6</t>
  </si>
  <si>
    <t>8.7</t>
  </si>
  <si>
    <t>8.8</t>
  </si>
  <si>
    <t>8.9</t>
  </si>
  <si>
    <t>8.10</t>
  </si>
  <si>
    <t>8.11</t>
  </si>
  <si>
    <t>8.12</t>
  </si>
  <si>
    <t>8.13</t>
  </si>
  <si>
    <t>3567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</si>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</sst>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b/>
      <sz val="10"/>
      <name val="Arial"/>
      <family val="2"/>
    </font>
    <font>
      <sz val="10"/>
      <name val="Courier"/>
      <family val="3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color indexed="9"/>
      <name val="Arial"/>
      <family val="2"/>
    </font>
    <font>
      <b/>
      <sz val="14"/>
      <color indexed="10"/>
      <name val="Arial"/>
      <family val="2"/>
    </font>
    <font>
      <b/>
      <sz val="14"/>
      <color indexed="48"/>
      <name val="Arial"/>
      <family val="2"/>
    </font>
    <font>
      <b/>
      <sz val="12"/>
      <color indexed="57"/>
      <name val="Arial"/>
      <family val="2"/>
    </font>
    <font>
      <b/>
      <sz val="12"/>
      <color indexed="10"/>
      <name val="Arial"/>
      <family val="2"/>
    </font>
    <font>
      <b/>
      <sz val="12"/>
      <color indexed="48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color indexed="48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b/>
      <sz val="18"/>
      <color indexed="8"/>
      <name val="Arial"/>
      <family val="2"/>
    </font>
    <font>
      <b/>
      <sz val="11"/>
      <name val="Arial"/>
      <family val="2"/>
    </font>
    <font>
      <b/>
      <sz val="12"/>
      <color rgb="FF1AB228"/>
      <name val="Arial"/>
      <family val="2"/>
    </font>
    <font>
      <sz val="10"/>
      <name val="Courier"/>
      <family val="3"/>
    </font>
    <font>
      <b/>
      <sz val="14"/>
      <color rgb="FF7030A0"/>
      <name val="Arial"/>
      <family val="2"/>
    </font>
    <font>
      <b/>
      <sz val="12"/>
      <color theme="9"/>
      <name val="Arial"/>
      <family val="2"/>
    </font>
    <font>
      <b/>
      <sz val="12"/>
      <color rgb="FF7030A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5A00C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rgb="FFFFFF00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23" fillId="0" borderId="0"/>
  </cellStyleXfs>
  <cellXfs count="310">
    <xf numFmtId="0" fontId="0" fillId="0" borderId="0" xfId="0"/>
    <xf numFmtId="0" fontId="5" fillId="0" borderId="0" xfId="0" applyFont="1"/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7" fillId="0" borderId="0" xfId="0" applyFont="1" applyAlignment="1">
      <alignment horizontal="right" vertical="top"/>
    </xf>
    <xf numFmtId="0" fontId="0" fillId="2" borderId="10" xfId="0" applyFill="1" applyBorder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left" vertical="center"/>
    </xf>
    <xf numFmtId="0" fontId="6" fillId="0" borderId="3" xfId="0" applyFont="1" applyBorder="1"/>
    <xf numFmtId="0" fontId="9" fillId="0" borderId="0" xfId="0" applyFont="1"/>
    <xf numFmtId="0" fontId="7" fillId="2" borderId="4" xfId="0" applyFont="1" applyFill="1" applyBorder="1" applyAlignment="1">
      <alignment horizontal="left" vertical="top"/>
    </xf>
    <xf numFmtId="0" fontId="3" fillId="0" borderId="7" xfId="0" applyFont="1" applyBorder="1"/>
    <xf numFmtId="0" fontId="7" fillId="0" borderId="7" xfId="0" applyFont="1" applyBorder="1" applyAlignment="1">
      <alignment vertical="top"/>
    </xf>
    <xf numFmtId="0" fontId="7" fillId="0" borderId="7" xfId="0" applyFont="1" applyBorder="1"/>
    <xf numFmtId="0" fontId="4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7" xfId="0" applyFont="1" applyBorder="1" applyAlignment="1">
      <alignment horizontal="right" vertical="top"/>
    </xf>
    <xf numFmtId="0" fontId="15" fillId="0" borderId="0" xfId="0" applyFont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9" xfId="0" applyBorder="1" applyAlignment="1">
      <alignment horizontal="center" vertical="top" wrapText="1"/>
    </xf>
    <xf numFmtId="14" fontId="0" fillId="0" borderId="21" xfId="0" applyNumberFormat="1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14" fontId="0" fillId="0" borderId="24" xfId="0" applyNumberFormat="1" applyBorder="1" applyAlignment="1">
      <alignment horizontal="center" vertical="top" wrapText="1"/>
    </xf>
    <xf numFmtId="14" fontId="0" fillId="0" borderId="22" xfId="0" applyNumberFormat="1" applyBorder="1" applyAlignment="1">
      <alignment horizontal="center" vertical="top" wrapText="1"/>
    </xf>
    <xf numFmtId="0" fontId="17" fillId="0" borderId="0" xfId="0" applyFont="1"/>
    <xf numFmtId="14" fontId="0" fillId="0" borderId="19" xfId="0" applyNumberFormat="1" applyBorder="1" applyAlignment="1">
      <alignment horizontal="center" vertical="top" wrapText="1"/>
    </xf>
    <xf numFmtId="0" fontId="18" fillId="0" borderId="0" xfId="0" applyFont="1"/>
    <xf numFmtId="0" fontId="19" fillId="0" borderId="0" xfId="0" applyFont="1"/>
    <xf numFmtId="0" fontId="5" fillId="0" borderId="12" xfId="0" applyFont="1" applyBorder="1" applyAlignment="1">
      <alignment vertical="top" wrapText="1"/>
    </xf>
    <xf numFmtId="49" fontId="1" fillId="3" borderId="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top" wrapText="1"/>
    </xf>
    <xf numFmtId="0" fontId="5" fillId="0" borderId="1" xfId="0" applyFont="1" applyBorder="1" applyAlignment="1">
      <alignment horizontal="left"/>
    </xf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1" fillId="0" borderId="12" xfId="0" quotePrefix="1" applyFont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vertical="top" wrapText="1"/>
    </xf>
    <xf numFmtId="0" fontId="4" fillId="5" borderId="12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wrapText="1"/>
    </xf>
    <xf numFmtId="0" fontId="4" fillId="4" borderId="12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wrapText="1"/>
    </xf>
    <xf numFmtId="0" fontId="22" fillId="2" borderId="4" xfId="0" applyFont="1" applyFill="1" applyBorder="1"/>
    <xf numFmtId="0" fontId="1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3" fillId="0" borderId="25" xfId="0" applyFont="1" applyBorder="1"/>
    <xf numFmtId="0" fontId="3" fillId="0" borderId="34" xfId="0" applyFont="1" applyBorder="1"/>
    <xf numFmtId="0" fontId="0" fillId="0" borderId="34" xfId="0" applyBorder="1"/>
    <xf numFmtId="0" fontId="3" fillId="0" borderId="14" xfId="0" applyFont="1" applyBorder="1"/>
    <xf numFmtId="0" fontId="5" fillId="0" borderId="2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49" fontId="21" fillId="0" borderId="12" xfId="0" applyNumberFormat="1" applyFont="1" applyBorder="1" applyAlignment="1">
      <alignment horizontal="center" vertical="center" wrapText="1"/>
    </xf>
    <xf numFmtId="49" fontId="21" fillId="0" borderId="25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top" wrapText="1"/>
    </xf>
    <xf numFmtId="0" fontId="21" fillId="5" borderId="12" xfId="0" applyFont="1" applyFill="1" applyBorder="1" applyAlignment="1">
      <alignment vertical="center"/>
    </xf>
    <xf numFmtId="0" fontId="1" fillId="7" borderId="26" xfId="0" applyFont="1" applyFill="1" applyBorder="1" applyAlignment="1">
      <alignment horizontal="center" vertical="center" wrapText="1"/>
    </xf>
    <xf numFmtId="0" fontId="7" fillId="0" borderId="0" xfId="0" applyFont="1"/>
    <xf numFmtId="0" fontId="25" fillId="0" borderId="0" xfId="0" applyFont="1"/>
    <xf numFmtId="0" fontId="26" fillId="0" borderId="0" xfId="0" applyFont="1"/>
    <xf numFmtId="0" fontId="1" fillId="5" borderId="1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9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4" fillId="0" borderId="40" xfId="0" applyFont="1" applyBorder="1" applyAlignment="1">
      <alignment horizontal="left" vertical="center"/>
    </xf>
    <xf numFmtId="0" fontId="1" fillId="5" borderId="2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top" wrapText="1"/>
    </xf>
    <xf numFmtId="0" fontId="3" fillId="4" borderId="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1" fillId="5" borderId="11" xfId="0" applyNumberFormat="1" applyFont="1" applyFill="1" applyBorder="1" applyAlignment="1">
      <alignment horizontal="center" vertical="center" wrapText="1"/>
    </xf>
    <xf numFmtId="49" fontId="1" fillId="7" borderId="11" xfId="0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top" wrapText="1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28" xfId="0" applyFont="1" applyBorder="1" applyAlignment="1">
      <alignment horizontal="center" vertical="top" wrapText="1"/>
    </xf>
    <xf numFmtId="0" fontId="0" fillId="0" borderId="28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1" fillId="5" borderId="26" xfId="0" applyFont="1" applyFill="1" applyBorder="1" applyAlignment="1">
      <alignment horizontal="center" wrapText="1"/>
    </xf>
    <xf numFmtId="49" fontId="1" fillId="5" borderId="12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33" xfId="0" applyBorder="1"/>
    <xf numFmtId="49" fontId="1" fillId="9" borderId="11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left"/>
    </xf>
    <xf numFmtId="0" fontId="3" fillId="0" borderId="0" xfId="0" applyFont="1"/>
    <xf numFmtId="0" fontId="3" fillId="0" borderId="27" xfId="0" applyFont="1" applyBorder="1" applyAlignment="1">
      <alignment horizontal="left"/>
    </xf>
    <xf numFmtId="0" fontId="0" fillId="0" borderId="29" xfId="0" applyBorder="1"/>
    <xf numFmtId="49" fontId="3" fillId="0" borderId="6" xfId="0" applyNumberFormat="1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4" xfId="0" applyFont="1" applyBorder="1"/>
    <xf numFmtId="0" fontId="0" fillId="11" borderId="12" xfId="0" applyFill="1" applyBorder="1"/>
    <xf numFmtId="0" fontId="7" fillId="0" borderId="8" xfId="0" applyFont="1" applyBorder="1" applyAlignment="1">
      <alignment vertical="top"/>
    </xf>
    <xf numFmtId="0" fontId="0" fillId="0" borderId="0" xfId="0" applyAlignment="1">
      <alignment vertical="center"/>
    </xf>
    <xf numFmtId="14" fontId="0" fillId="0" borderId="41" xfId="0" applyNumberForma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13" xfId="0" applyBorder="1"/>
    <xf numFmtId="0" fontId="0" fillId="0" borderId="20" xfId="0" applyBorder="1"/>
    <xf numFmtId="0" fontId="1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8" borderId="0" xfId="0" applyFont="1" applyFill="1" applyAlignment="1">
      <alignment horizontal="left"/>
    </xf>
    <xf numFmtId="14" fontId="7" fillId="2" borderId="4" xfId="0" applyNumberFormat="1" applyFont="1" applyFill="1" applyBorder="1" applyAlignment="1">
      <alignment horizontal="left" vertical="top"/>
    </xf>
    <xf numFmtId="49" fontId="1" fillId="0" borderId="12" xfId="0" applyNumberFormat="1" applyFont="1" applyBorder="1" applyAlignment="1">
      <alignment horizontal="center" vertical="center"/>
    </xf>
    <xf numFmtId="49" fontId="21" fillId="5" borderId="12" xfId="0" applyNumberFormat="1" applyFont="1" applyFill="1" applyBorder="1" applyAlignment="1">
      <alignment horizontal="left" vertical="center" wrapText="1"/>
    </xf>
    <xf numFmtId="49" fontId="1" fillId="9" borderId="11" xfId="0" quotePrefix="1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left"/>
    </xf>
    <xf numFmtId="0" fontId="3" fillId="8" borderId="0" xfId="0" applyFont="1" applyFill="1"/>
    <xf numFmtId="49" fontId="3" fillId="8" borderId="6" xfId="0" applyNumberFormat="1" applyFont="1" applyFill="1" applyBorder="1" applyAlignment="1">
      <alignment horizontal="left"/>
    </xf>
    <xf numFmtId="0" fontId="1" fillId="7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49" fontId="1" fillId="7" borderId="12" xfId="0" applyNumberFormat="1" applyFont="1" applyFill="1" applyBorder="1" applyAlignment="1">
      <alignment horizontal="center" vertical="center" wrapText="1"/>
    </xf>
    <xf numFmtId="16" fontId="3" fillId="0" borderId="6" xfId="0" quotePrefix="1" applyNumberFormat="1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21" fillId="5" borderId="12" xfId="0" applyFont="1" applyFill="1" applyBorder="1" applyAlignment="1">
      <alignment horizontal="left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1" fillId="0" borderId="26" xfId="0" quotePrefix="1" applyFont="1" applyBorder="1" applyAlignment="1">
      <alignment horizontal="center" vertical="center" wrapText="1"/>
    </xf>
    <xf numFmtId="49" fontId="4" fillId="5" borderId="12" xfId="0" applyNumberFormat="1" applyFont="1" applyFill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32" xfId="0" applyFont="1" applyBorder="1" applyAlignment="1">
      <alignment vertical="top" wrapText="1"/>
    </xf>
    <xf numFmtId="0" fontId="1" fillId="0" borderId="11" xfId="0" applyFont="1" applyBorder="1" applyAlignment="1">
      <alignment vertical="center" wrapText="1"/>
    </xf>
    <xf numFmtId="20" fontId="1" fillId="0" borderId="26" xfId="0" applyNumberFormat="1" applyFont="1" applyBorder="1" applyAlignment="1">
      <alignment horizontal="center" vertical="center" wrapText="1"/>
    </xf>
    <xf numFmtId="14" fontId="5" fillId="0" borderId="24" xfId="0" quotePrefix="1" applyNumberFormat="1" applyFont="1" applyBorder="1" applyAlignment="1">
      <alignment horizontal="center" vertical="top" wrapText="1"/>
    </xf>
    <xf numFmtId="14" fontId="5" fillId="0" borderId="19" xfId="0" quotePrefix="1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5" fillId="0" borderId="0" xfId="0" applyFont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12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  <xf numFmtId="0" fontId="1" fillId="5" borderId="26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left" vertical="center" wrapText="1"/>
    </xf>
    <xf numFmtId="49" fontId="1" fillId="9" borderId="10" xfId="0" applyNumberFormat="1" applyFont="1" applyFill="1" applyBorder="1" applyAlignment="1">
      <alignment horizontal="center" vertical="center" wrapText="1"/>
    </xf>
    <xf numFmtId="14" fontId="0" fillId="0" borderId="19" xfId="0" quotePrefix="1" applyNumberFormat="1" applyBorder="1" applyAlignment="1">
      <alignment horizontal="center" vertical="top" wrapText="1"/>
    </xf>
    <xf numFmtId="49" fontId="1" fillId="8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 wrapText="1"/>
    </xf>
    <xf numFmtId="49" fontId="1" fillId="12" borderId="11" xfId="0" applyNumberFormat="1" applyFont="1" applyFill="1" applyBorder="1" applyAlignment="1">
      <alignment horizontal="center" vertical="center" wrapText="1"/>
    </xf>
    <xf numFmtId="0" fontId="1" fillId="8" borderId="26" xfId="0" quotePrefix="1" applyFont="1" applyFill="1" applyBorder="1" applyAlignment="1">
      <alignment horizontal="center" vertical="center" wrapText="1"/>
    </xf>
    <xf numFmtId="49" fontId="1" fillId="12" borderId="12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horizontal="center" vertical="center" wrapText="1"/>
    </xf>
    <xf numFmtId="49" fontId="21" fillId="5" borderId="11" xfId="0" applyNumberFormat="1" applyFont="1" applyFill="1" applyBorder="1" applyAlignment="1">
      <alignment horizontal="center" vertical="center" wrapText="1"/>
    </xf>
    <xf numFmtId="49" fontId="21" fillId="5" borderId="10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top" wrapText="1"/>
    </xf>
    <xf numFmtId="0" fontId="5" fillId="2" borderId="8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7" fillId="8" borderId="27" xfId="0" applyFont="1" applyFill="1" applyBorder="1" applyAlignment="1">
      <alignment horizontal="left" vertical="center"/>
    </xf>
    <xf numFmtId="0" fontId="7" fillId="8" borderId="32" xfId="0" applyFont="1" applyFill="1" applyBorder="1" applyAlignment="1">
      <alignment horizontal="left" vertical="center"/>
    </xf>
    <xf numFmtId="0" fontId="7" fillId="8" borderId="29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7" fillId="8" borderId="9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2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10" borderId="27" xfId="0" applyFont="1" applyFill="1" applyBorder="1" applyAlignment="1">
      <alignment horizontal="left" vertical="center"/>
    </xf>
    <xf numFmtId="0" fontId="7" fillId="10" borderId="32" xfId="0" applyFont="1" applyFill="1" applyBorder="1" applyAlignment="1">
      <alignment horizontal="left" vertical="center"/>
    </xf>
    <xf numFmtId="0" fontId="7" fillId="10" borderId="29" xfId="0" applyFont="1" applyFill="1" applyBorder="1" applyAlignment="1">
      <alignment horizontal="left" vertical="center"/>
    </xf>
    <xf numFmtId="0" fontId="7" fillId="10" borderId="8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9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top"/>
    </xf>
    <xf numFmtId="0" fontId="4" fillId="6" borderId="39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21" fillId="5" borderId="26" xfId="0" applyNumberFormat="1" applyFont="1" applyFill="1" applyBorder="1" applyAlignment="1">
      <alignment horizontal="center" vertical="center" wrapText="1"/>
    </xf>
    <xf numFmtId="49" fontId="21" fillId="5" borderId="11" xfId="0" applyNumberFormat="1" applyFont="1" applyFill="1" applyBorder="1" applyAlignment="1">
      <alignment horizontal="center" vertical="center" wrapText="1"/>
    </xf>
    <xf numFmtId="49" fontId="21" fillId="0" borderId="26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6" borderId="37" xfId="0" applyNumberFormat="1" applyFont="1" applyFill="1" applyBorder="1" applyAlignment="1">
      <alignment horizontal="center" vertical="center"/>
    </xf>
    <xf numFmtId="49" fontId="4" fillId="6" borderId="38" xfId="0" applyNumberFormat="1" applyFont="1" applyFill="1" applyBorder="1" applyAlignment="1">
      <alignment horizontal="center" vertical="center"/>
    </xf>
    <xf numFmtId="49" fontId="21" fillId="5" borderId="10" xfId="0" applyNumberFormat="1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12" xfId="0" applyFont="1" applyFill="1" applyBorder="1" applyAlignment="1">
      <alignment horizontal="center" wrapText="1"/>
    </xf>
    <xf numFmtId="0" fontId="1" fillId="0" borderId="26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/>
    </xf>
    <xf numFmtId="0" fontId="4" fillId="5" borderId="26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top" wrapText="1"/>
    </xf>
    <xf numFmtId="0" fontId="1" fillId="5" borderId="26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Standard 2" xfId="2" xr:uid="{00000000-0005-0000-0000-000001000000}"/>
    <cellStyle name="Undefiniert" xfId="1" xr:uid="{00000000-0005-0000-0000-000002000000}"/>
    <cellStyle name="Undefiniert 2" xfId="3" xr:uid="{00000000-0005-0000-0000-000003000000}"/>
  </cellStyles>
  <dxfs count="1096"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7030A0"/>
      </font>
    </dxf>
    <dxf>
      <fill>
        <patternFill patternType="lightUp"/>
      </fill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lor theme="9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ill>
        <patternFill patternType="lightUp"/>
      </fill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rgb="FF7030A0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7030A0"/>
      </font>
    </dxf>
    <dxf>
      <font>
        <b/>
        <i val="0"/>
        <color theme="9"/>
      </font>
    </dxf>
    <dxf>
      <font>
        <b/>
        <i val="0"/>
        <color theme="9"/>
      </font>
    </dxf>
    <dxf>
      <fill>
        <patternFill patternType="lightUp"/>
      </fill>
    </dxf>
    <dxf>
      <font>
        <b/>
        <i val="0"/>
        <color rgb="FF7030A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 val="0"/>
        <i val="0"/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5A00C"/>
      <color rgb="FF1AB228"/>
      <color rgb="FF5B8B41"/>
      <color rgb="FFA30944"/>
      <color rgb="FFC10B50"/>
      <color rgb="FF648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650240</xdr:colOff>
      <xdr:row>2</xdr:row>
      <xdr:rowOff>7125</xdr:rowOff>
    </xdr:from>
    <xdr:to>
      <xdr:col>14</xdr:col>
      <xdr:colOff>1468</xdr:colOff>
      <xdr:row>3</xdr:row>
      <xdr:rowOff>201218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1520" y="504965"/>
          <a:ext cx="2286198" cy="50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0</xdr:row>
      <xdr:rowOff>38100</xdr:rowOff>
    </xdr:from>
    <xdr:to>
      <xdr:col>15</xdr:col>
      <xdr:colOff>979767</xdr:colOff>
      <xdr:row>0</xdr:row>
      <xdr:rowOff>654050</xdr:rowOff>
    </xdr:to>
    <xdr:sp macro="[0]!Zur_Historie_Wechseln" textlink="">
      <xdr:nvSpPr>
        <xdr:cNvPr id="19479" name="Rectangle 23">
          <a:extLst>
            <a:ext uri="{FF2B5EF4-FFF2-40B4-BE49-F238E27FC236}">
              <a16:creationId xmlns:a16="http://schemas.microsoft.com/office/drawing/2014/main" id="{00000000-0008-0000-0300-0000174C0000}"/>
            </a:ext>
          </a:extLst>
        </xdr:cNvPr>
        <xdr:cNvSpPr>
          <a:spLocks noChangeArrowheads="1"/>
        </xdr:cNvSpPr>
      </xdr:nvSpPr>
      <xdr:spPr bwMode="auto">
        <a:xfrm>
          <a:off x="19066669" y="38100"/>
          <a:ext cx="948017" cy="619125"/>
        </a:xfrm>
        <a:prstGeom prst="rect">
          <a:avLst/>
        </a:prstGeom>
        <a:gradFill rotWithShape="1">
          <a:gsLst>
            <a:gs pos="0">
              <a:srgbClr val="969696"/>
            </a:gs>
            <a:gs pos="100000">
              <a:srgbClr val="DDDDDD"/>
            </a:gs>
          </a:gsLst>
          <a:path path="rect">
            <a:fillToRect r="100000" b="100000"/>
          </a:path>
        </a:gra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de-DE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Historie</a:t>
          </a:r>
        </a:p>
      </xdr:txBody>
    </xdr:sp>
    <xdr:clientData/>
  </xdr:twoCellAnchor>
  <xdr:twoCellAnchor editAs="oneCell">
    <xdr:from>
      <xdr:col>10</xdr:col>
      <xdr:colOff>32657</xdr:colOff>
      <xdr:row>0</xdr:row>
      <xdr:rowOff>199067</xdr:rowOff>
    </xdr:from>
    <xdr:to>
      <xdr:col>10</xdr:col>
      <xdr:colOff>1345565</xdr:colOff>
      <xdr:row>0</xdr:row>
      <xdr:rowOff>484549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6171" y="199067"/>
          <a:ext cx="1316083" cy="288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</xdr:colOff>
      <xdr:row>0</xdr:row>
      <xdr:rowOff>38100</xdr:rowOff>
    </xdr:from>
    <xdr:to>
      <xdr:col>14</xdr:col>
      <xdr:colOff>976592</xdr:colOff>
      <xdr:row>0</xdr:row>
      <xdr:rowOff>657225</xdr:rowOff>
    </xdr:to>
    <xdr:sp macro="[0]!Zur_Historie_Wechseln" textlink="">
      <xdr:nvSpPr>
        <xdr:cNvPr id="2" name="Rectangle 23">
          <a:extLst>
            <a:ext uri="{FF2B5EF4-FFF2-40B4-BE49-F238E27FC236}">
              <a16:creationId xmlns:a16="http://schemas.microsoft.com/office/drawing/2014/main" id="{2D6CE5BA-D0C4-440D-90A6-2C6902A3A9B3}"/>
            </a:ext>
          </a:extLst>
        </xdr:cNvPr>
        <xdr:cNvSpPr>
          <a:spLocks noChangeArrowheads="1"/>
        </xdr:cNvSpPr>
      </xdr:nvSpPr>
      <xdr:spPr bwMode="auto">
        <a:xfrm>
          <a:off x="21029295" y="38100"/>
          <a:ext cx="948017" cy="619125"/>
        </a:xfrm>
        <a:prstGeom prst="rect">
          <a:avLst/>
        </a:prstGeom>
        <a:gradFill rotWithShape="1">
          <a:gsLst>
            <a:gs pos="0">
              <a:srgbClr val="969696"/>
            </a:gs>
            <a:gs pos="100000">
              <a:srgbClr val="DDDDDD"/>
            </a:gs>
          </a:gsLst>
          <a:path path="rect">
            <a:fillToRect r="100000" b="100000"/>
          </a:path>
        </a:gra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de-DE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Historie</a:t>
          </a:r>
        </a:p>
      </xdr:txBody>
    </xdr:sp>
    <xdr:clientData/>
  </xdr:twoCellAnchor>
  <xdr:twoCellAnchor editAs="oneCell">
    <xdr:from>
      <xdr:col>9</xdr:col>
      <xdr:colOff>32657</xdr:colOff>
      <xdr:row>0</xdr:row>
      <xdr:rowOff>199067</xdr:rowOff>
    </xdr:from>
    <xdr:to>
      <xdr:col>9</xdr:col>
      <xdr:colOff>1348740</xdr:colOff>
      <xdr:row>0</xdr:row>
      <xdr:rowOff>487724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5BF18EA-C33A-4ACC-9662-EDFF46CD1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6777" y="199067"/>
          <a:ext cx="1316083" cy="288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38100</xdr:rowOff>
    </xdr:from>
    <xdr:to>
      <xdr:col>5</xdr:col>
      <xdr:colOff>38100</xdr:colOff>
      <xdr:row>0</xdr:row>
      <xdr:rowOff>581025</xdr:rowOff>
    </xdr:to>
    <xdr:sp macro="[0]!Makro4" textlink="">
      <xdr:nvSpPr>
        <xdr:cNvPr id="50177" name="Rectangle 1">
          <a:extLst>
            <a:ext uri="{FF2B5EF4-FFF2-40B4-BE49-F238E27FC236}">
              <a16:creationId xmlns:a16="http://schemas.microsoft.com/office/drawing/2014/main" id="{00000000-0008-0000-0E00-000001C40000}"/>
            </a:ext>
          </a:extLst>
        </xdr:cNvPr>
        <xdr:cNvSpPr>
          <a:spLocks noChangeArrowheads="1"/>
        </xdr:cNvSpPr>
      </xdr:nvSpPr>
      <xdr:spPr bwMode="auto">
        <a:xfrm>
          <a:off x="5486400" y="38100"/>
          <a:ext cx="771525" cy="542925"/>
        </a:xfrm>
        <a:prstGeom prst="rect">
          <a:avLst/>
        </a:prstGeom>
        <a:gradFill rotWithShape="1">
          <a:gsLst>
            <a:gs pos="0">
              <a:srgbClr val="969696"/>
            </a:gs>
            <a:gs pos="100000">
              <a:srgbClr val="DDDDDD"/>
            </a:gs>
          </a:gsLst>
          <a:path path="rect">
            <a:fillToRect r="100000" b="100000"/>
          </a:path>
        </a:gra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de-D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Zurück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Q54"/>
  <sheetViews>
    <sheetView zoomScale="60" zoomScaleNormal="60" zoomScaleSheetLayoutView="70" zoomScalePageLayoutView="40" workbookViewId="0">
      <selection activeCell="B9" sqref="B9"/>
    </sheetView>
  </sheetViews>
  <sheetFormatPr defaultColWidth="11.42578125" defaultRowHeight="12.75" x14ac:dyDescent="0.2"/>
  <cols>
    <col min="1" max="1" width="52.85546875" bestFit="1" customWidth="1"/>
    <col min="2" max="2" width="26.42578125" customWidth="1"/>
    <col min="3" max="3" width="13.85546875" customWidth="1"/>
    <col min="4" max="4" width="12.85546875" customWidth="1"/>
    <col min="5" max="5" width="13.5703125" customWidth="1"/>
    <col min="6" max="6" width="15.5703125" customWidth="1"/>
    <col min="7" max="7" width="16.5703125" customWidth="1"/>
    <col min="8" max="13" width="15.5703125" customWidth="1"/>
  </cols>
  <sheetData>
    <row r="1" spans="1:17" ht="24.95" customHeight="1" thickBot="1" x14ac:dyDescent="0.45">
      <c r="A1" s="54" t="s">
        <v>0</v>
      </c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7" ht="24.95" customHeight="1" x14ac:dyDescent="0.2"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spans="1:17" ht="24.95" customHeight="1" x14ac:dyDescent="0.25">
      <c r="A3" s="55" t="s">
        <v>2</v>
      </c>
      <c r="B3" s="132" t="s">
        <v>3</v>
      </c>
      <c r="C3" s="131"/>
      <c r="D3" s="131"/>
      <c r="E3" s="131"/>
      <c r="F3" s="131"/>
      <c r="G3" s="131"/>
      <c r="H3" s="131"/>
      <c r="N3" s="133"/>
    </row>
    <row r="4" spans="1:17" ht="24.95" customHeight="1" x14ac:dyDescent="0.25">
      <c r="A4" s="56" t="s">
        <v>4</v>
      </c>
      <c r="B4" s="130"/>
      <c r="C4" s="131"/>
      <c r="D4" s="131"/>
      <c r="E4" s="131"/>
      <c r="F4" s="131"/>
      <c r="G4" s="131"/>
      <c r="H4" s="131"/>
      <c r="N4" s="7"/>
    </row>
    <row r="5" spans="1:17" ht="24.95" customHeight="1" x14ac:dyDescent="0.25">
      <c r="A5" s="56" t="s">
        <v>5</v>
      </c>
      <c r="B5" s="166" t="s">
        <v>6</v>
      </c>
      <c r="C5" s="131"/>
      <c r="D5" s="131"/>
      <c r="E5" s="131"/>
      <c r="F5" s="131"/>
      <c r="G5" s="131"/>
      <c r="H5" s="131"/>
      <c r="N5" s="7"/>
    </row>
    <row r="6" spans="1:17" ht="24.95" customHeight="1" x14ac:dyDescent="0.25">
      <c r="A6" s="56"/>
      <c r="B6" s="130"/>
      <c r="C6" s="131"/>
      <c r="D6" s="131"/>
      <c r="E6" s="131"/>
      <c r="F6" s="131"/>
      <c r="G6" s="131"/>
      <c r="H6" s="131"/>
      <c r="N6" s="7"/>
    </row>
    <row r="7" spans="1:17" ht="24.95" customHeight="1" x14ac:dyDescent="0.25">
      <c r="A7" s="56" t="s">
        <v>7</v>
      </c>
      <c r="B7" s="155"/>
      <c r="C7" s="131"/>
      <c r="D7" s="131"/>
      <c r="E7" s="131"/>
      <c r="F7" s="131"/>
      <c r="G7" s="131"/>
      <c r="H7" s="131"/>
      <c r="N7" s="7"/>
    </row>
    <row r="8" spans="1:17" ht="24.95" customHeight="1" x14ac:dyDescent="0.25">
      <c r="A8" s="56" t="s">
        <v>8</v>
      </c>
      <c r="B8" s="160"/>
      <c r="C8" s="131"/>
      <c r="D8" s="131"/>
      <c r="E8" s="131"/>
      <c r="F8" s="131"/>
      <c r="G8" s="131"/>
      <c r="H8" s="131"/>
      <c r="N8" s="7"/>
      <c r="Q8" s="14"/>
    </row>
    <row r="9" spans="1:17" ht="24.95" customHeight="1" x14ac:dyDescent="0.25">
      <c r="A9" s="56" t="s">
        <v>9</v>
      </c>
      <c r="B9" s="161"/>
      <c r="C9" s="131"/>
      <c r="D9" s="131"/>
      <c r="E9" s="131"/>
      <c r="F9" s="131"/>
      <c r="G9" s="131"/>
      <c r="H9" s="131"/>
      <c r="N9" s="7"/>
      <c r="Q9" s="14"/>
    </row>
    <row r="10" spans="1:17" ht="24.95" customHeight="1" x14ac:dyDescent="0.25">
      <c r="A10" s="56" t="s">
        <v>10</v>
      </c>
      <c r="B10" s="162"/>
      <c r="C10" s="131"/>
      <c r="D10" s="131"/>
      <c r="E10" s="131"/>
      <c r="F10" s="131"/>
      <c r="G10" s="131"/>
      <c r="H10" s="131"/>
      <c r="N10" s="7"/>
      <c r="Q10" s="14"/>
    </row>
    <row r="11" spans="1:17" ht="24.95" customHeight="1" x14ac:dyDescent="0.25">
      <c r="A11" s="56"/>
      <c r="B11" s="134"/>
      <c r="C11" s="131"/>
      <c r="D11" s="131"/>
      <c r="E11" s="131"/>
      <c r="F11" s="131"/>
      <c r="G11" s="131"/>
      <c r="H11" s="131"/>
      <c r="N11" s="7"/>
      <c r="Q11" s="14"/>
    </row>
    <row r="12" spans="1:17" ht="24.95" customHeight="1" x14ac:dyDescent="0.25">
      <c r="A12" s="57"/>
      <c r="B12" s="130"/>
      <c r="C12" s="131"/>
      <c r="D12" s="131"/>
      <c r="E12" s="131"/>
      <c r="F12" s="131"/>
      <c r="G12" s="131"/>
      <c r="H12" s="131"/>
      <c r="N12" s="7"/>
      <c r="Q12" s="14" t="s">
        <v>11</v>
      </c>
    </row>
    <row r="13" spans="1:17" ht="24.95" customHeight="1" x14ac:dyDescent="0.25">
      <c r="A13" s="56" t="s">
        <v>12</v>
      </c>
      <c r="B13" s="134"/>
      <c r="C13" s="131"/>
      <c r="D13" s="131"/>
      <c r="E13" s="131"/>
      <c r="F13" s="131"/>
      <c r="G13" s="131"/>
      <c r="H13" s="131"/>
      <c r="N13" s="7"/>
      <c r="Q13" s="14"/>
    </row>
    <row r="14" spans="1:17" ht="24.95" customHeight="1" x14ac:dyDescent="0.25">
      <c r="A14" s="56" t="s">
        <v>13</v>
      </c>
      <c r="B14" s="130"/>
      <c r="C14" s="131"/>
      <c r="D14" s="131"/>
      <c r="E14" s="131"/>
      <c r="F14" s="131"/>
      <c r="G14" s="131"/>
      <c r="H14" s="131"/>
      <c r="N14" s="7"/>
      <c r="Q14" s="14"/>
    </row>
    <row r="15" spans="1:17" ht="24.95" customHeight="1" x14ac:dyDescent="0.25">
      <c r="A15" s="58" t="s">
        <v>14</v>
      </c>
      <c r="B15" s="135"/>
      <c r="C15" s="136"/>
      <c r="D15" s="136"/>
      <c r="E15" s="136"/>
      <c r="F15" s="136"/>
      <c r="G15" s="136"/>
      <c r="H15" s="136"/>
      <c r="I15" s="6"/>
      <c r="J15" s="6"/>
      <c r="K15" s="6"/>
      <c r="L15" s="6"/>
      <c r="M15" s="6"/>
      <c r="N15" s="8"/>
      <c r="Q15" s="14"/>
    </row>
    <row r="16" spans="1:17" ht="24.95" customHeight="1" x14ac:dyDescent="0.25">
      <c r="A16" s="56"/>
      <c r="B16" s="130"/>
      <c r="C16" s="131"/>
      <c r="D16" s="131"/>
      <c r="E16" s="131"/>
      <c r="F16" s="131"/>
      <c r="G16" s="131"/>
      <c r="H16" s="131"/>
      <c r="N16" s="7"/>
      <c r="Q16" s="14"/>
    </row>
    <row r="17" spans="1:17" ht="24.95" customHeight="1" x14ac:dyDescent="0.2">
      <c r="A17" s="2"/>
      <c r="B17" s="138"/>
      <c r="Q17" s="14" t="s">
        <v>15</v>
      </c>
    </row>
    <row r="18" spans="1:17" ht="24.95" customHeight="1" x14ac:dyDescent="0.25">
      <c r="A18" s="17"/>
      <c r="B18" s="246" t="s">
        <v>16</v>
      </c>
      <c r="C18" s="247"/>
      <c r="D18" s="247"/>
      <c r="E18" s="248"/>
      <c r="F18" s="246" t="s">
        <v>17</v>
      </c>
      <c r="G18" s="247" t="e">
        <f>IF(#REF!="","",IF(#REF!&lt;&gt;"R500",IF(#REF!="Container","Colorpilot",IF(#REF!="R200","BDR","UWR/Checksum")),"MTC"))</f>
        <v>#REF!</v>
      </c>
      <c r="H18" s="247" t="e">
        <f>IF(#REF!="","",IF(#REF!&lt;&gt;"R500",IF(#REF!="Container","Kombipult",IF(#REF!="R200","RTR","RTR/Checksum")),"Firmware"))</f>
        <v>#REF!</v>
      </c>
      <c r="I18" s="248" t="e">
        <f>IF(#REF!="","",IF(#REF!&lt;&gt;"R500",IF(#REF!="Container","CD-Simulator",IF(#REF!="R200","Textversion","Prozeßbusm.")),"Hardware"))</f>
        <v>#REF!</v>
      </c>
      <c r="M18" s="14"/>
    </row>
    <row r="19" spans="1:17" ht="20.100000000000001" customHeight="1" x14ac:dyDescent="0.2">
      <c r="A19" s="255" t="s">
        <v>18</v>
      </c>
      <c r="B19" s="249" t="s">
        <v>19</v>
      </c>
      <c r="C19" s="250"/>
      <c r="D19" s="250"/>
      <c r="E19" s="251"/>
      <c r="F19" s="242" t="s">
        <v>20</v>
      </c>
      <c r="G19" s="243"/>
      <c r="H19" s="235"/>
      <c r="I19" s="236"/>
    </row>
    <row r="20" spans="1:17" ht="20.100000000000001" customHeight="1" x14ac:dyDescent="0.2">
      <c r="A20" s="255"/>
      <c r="B20" s="252"/>
      <c r="C20" s="253"/>
      <c r="D20" s="253"/>
      <c r="E20" s="254"/>
      <c r="F20" s="244"/>
      <c r="G20" s="245"/>
      <c r="H20" s="238"/>
      <c r="I20" s="239"/>
    </row>
    <row r="21" spans="1:17" ht="20.100000000000001" customHeight="1" x14ac:dyDescent="0.2">
      <c r="A21" s="255"/>
      <c r="B21" s="249" t="s">
        <v>21</v>
      </c>
      <c r="C21" s="250"/>
      <c r="D21" s="250"/>
      <c r="E21" s="251"/>
      <c r="F21" s="242" t="s">
        <v>22</v>
      </c>
      <c r="G21" s="243"/>
      <c r="H21" s="235"/>
      <c r="I21" s="236"/>
    </row>
    <row r="22" spans="1:17" ht="20.100000000000001" customHeight="1" x14ac:dyDescent="0.2">
      <c r="A22" s="255"/>
      <c r="B22" s="252"/>
      <c r="C22" s="253"/>
      <c r="D22" s="253"/>
      <c r="E22" s="254"/>
      <c r="F22" s="244"/>
      <c r="G22" s="245"/>
      <c r="H22" s="238"/>
      <c r="I22" s="239"/>
    </row>
    <row r="23" spans="1:17" ht="20.100000000000001" customHeight="1" x14ac:dyDescent="0.2">
      <c r="A23" s="7"/>
      <c r="B23" s="249" t="s">
        <v>23</v>
      </c>
      <c r="C23" s="250"/>
      <c r="D23" s="250"/>
      <c r="E23" s="251"/>
      <c r="F23" s="242" t="s">
        <v>24</v>
      </c>
      <c r="G23" s="243"/>
      <c r="H23" s="235"/>
      <c r="I23" s="236"/>
    </row>
    <row r="24" spans="1:17" ht="20.100000000000001" customHeight="1" x14ac:dyDescent="0.2">
      <c r="A24" s="7"/>
      <c r="B24" s="252"/>
      <c r="C24" s="253"/>
      <c r="D24" s="253"/>
      <c r="E24" s="254"/>
      <c r="F24" s="244"/>
      <c r="G24" s="245"/>
      <c r="H24" s="238"/>
      <c r="I24" s="239"/>
    </row>
    <row r="25" spans="1:17" ht="20.100000000000001" customHeight="1" x14ac:dyDescent="0.2">
      <c r="A25" s="7"/>
      <c r="B25" s="226" t="s">
        <v>25</v>
      </c>
      <c r="C25" s="227"/>
      <c r="D25" s="227"/>
      <c r="E25" s="228"/>
      <c r="F25" s="242" t="s">
        <v>26</v>
      </c>
      <c r="G25" s="243"/>
      <c r="H25" s="235"/>
      <c r="I25" s="236"/>
    </row>
    <row r="26" spans="1:17" ht="20.100000000000001" customHeight="1" x14ac:dyDescent="0.2">
      <c r="A26" s="7"/>
      <c r="B26" s="229"/>
      <c r="C26" s="230"/>
      <c r="D26" s="230"/>
      <c r="E26" s="231"/>
      <c r="F26" s="244"/>
      <c r="G26" s="245"/>
      <c r="H26" s="238"/>
      <c r="I26" s="239"/>
    </row>
    <row r="27" spans="1:17" ht="20.100000000000001" customHeight="1" x14ac:dyDescent="0.2">
      <c r="A27" s="7"/>
      <c r="B27" s="234"/>
      <c r="C27" s="235"/>
      <c r="D27" s="235"/>
      <c r="E27" s="236"/>
      <c r="F27" s="242" t="s">
        <v>27</v>
      </c>
      <c r="G27" s="243"/>
      <c r="H27" s="235"/>
      <c r="I27" s="236"/>
    </row>
    <row r="28" spans="1:17" ht="20.100000000000001" customHeight="1" x14ac:dyDescent="0.2">
      <c r="A28" s="7"/>
      <c r="B28" s="237"/>
      <c r="C28" s="238"/>
      <c r="D28" s="238"/>
      <c r="E28" s="239"/>
      <c r="F28" s="244"/>
      <c r="G28" s="245"/>
      <c r="H28" s="238"/>
      <c r="I28" s="239"/>
    </row>
    <row r="29" spans="1:17" ht="20.100000000000001" customHeight="1" x14ac:dyDescent="0.2">
      <c r="A29" s="7"/>
      <c r="B29" s="234"/>
      <c r="C29" s="235"/>
      <c r="D29" s="235"/>
      <c r="E29" s="236"/>
      <c r="F29" s="242" t="s">
        <v>28</v>
      </c>
      <c r="G29" s="243"/>
      <c r="H29" s="235"/>
      <c r="I29" s="236"/>
    </row>
    <row r="30" spans="1:17" ht="20.100000000000001" customHeight="1" x14ac:dyDescent="0.2">
      <c r="A30" s="7"/>
      <c r="B30" s="237"/>
      <c r="C30" s="238"/>
      <c r="D30" s="238"/>
      <c r="E30" s="239"/>
      <c r="F30" s="244"/>
      <c r="G30" s="245"/>
      <c r="H30" s="238"/>
      <c r="I30" s="239"/>
    </row>
    <row r="31" spans="1:17" ht="20.100000000000001" customHeight="1" x14ac:dyDescent="0.2">
      <c r="A31" s="17"/>
      <c r="B31" s="3"/>
    </row>
    <row r="32" spans="1:17" ht="20.100000000000001" customHeight="1" x14ac:dyDescent="0.25">
      <c r="A32" s="16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4" ht="24.95" customHeight="1" x14ac:dyDescent="0.25">
      <c r="A33" s="16" t="s">
        <v>29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4" ht="24.95" customHeight="1" x14ac:dyDescent="0.2">
      <c r="A34" s="23" t="s">
        <v>30</v>
      </c>
      <c r="B34" s="24"/>
      <c r="C34" s="2"/>
    </row>
    <row r="35" spans="1:14" ht="24.95" customHeight="1" x14ac:dyDescent="0.25">
      <c r="A35" s="183" t="s">
        <v>31</v>
      </c>
      <c r="C35" s="9" t="s">
        <v>32</v>
      </c>
      <c r="D35" s="52"/>
      <c r="F35" s="67" t="s">
        <v>33</v>
      </c>
      <c r="G35" s="67"/>
      <c r="H35" s="19" t="e">
        <f>#REF!</f>
        <v>#REF!</v>
      </c>
      <c r="I35" s="67" t="s">
        <v>34</v>
      </c>
    </row>
    <row r="36" spans="1:14" ht="24.95" customHeight="1" x14ac:dyDescent="0.25">
      <c r="A36" s="17"/>
      <c r="B36" s="2"/>
      <c r="C36" s="9" t="s">
        <v>35</v>
      </c>
      <c r="D36" s="10"/>
      <c r="F36" s="67" t="s">
        <v>36</v>
      </c>
      <c r="G36" s="67"/>
      <c r="H36" s="20" t="e">
        <f>#REF!</f>
        <v>#REF!</v>
      </c>
      <c r="I36" s="67" t="s">
        <v>37</v>
      </c>
    </row>
    <row r="37" spans="1:14" ht="24.95" customHeight="1" x14ac:dyDescent="0.25">
      <c r="A37" s="17"/>
      <c r="B37" s="2"/>
      <c r="C37" s="2"/>
      <c r="G37" s="67"/>
      <c r="H37" s="21" t="e">
        <f>#REF!</f>
        <v>#REF!</v>
      </c>
      <c r="I37" s="67" t="s">
        <v>38</v>
      </c>
    </row>
    <row r="38" spans="1:14" ht="24.95" customHeight="1" x14ac:dyDescent="0.25">
      <c r="A38" s="17"/>
      <c r="B38" s="2"/>
      <c r="C38" s="2"/>
      <c r="G38" s="67"/>
      <c r="H38" s="68" t="e">
        <f>#REF!</f>
        <v>#REF!</v>
      </c>
      <c r="I38" s="67" t="s">
        <v>39</v>
      </c>
    </row>
    <row r="39" spans="1:14" ht="24.95" customHeight="1" x14ac:dyDescent="0.25">
      <c r="A39" s="17"/>
      <c r="B39" s="2"/>
      <c r="C39" s="2"/>
      <c r="G39" s="67"/>
      <c r="H39" s="69" t="e">
        <f>#REF!</f>
        <v>#REF!</v>
      </c>
      <c r="I39" s="67" t="s">
        <v>40</v>
      </c>
    </row>
    <row r="40" spans="1:14" ht="24.95" customHeight="1" x14ac:dyDescent="0.25">
      <c r="A40" s="18"/>
      <c r="G40" s="67"/>
      <c r="H40" s="22" t="e">
        <f>#REF!</f>
        <v>#REF!</v>
      </c>
      <c r="I40" s="67" t="s">
        <v>41</v>
      </c>
    </row>
    <row r="41" spans="1:14" ht="15" x14ac:dyDescent="0.2">
      <c r="A41" s="18"/>
    </row>
    <row r="42" spans="1:14" x14ac:dyDescent="0.2">
      <c r="A42" s="7"/>
    </row>
    <row r="43" spans="1:14" ht="30" customHeight="1" x14ac:dyDescent="0.25">
      <c r="A43" s="16" t="s">
        <v>42</v>
      </c>
      <c r="B43" s="240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</row>
    <row r="44" spans="1:14" ht="30" customHeight="1" x14ac:dyDescent="0.2">
      <c r="A44" s="7"/>
      <c r="B44" s="232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</row>
    <row r="45" spans="1:14" ht="30" customHeight="1" x14ac:dyDescent="0.2">
      <c r="A45" s="7"/>
      <c r="B45" s="232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</row>
    <row r="46" spans="1:14" ht="30" customHeight="1" x14ac:dyDescent="0.2">
      <c r="A46" s="7"/>
      <c r="B46" s="232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</row>
    <row r="47" spans="1:14" ht="30" customHeight="1" x14ac:dyDescent="0.2">
      <c r="A47" s="7"/>
      <c r="B47" s="232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</row>
    <row r="48" spans="1:14" x14ac:dyDescent="0.2">
      <c r="A48" s="7"/>
    </row>
    <row r="49" spans="1:14" x14ac:dyDescent="0.2">
      <c r="A49" s="7"/>
    </row>
    <row r="50" spans="1:14" ht="30" customHeight="1" x14ac:dyDescent="0.25">
      <c r="A50" s="16" t="s">
        <v>43</v>
      </c>
    </row>
    <row r="51" spans="1:14" ht="30" customHeight="1" x14ac:dyDescent="0.2">
      <c r="A51" s="129" t="s">
        <v>44</v>
      </c>
      <c r="B51" s="224"/>
      <c r="C51" s="225"/>
      <c r="D51" s="225"/>
      <c r="E51" s="225"/>
      <c r="F51" s="225"/>
      <c r="G51" s="225"/>
      <c r="H51" s="225"/>
      <c r="I51" s="225"/>
      <c r="J51" s="225"/>
      <c r="K51" s="2"/>
      <c r="L51" s="2" t="s">
        <v>45</v>
      </c>
      <c r="M51" s="15"/>
      <c r="N51" s="15"/>
    </row>
    <row r="52" spans="1:14" ht="29.25" customHeight="1" x14ac:dyDescent="0.2">
      <c r="A52" s="129" t="s">
        <v>46</v>
      </c>
      <c r="B52" s="224"/>
      <c r="C52" s="225"/>
      <c r="D52" s="225"/>
      <c r="E52" s="225"/>
      <c r="F52" s="225"/>
      <c r="G52" s="225"/>
      <c r="H52" s="225"/>
      <c r="I52" s="225"/>
      <c r="J52" s="225"/>
      <c r="K52" s="2"/>
      <c r="L52" s="2" t="s">
        <v>45</v>
      </c>
      <c r="M52" s="15"/>
      <c r="N52" s="15"/>
    </row>
    <row r="53" spans="1:14" ht="28.5" customHeight="1" x14ac:dyDescent="0.2">
      <c r="A53" s="129" t="s">
        <v>47</v>
      </c>
      <c r="B53" s="224"/>
      <c r="C53" s="225"/>
      <c r="D53" s="225"/>
      <c r="E53" s="225"/>
      <c r="F53" s="225"/>
      <c r="G53" s="225"/>
      <c r="H53" s="225"/>
      <c r="I53" s="225"/>
      <c r="J53" s="225"/>
      <c r="K53" s="2"/>
      <c r="L53" s="2" t="s">
        <v>45</v>
      </c>
      <c r="M53" s="156"/>
      <c r="N53" s="15"/>
    </row>
    <row r="54" spans="1:14" ht="28.5" customHeight="1" x14ac:dyDescent="0.2">
      <c r="A54" s="129" t="s">
        <v>48</v>
      </c>
      <c r="B54" s="224"/>
      <c r="C54" s="225"/>
      <c r="D54" s="225"/>
      <c r="E54" s="225"/>
      <c r="F54" s="225"/>
      <c r="G54" s="225"/>
      <c r="H54" s="225"/>
      <c r="I54" s="225"/>
      <c r="J54" s="225"/>
      <c r="K54" s="2"/>
      <c r="L54" s="2" t="s">
        <v>45</v>
      </c>
      <c r="M54" s="15"/>
      <c r="N54" s="15"/>
    </row>
  </sheetData>
  <mergeCells count="30">
    <mergeCell ref="F18:I18"/>
    <mergeCell ref="F19:G20"/>
    <mergeCell ref="H19:I20"/>
    <mergeCell ref="F21:G22"/>
    <mergeCell ref="H21:I22"/>
    <mergeCell ref="F23:G24"/>
    <mergeCell ref="H23:I24"/>
    <mergeCell ref="F25:G26"/>
    <mergeCell ref="H25:I26"/>
    <mergeCell ref="F27:G28"/>
    <mergeCell ref="B18:E18"/>
    <mergeCell ref="B21:E22"/>
    <mergeCell ref="B23:E24"/>
    <mergeCell ref="A19:A22"/>
    <mergeCell ref="B19:E20"/>
    <mergeCell ref="B54:J54"/>
    <mergeCell ref="B52:J52"/>
    <mergeCell ref="B53:J53"/>
    <mergeCell ref="B25:E26"/>
    <mergeCell ref="B51:J51"/>
    <mergeCell ref="B46:N46"/>
    <mergeCell ref="B29:E30"/>
    <mergeCell ref="B27:E28"/>
    <mergeCell ref="B47:N47"/>
    <mergeCell ref="B43:N43"/>
    <mergeCell ref="B44:N44"/>
    <mergeCell ref="B45:N45"/>
    <mergeCell ref="H27:I28"/>
    <mergeCell ref="F29:G30"/>
    <mergeCell ref="H29:I30"/>
  </mergeCells>
  <phoneticPr fontId="0" type="noConversion"/>
  <pageMargins left="0.62992125984251968" right="0.55118110236220474" top="0.74803149606299213" bottom="0.74803149606299213" header="0.51181102362204722" footer="0.51181102362204722"/>
  <pageSetup paperSize="9" scale="34" orientation="landscape" r:id="rId1"/>
  <headerFooter alignWithMargins="0">
    <oddFooter>&amp;L&amp;F, Stand: &amp;D&amp;R&amp;A - Seite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6">
    <outlinePr summaryBelow="0" summaryRight="0"/>
    <pageSetUpPr fitToPage="1"/>
  </sheetPr>
  <dimension ref="A1:U1329"/>
  <sheetViews>
    <sheetView tabSelected="1" topLeftCell="B1" zoomScale="80" zoomScaleNormal="80" workbookViewId="0">
      <pane ySplit="3" topLeftCell="A69" activePane="bottomLeft" state="frozen"/>
      <selection activeCell="B1" sqref="B1"/>
      <selection pane="bottomLeft" activeCell="F68" sqref="F68"/>
    </sheetView>
  </sheetViews>
  <sheetFormatPr defaultColWidth="11.42578125" defaultRowHeight="12.75" outlineLevelRow="1" x14ac:dyDescent="0.2"/>
  <cols>
    <col min="1" max="1" width="7.5703125" style="1" hidden="1" customWidth="1"/>
    <col min="2" max="2" width="8.5703125" style="85" customWidth="1"/>
    <col min="3" max="3" width="71.140625" style="11" bestFit="1" customWidth="1"/>
    <col min="4" max="4" width="23.5703125" style="75" customWidth="1"/>
    <col min="5" max="6" width="31.42578125" style="75" customWidth="1"/>
    <col min="7" max="7" width="9.42578125" style="75" bestFit="1" customWidth="1"/>
    <col min="8" max="8" width="24" style="85" customWidth="1"/>
    <col min="9" max="9" width="12" style="85" bestFit="1" customWidth="1"/>
    <col min="10" max="10" width="22.85546875" style="112" customWidth="1"/>
    <col min="11" max="11" width="20.5703125" style="113" customWidth="1"/>
    <col min="12" max="15" width="20.5703125" style="1" customWidth="1"/>
    <col min="16" max="16" width="20" style="137" bestFit="1" customWidth="1"/>
    <col min="17" max="17" width="20" customWidth="1"/>
    <col min="18" max="18" width="19" customWidth="1"/>
    <col min="19" max="19" width="23" customWidth="1"/>
    <col min="20" max="20" width="29.5703125" customWidth="1"/>
    <col min="21" max="21" width="23.42578125" customWidth="1"/>
  </cols>
  <sheetData>
    <row r="1" spans="1:21" s="5" customFormat="1" ht="53.25" customHeight="1" thickBot="1" x14ac:dyDescent="0.35">
      <c r="A1" s="12" t="s">
        <v>49</v>
      </c>
      <c r="B1" s="278" t="e">
        <f ca="1">MID(CELL("DATEINAME"),FIND("[",CELL("DATEINAME"))+1,FIND("]",CELL("DATEINAME"))-FIND("[",CELL("DATEINAME"))-6)</f>
        <v>#VALUE!</v>
      </c>
      <c r="C1" s="278"/>
      <c r="D1" s="278"/>
      <c r="E1" s="278"/>
      <c r="F1" s="278"/>
      <c r="G1" s="278"/>
      <c r="H1" s="278"/>
      <c r="I1" s="99"/>
      <c r="J1" s="86"/>
      <c r="K1" s="90"/>
      <c r="L1" s="78"/>
      <c r="M1" s="167"/>
      <c r="N1" s="167"/>
      <c r="O1" s="167"/>
      <c r="P1" s="137"/>
      <c r="Q1" s="36"/>
      <c r="R1" s="37"/>
      <c r="S1" s="37"/>
      <c r="T1" s="37"/>
      <c r="U1" s="14"/>
    </row>
    <row r="2" spans="1:21" s="5" customFormat="1" ht="53.25" customHeight="1" thickBot="1" x14ac:dyDescent="0.35">
      <c r="A2" s="59"/>
      <c r="B2" s="279" t="s">
        <v>51</v>
      </c>
      <c r="C2" s="256" t="s">
        <v>52</v>
      </c>
      <c r="D2" s="306" t="s">
        <v>53</v>
      </c>
      <c r="E2" s="307"/>
      <c r="F2" s="256"/>
      <c r="G2" s="284" t="s">
        <v>54</v>
      </c>
      <c r="H2" s="285"/>
      <c r="I2" s="286"/>
      <c r="J2" s="269" t="s">
        <v>55</v>
      </c>
      <c r="K2" s="269" t="s">
        <v>56</v>
      </c>
      <c r="L2" s="262" t="s">
        <v>57</v>
      </c>
      <c r="M2" s="262" t="s">
        <v>58</v>
      </c>
      <c r="N2" s="262" t="s">
        <v>59</v>
      </c>
      <c r="O2" s="303" t="s">
        <v>60</v>
      </c>
      <c r="P2" s="258"/>
      <c r="Q2" s="36"/>
      <c r="R2" s="37"/>
      <c r="S2" s="37"/>
      <c r="T2" s="37"/>
      <c r="U2" s="14"/>
    </row>
    <row r="3" spans="1:21" ht="16.5" thickBot="1" x14ac:dyDescent="0.25">
      <c r="A3" s="39" t="s">
        <v>61</v>
      </c>
      <c r="B3" s="280"/>
      <c r="C3" s="257"/>
      <c r="D3" s="308"/>
      <c r="E3" s="309"/>
      <c r="F3" s="257"/>
      <c r="G3" s="193" t="s">
        <v>62</v>
      </c>
      <c r="H3" s="189" t="s">
        <v>63</v>
      </c>
      <c r="I3" s="189" t="s">
        <v>64</v>
      </c>
      <c r="J3" s="270"/>
      <c r="K3" s="270"/>
      <c r="L3" s="266"/>
      <c r="M3" s="263"/>
      <c r="N3" s="263"/>
      <c r="O3" s="304"/>
      <c r="P3" s="259"/>
      <c r="S3" s="34"/>
    </row>
    <row r="4" spans="1:21" ht="34.5" customHeight="1" x14ac:dyDescent="0.2">
      <c r="B4" s="48">
        <v>1</v>
      </c>
      <c r="C4" s="96" t="s">
        <v>65</v>
      </c>
      <c r="D4" s="273"/>
      <c r="E4" s="274"/>
      <c r="F4" s="220"/>
      <c r="G4" s="114"/>
      <c r="H4" s="124"/>
      <c r="I4" s="124"/>
      <c r="J4" s="187"/>
      <c r="K4" s="187"/>
      <c r="L4" s="187"/>
      <c r="M4" s="70"/>
      <c r="N4" s="70"/>
      <c r="O4" s="70"/>
      <c r="P4" s="137" t="str">
        <f t="shared" ref="P4:P56" si="0">IF(H4="","-",IF(K4="","",K4))</f>
        <v>-</v>
      </c>
    </row>
    <row r="5" spans="1:21" ht="34.5" customHeight="1" outlineLevel="1" x14ac:dyDescent="0.2">
      <c r="B5" s="158" t="s">
        <v>6</v>
      </c>
      <c r="C5" s="65" t="s">
        <v>66</v>
      </c>
      <c r="D5" s="282"/>
      <c r="E5" s="283"/>
      <c r="F5" s="195"/>
      <c r="G5" s="195"/>
      <c r="H5" s="194"/>
      <c r="I5" s="194"/>
      <c r="J5" s="194"/>
      <c r="K5" s="187"/>
      <c r="L5" s="187"/>
      <c r="M5" s="70"/>
      <c r="N5" s="70"/>
      <c r="O5" s="70"/>
      <c r="P5" s="137" t="str">
        <f t="shared" si="0"/>
        <v>-</v>
      </c>
      <c r="Q5" s="172"/>
    </row>
    <row r="6" spans="1:21" ht="34.5" customHeight="1" outlineLevel="1" x14ac:dyDescent="0.2">
      <c r="B6" s="157" t="s">
        <v>67</v>
      </c>
      <c r="C6" s="93" t="s">
        <v>68</v>
      </c>
      <c r="D6" s="271"/>
      <c r="E6" s="272"/>
      <c r="F6" s="222"/>
      <c r="G6" s="66"/>
      <c r="H6" s="66"/>
      <c r="I6" s="66"/>
      <c r="J6" s="66"/>
      <c r="K6" s="163"/>
      <c r="L6" s="95"/>
      <c r="M6" s="164"/>
      <c r="N6" s="164"/>
      <c r="O6" s="164"/>
      <c r="P6" s="137" t="str">
        <f t="shared" si="0"/>
        <v>-</v>
      </c>
      <c r="Q6" s="172"/>
    </row>
    <row r="7" spans="1:21" ht="54" customHeight="1" outlineLevel="1" x14ac:dyDescent="0.2">
      <c r="B7" s="157" t="s">
        <v>69</v>
      </c>
      <c r="C7" s="93" t="s">
        <v>70</v>
      </c>
      <c r="D7" s="271" t="s">
        <v>71</v>
      </c>
      <c r="E7" s="272"/>
      <c r="F7" s="222"/>
      <c r="G7" s="66"/>
      <c r="H7" s="185" t="s">
        <v>72</v>
      </c>
      <c r="I7" s="66"/>
      <c r="J7" s="185"/>
      <c r="K7" s="91" t="str">
        <f>IF(OR(J7=H7,J7="i.O.",J7="io"),"ok","failed")</f>
        <v>failed</v>
      </c>
      <c r="L7" s="95" t="s">
        <v>73</v>
      </c>
      <c r="M7" s="164" t="s">
        <v>74</v>
      </c>
      <c r="N7" s="164"/>
      <c r="O7" s="164" t="s">
        <v>75</v>
      </c>
      <c r="P7" s="137" t="str">
        <f t="shared" si="0"/>
        <v>failed</v>
      </c>
      <c r="Q7" s="172"/>
    </row>
    <row r="8" spans="1:21" ht="34.5" customHeight="1" outlineLevel="1" x14ac:dyDescent="0.2">
      <c r="B8" s="157" t="s">
        <v>76</v>
      </c>
      <c r="C8" s="93" t="s">
        <v>77</v>
      </c>
      <c r="D8" s="271"/>
      <c r="E8" s="272"/>
      <c r="F8" s="190"/>
      <c r="G8" s="115"/>
      <c r="H8" s="165"/>
      <c r="I8" s="115"/>
      <c r="J8" s="163"/>
      <c r="K8" s="163"/>
      <c r="L8" s="163"/>
      <c r="M8" s="163"/>
      <c r="N8" s="163"/>
      <c r="O8" s="207" t="s">
        <v>78</v>
      </c>
      <c r="P8" s="137" t="str">
        <f t="shared" si="0"/>
        <v>-</v>
      </c>
    </row>
    <row r="9" spans="1:21" ht="54" customHeight="1" outlineLevel="1" x14ac:dyDescent="0.2">
      <c r="B9" s="157" t="s">
        <v>79</v>
      </c>
      <c r="C9" s="93" t="s">
        <v>80</v>
      </c>
      <c r="D9" s="271"/>
      <c r="E9" s="272"/>
      <c r="F9" s="222"/>
      <c r="G9" s="66"/>
      <c r="H9" s="185" t="s">
        <v>72</v>
      </c>
      <c r="I9" s="66"/>
      <c r="J9" s="185"/>
      <c r="K9" s="91" t="str">
        <f>IF(OR(J9=H9,J9="i.O.",J9="io"),"ok","failed")</f>
        <v>failed</v>
      </c>
      <c r="L9" s="95" t="s">
        <v>73</v>
      </c>
      <c r="M9" s="164"/>
      <c r="N9" s="164"/>
      <c r="O9" s="164" t="s">
        <v>75</v>
      </c>
      <c r="P9" s="137" t="str">
        <f t="shared" ref="P9:P11" si="1">IF(H9="","-",IF(K9="","",K9))</f>
        <v>failed</v>
      </c>
      <c r="Q9" s="172"/>
    </row>
    <row r="10" spans="1:21" ht="54" customHeight="1" outlineLevel="1" x14ac:dyDescent="0.2">
      <c r="B10" s="157" t="s">
        <v>81</v>
      </c>
      <c r="C10" s="93" t="s">
        <v>82</v>
      </c>
      <c r="D10" s="271"/>
      <c r="E10" s="272"/>
      <c r="F10" s="222"/>
      <c r="G10" s="66"/>
      <c r="H10" s="185" t="s">
        <v>72</v>
      </c>
      <c r="I10" s="66"/>
      <c r="J10" s="185"/>
      <c r="K10" s="91" t="str">
        <f>IF(OR(J10=H10,J10="i.O.",J10="io"),"ok","failed")</f>
        <v>failed</v>
      </c>
      <c r="L10" s="95" t="s">
        <v>73</v>
      </c>
      <c r="M10" s="164"/>
      <c r="N10" s="164"/>
      <c r="O10" s="164" t="s">
        <v>75</v>
      </c>
      <c r="P10" s="137" t="str">
        <f t="shared" si="1"/>
        <v>failed</v>
      </c>
      <c r="Q10" s="172"/>
    </row>
    <row r="11" spans="1:21" ht="54" customHeight="1" outlineLevel="1" x14ac:dyDescent="0.2">
      <c r="B11" s="157" t="s">
        <v>83</v>
      </c>
      <c r="C11" s="93" t="s">
        <v>84</v>
      </c>
      <c r="D11" s="271"/>
      <c r="E11" s="272"/>
      <c r="F11" s="222"/>
      <c r="G11" s="66"/>
      <c r="H11" s="185" t="s">
        <v>72</v>
      </c>
      <c r="I11" s="66"/>
      <c r="J11" s="185"/>
      <c r="K11" s="91" t="str">
        <f>IF(OR(J11=H11,J11="i.O.",J11="io"),"ok","failed")</f>
        <v>failed</v>
      </c>
      <c r="L11" s="95" t="s">
        <v>73</v>
      </c>
      <c r="M11" s="164"/>
      <c r="N11" s="164"/>
      <c r="O11" s="164" t="s">
        <v>75</v>
      </c>
      <c r="P11" s="137" t="str">
        <f t="shared" si="1"/>
        <v>failed</v>
      </c>
      <c r="Q11" s="172"/>
    </row>
    <row r="12" spans="1:21" ht="34.5" customHeight="1" outlineLevel="1" x14ac:dyDescent="0.2">
      <c r="B12" s="157" t="s">
        <v>85</v>
      </c>
      <c r="C12" s="93" t="s">
        <v>86</v>
      </c>
      <c r="D12" s="271" t="s">
        <v>87</v>
      </c>
      <c r="E12" s="272"/>
      <c r="F12" s="190"/>
      <c r="G12" s="190" t="s">
        <v>88</v>
      </c>
      <c r="H12" s="165"/>
      <c r="I12" s="66"/>
      <c r="J12" s="66"/>
      <c r="K12" s="66"/>
      <c r="L12" s="95"/>
      <c r="M12" s="164"/>
      <c r="N12" s="164"/>
      <c r="O12" s="164"/>
      <c r="P12" s="137" t="str">
        <f t="shared" si="0"/>
        <v>-</v>
      </c>
    </row>
    <row r="13" spans="1:21" ht="34.5" customHeight="1" outlineLevel="1" x14ac:dyDescent="0.2">
      <c r="B13" s="157" t="s">
        <v>91</v>
      </c>
      <c r="C13" s="93" t="s">
        <v>92</v>
      </c>
      <c r="D13" s="271" t="s">
        <v>93</v>
      </c>
      <c r="E13" s="272"/>
      <c r="F13" s="190"/>
      <c r="G13" s="115"/>
      <c r="H13" s="165"/>
      <c r="I13" s="115"/>
      <c r="J13" s="163"/>
      <c r="K13" s="163"/>
      <c r="L13" s="163"/>
      <c r="M13" s="163"/>
      <c r="N13" s="163"/>
      <c r="O13" s="207" t="s">
        <v>78</v>
      </c>
    </row>
    <row r="14" spans="1:21" s="139" customFormat="1" ht="30" customHeight="1" outlineLevel="1" x14ac:dyDescent="0.2">
      <c r="A14" s="184"/>
      <c r="B14" s="158" t="s">
        <v>50</v>
      </c>
      <c r="C14" s="65" t="s">
        <v>94</v>
      </c>
      <c r="D14" s="282"/>
      <c r="E14" s="283"/>
      <c r="F14" s="195"/>
      <c r="G14" s="195"/>
      <c r="H14" s="194"/>
      <c r="I14" s="194"/>
      <c r="J14" s="194"/>
      <c r="K14" s="187"/>
      <c r="L14" s="187"/>
      <c r="M14" s="70"/>
      <c r="N14" s="70"/>
      <c r="O14" s="70"/>
      <c r="P14" s="137" t="str">
        <f t="shared" si="0"/>
        <v>-</v>
      </c>
      <c r="Q14" s="172"/>
      <c r="R14" s="173"/>
    </row>
    <row r="15" spans="1:21" s="139" customFormat="1" ht="108.6" customHeight="1" outlineLevel="1" x14ac:dyDescent="0.2">
      <c r="A15" s="184"/>
      <c r="B15" s="157" t="s">
        <v>95</v>
      </c>
      <c r="C15" s="93" t="s">
        <v>96</v>
      </c>
      <c r="D15" s="271" t="s">
        <v>97</v>
      </c>
      <c r="E15" s="272"/>
      <c r="F15" s="222"/>
      <c r="G15" s="66"/>
      <c r="H15" s="66"/>
      <c r="I15" s="66"/>
      <c r="J15" s="66"/>
      <c r="K15" s="66"/>
      <c r="L15" s="164"/>
      <c r="M15" s="164"/>
      <c r="N15" s="164"/>
      <c r="O15" s="164" t="s">
        <v>90</v>
      </c>
      <c r="P15" s="137" t="str">
        <f t="shared" si="0"/>
        <v>-</v>
      </c>
      <c r="Q15" s="174"/>
      <c r="R15" s="173"/>
    </row>
    <row r="16" spans="1:21" s="139" customFormat="1" ht="30" customHeight="1" x14ac:dyDescent="0.2">
      <c r="A16" s="184"/>
      <c r="B16" s="96">
        <v>2</v>
      </c>
      <c r="C16" s="96" t="s">
        <v>98</v>
      </c>
      <c r="D16" s="273"/>
      <c r="E16" s="281"/>
      <c r="F16" s="221"/>
      <c r="G16" s="125"/>
      <c r="H16" s="124"/>
      <c r="I16" s="124"/>
      <c r="J16" s="187"/>
      <c r="K16" s="187"/>
      <c r="L16" s="187"/>
      <c r="M16" s="70"/>
      <c r="N16" s="70"/>
      <c r="O16" s="70"/>
      <c r="P16" s="137" t="str">
        <f t="shared" si="0"/>
        <v>-</v>
      </c>
      <c r="Q16" s="175"/>
      <c r="R16" s="173"/>
    </row>
    <row r="17" spans="1:18" s="139" customFormat="1" ht="30" customHeight="1" outlineLevel="1" x14ac:dyDescent="0.2">
      <c r="A17" s="184"/>
      <c r="B17" s="158" t="s">
        <v>99</v>
      </c>
      <c r="C17" s="65" t="s">
        <v>100</v>
      </c>
      <c r="D17" s="282"/>
      <c r="E17" s="283"/>
      <c r="F17" s="195"/>
      <c r="G17" s="188"/>
      <c r="H17" s="187"/>
      <c r="I17" s="187"/>
      <c r="J17" s="187"/>
      <c r="K17" s="187"/>
      <c r="L17" s="187"/>
      <c r="M17" s="70"/>
      <c r="N17" s="70"/>
      <c r="O17" s="70"/>
      <c r="P17" s="137" t="str">
        <f t="shared" si="0"/>
        <v>-</v>
      </c>
    </row>
    <row r="18" spans="1:18" s="139" customFormat="1" ht="30" customHeight="1" outlineLevel="1" x14ac:dyDescent="0.2">
      <c r="A18" s="184"/>
      <c r="B18" s="157" t="s">
        <v>101</v>
      </c>
      <c r="C18" s="93" t="s">
        <v>102</v>
      </c>
      <c r="D18" s="271" t="s">
        <v>103</v>
      </c>
      <c r="E18" s="272"/>
      <c r="F18" s="222"/>
      <c r="G18" s="66"/>
      <c r="H18" s="185">
        <v>1</v>
      </c>
      <c r="I18" s="66"/>
      <c r="J18" s="185"/>
      <c r="K18" s="91" t="str">
        <f>IF(ISBLANK(J18),"failed",IF(OR(J18=H18,J18="i. O.",J18="i.O.",J18="io"),"ok","failed"))</f>
        <v>failed</v>
      </c>
      <c r="L18" s="95" t="s">
        <v>73</v>
      </c>
      <c r="M18" s="164" t="s">
        <v>104</v>
      </c>
      <c r="N18" s="164"/>
      <c r="O18" s="164" t="s">
        <v>90</v>
      </c>
      <c r="P18" s="137" t="str">
        <f t="shared" si="0"/>
        <v>failed</v>
      </c>
      <c r="Q18" s="175"/>
      <c r="R18" s="173"/>
    </row>
    <row r="19" spans="1:18" s="139" customFormat="1" ht="30" customHeight="1" outlineLevel="1" x14ac:dyDescent="0.2">
      <c r="A19" s="184"/>
      <c r="B19" s="157" t="s">
        <v>105</v>
      </c>
      <c r="C19" s="93" t="s">
        <v>106</v>
      </c>
      <c r="D19" s="271" t="s">
        <v>107</v>
      </c>
      <c r="E19" s="272"/>
      <c r="F19" s="222"/>
      <c r="G19" s="66"/>
      <c r="H19" s="185" t="s">
        <v>108</v>
      </c>
      <c r="I19" s="66"/>
      <c r="J19" s="185"/>
      <c r="K19" s="91" t="str">
        <f t="shared" ref="K19:K20" si="2">IF(OR(J19=H19,J19="i. O.",J19="i.O.",J19="io"),"ok","failed")</f>
        <v>failed</v>
      </c>
      <c r="L19" s="95" t="s">
        <v>73</v>
      </c>
      <c r="M19" s="164" t="s">
        <v>109</v>
      </c>
      <c r="N19" s="164"/>
      <c r="O19" s="164" t="s">
        <v>90</v>
      </c>
      <c r="P19" s="137" t="str">
        <f t="shared" si="0"/>
        <v>failed</v>
      </c>
      <c r="Q19" s="175"/>
      <c r="R19" s="173"/>
    </row>
    <row r="20" spans="1:18" s="139" customFormat="1" ht="30" customHeight="1" outlineLevel="1" x14ac:dyDescent="0.2">
      <c r="A20" s="184"/>
      <c r="B20" s="157" t="s">
        <v>110</v>
      </c>
      <c r="C20" s="93" t="s">
        <v>111</v>
      </c>
      <c r="D20" s="271" t="s">
        <v>112</v>
      </c>
      <c r="E20" s="272"/>
      <c r="F20" s="222"/>
      <c r="G20" s="66"/>
      <c r="H20" s="185" t="s">
        <v>108</v>
      </c>
      <c r="I20" s="66"/>
      <c r="J20" s="185"/>
      <c r="K20" s="91" t="str">
        <f t="shared" si="2"/>
        <v>failed</v>
      </c>
      <c r="L20" s="95" t="s">
        <v>73</v>
      </c>
      <c r="M20" s="164" t="s">
        <v>109</v>
      </c>
      <c r="N20" s="164"/>
      <c r="O20" s="164" t="s">
        <v>90</v>
      </c>
      <c r="P20" s="137" t="str">
        <f t="shared" si="0"/>
        <v>failed</v>
      </c>
      <c r="Q20" s="175"/>
      <c r="R20" s="173"/>
    </row>
    <row r="21" spans="1:18" s="139" customFormat="1" ht="30" customHeight="1" outlineLevel="1" x14ac:dyDescent="0.2">
      <c r="A21" s="184"/>
      <c r="B21" s="157" t="s">
        <v>113</v>
      </c>
      <c r="C21" s="93" t="s">
        <v>114</v>
      </c>
      <c r="D21" s="271"/>
      <c r="E21" s="272"/>
      <c r="F21" s="222"/>
      <c r="G21" s="66"/>
      <c r="H21" s="185">
        <v>0</v>
      </c>
      <c r="I21" s="66"/>
      <c r="J21" s="185"/>
      <c r="K21" s="91" t="str">
        <f>IF(ISBLANK(J21),"failed",IF(OR(J21=H21,J21="i. O.",J21="i.O.",J21="io"),"ok","failed"))</f>
        <v>failed</v>
      </c>
      <c r="L21" s="95" t="s">
        <v>73</v>
      </c>
      <c r="M21" s="164" t="s">
        <v>115</v>
      </c>
      <c r="N21" s="164"/>
      <c r="O21" s="164" t="s">
        <v>90</v>
      </c>
      <c r="P21" s="137" t="str">
        <f t="shared" si="0"/>
        <v>failed</v>
      </c>
      <c r="Q21" s="175"/>
      <c r="R21" s="173"/>
    </row>
    <row r="22" spans="1:18" s="139" customFormat="1" ht="45" customHeight="1" outlineLevel="1" x14ac:dyDescent="0.2">
      <c r="A22" s="184"/>
      <c r="B22" s="157" t="s">
        <v>305</v>
      </c>
      <c r="C22" s="94" t="s">
        <v>294</v>
      </c>
      <c r="D22" s="260" t="s">
        <v>295</v>
      </c>
      <c r="E22" s="261"/>
      <c r="F22" s="186"/>
      <c r="G22" s="117"/>
      <c r="H22" s="185" t="s">
        <v>296</v>
      </c>
      <c r="I22" s="45"/>
      <c r="J22" s="185"/>
      <c r="K22" s="91" t="s">
        <v>35</v>
      </c>
      <c r="L22" s="95" t="s">
        <v>73</v>
      </c>
      <c r="M22" s="164" t="s">
        <v>297</v>
      </c>
      <c r="N22" s="164"/>
      <c r="O22" s="164"/>
      <c r="P22" s="137"/>
    </row>
    <row r="23" spans="1:18" s="139" customFormat="1" ht="30" customHeight="1" outlineLevel="1" x14ac:dyDescent="0.2">
      <c r="A23" s="184"/>
      <c r="B23" s="158" t="s">
        <v>116</v>
      </c>
      <c r="C23" s="65" t="s">
        <v>117</v>
      </c>
      <c r="D23" s="282"/>
      <c r="E23" s="283"/>
      <c r="F23" s="195"/>
      <c r="G23" s="188"/>
      <c r="H23" s="70"/>
      <c r="I23" s="192"/>
      <c r="J23" s="187"/>
      <c r="K23" s="187"/>
      <c r="L23" s="187"/>
      <c r="M23" s="70"/>
      <c r="N23" s="70"/>
      <c r="O23" s="70"/>
      <c r="P23" s="137" t="str">
        <f t="shared" si="0"/>
        <v>-</v>
      </c>
    </row>
    <row r="24" spans="1:18" s="139" customFormat="1" ht="30" customHeight="1" outlineLevel="1" x14ac:dyDescent="0.2">
      <c r="A24" s="184"/>
      <c r="B24" s="157" t="s">
        <v>118</v>
      </c>
      <c r="C24" s="93" t="s">
        <v>119</v>
      </c>
      <c r="D24" s="260" t="s">
        <v>120</v>
      </c>
      <c r="E24" s="261"/>
      <c r="F24" s="186"/>
      <c r="G24" s="190" t="s">
        <v>121</v>
      </c>
      <c r="H24" s="45">
        <v>50</v>
      </c>
      <c r="I24" s="126" t="s">
        <v>122</v>
      </c>
      <c r="J24" s="185"/>
      <c r="K24" s="91" t="str">
        <f>IF(ISBLANK(J24),"failed",IF(J24&lt;=30,"ok","failed"))</f>
        <v>failed</v>
      </c>
      <c r="L24" s="95" t="s">
        <v>73</v>
      </c>
      <c r="M24" s="164" t="s">
        <v>123</v>
      </c>
      <c r="N24" s="164"/>
      <c r="O24" s="164" t="s">
        <v>124</v>
      </c>
      <c r="P24" s="137" t="str">
        <f t="shared" si="0"/>
        <v>failed</v>
      </c>
    </row>
    <row r="25" spans="1:18" s="139" customFormat="1" ht="30" customHeight="1" x14ac:dyDescent="0.2">
      <c r="A25" s="184"/>
      <c r="B25" s="96">
        <v>3</v>
      </c>
      <c r="C25" s="96" t="s">
        <v>125</v>
      </c>
      <c r="D25" s="273"/>
      <c r="E25" s="281"/>
      <c r="F25" s="221"/>
      <c r="G25" s="125"/>
      <c r="H25" s="124"/>
      <c r="I25" s="124"/>
      <c r="J25" s="187"/>
      <c r="K25" s="187"/>
      <c r="L25" s="187"/>
      <c r="M25" s="70"/>
      <c r="N25" s="70"/>
      <c r="O25" s="70"/>
      <c r="P25" s="137" t="str">
        <f t="shared" si="0"/>
        <v>-</v>
      </c>
    </row>
    <row r="26" spans="1:18" s="139" customFormat="1" ht="101.45" customHeight="1" outlineLevel="1" x14ac:dyDescent="0.2">
      <c r="A26" s="184"/>
      <c r="B26" s="157" t="s">
        <v>126</v>
      </c>
      <c r="C26" s="94" t="s">
        <v>127</v>
      </c>
      <c r="D26" s="260" t="s">
        <v>128</v>
      </c>
      <c r="E26" s="261"/>
      <c r="F26" s="126"/>
      <c r="G26" s="66"/>
      <c r="H26" s="66"/>
      <c r="I26" s="66"/>
      <c r="J26" s="66"/>
      <c r="K26" s="66"/>
      <c r="L26" s="164"/>
      <c r="M26" s="164"/>
      <c r="N26" s="164"/>
      <c r="O26" s="164" t="s">
        <v>75</v>
      </c>
      <c r="P26" s="137" t="str">
        <f t="shared" si="0"/>
        <v>-</v>
      </c>
    </row>
    <row r="27" spans="1:18" s="139" customFormat="1" ht="30" customHeight="1" x14ac:dyDescent="0.2">
      <c r="A27" s="184"/>
      <c r="B27" s="96">
        <v>4</v>
      </c>
      <c r="C27" s="96" t="s">
        <v>129</v>
      </c>
      <c r="D27" s="273"/>
      <c r="E27" s="281"/>
      <c r="F27" s="221"/>
      <c r="G27" s="125"/>
      <c r="H27" s="124"/>
      <c r="I27" s="124"/>
      <c r="J27" s="187"/>
      <c r="K27" s="187"/>
      <c r="L27" s="187"/>
      <c r="M27" s="70"/>
      <c r="N27" s="70"/>
      <c r="O27" s="70"/>
      <c r="P27" s="137" t="str">
        <f t="shared" si="0"/>
        <v>-</v>
      </c>
    </row>
    <row r="28" spans="1:18" s="139" customFormat="1" ht="30" customHeight="1" outlineLevel="1" x14ac:dyDescent="0.2">
      <c r="A28" s="184"/>
      <c r="B28" s="158" t="s">
        <v>130</v>
      </c>
      <c r="C28" s="65" t="s">
        <v>131</v>
      </c>
      <c r="D28" s="282"/>
      <c r="E28" s="283"/>
      <c r="F28" s="195"/>
      <c r="G28" s="195"/>
      <c r="H28" s="194"/>
      <c r="I28" s="194"/>
      <c r="J28" s="194"/>
      <c r="K28" s="187"/>
      <c r="L28" s="187"/>
      <c r="M28" s="70"/>
      <c r="N28" s="70"/>
      <c r="O28" s="70"/>
      <c r="P28" s="137" t="str">
        <f t="shared" si="0"/>
        <v>-</v>
      </c>
      <c r="Q28" s="175"/>
      <c r="R28" s="173"/>
    </row>
    <row r="29" spans="1:18" s="139" customFormat="1" ht="45" customHeight="1" outlineLevel="1" x14ac:dyDescent="0.2">
      <c r="A29" s="184"/>
      <c r="B29" s="157" t="s">
        <v>132</v>
      </c>
      <c r="C29" s="94" t="s">
        <v>133</v>
      </c>
      <c r="D29" s="260" t="s">
        <v>134</v>
      </c>
      <c r="E29" s="261"/>
      <c r="F29" s="186"/>
      <c r="G29" s="117" t="s">
        <v>135</v>
      </c>
      <c r="H29" s="185">
        <v>15</v>
      </c>
      <c r="I29" s="45" t="s">
        <v>122</v>
      </c>
      <c r="J29" s="185"/>
      <c r="K29" s="91" t="str">
        <f>IF(OR(J29=H29,J29="i. O.",J29="i.O.",J29="io"),"ok","failed")</f>
        <v>failed</v>
      </c>
      <c r="L29" s="95" t="s">
        <v>73</v>
      </c>
      <c r="M29" s="164" t="s">
        <v>136</v>
      </c>
      <c r="N29" s="164"/>
      <c r="O29" s="164" t="s">
        <v>90</v>
      </c>
      <c r="P29" s="137" t="str">
        <f t="shared" si="0"/>
        <v>failed</v>
      </c>
    </row>
    <row r="30" spans="1:18" s="139" customFormat="1" ht="36" customHeight="1" outlineLevel="1" x14ac:dyDescent="0.2">
      <c r="A30" s="184"/>
      <c r="B30" s="157" t="s">
        <v>137</v>
      </c>
      <c r="C30" s="93" t="s">
        <v>138</v>
      </c>
      <c r="D30" s="260"/>
      <c r="E30" s="261"/>
      <c r="F30" s="186"/>
      <c r="G30" s="117" t="s">
        <v>139</v>
      </c>
      <c r="H30" s="66"/>
      <c r="I30" s="66"/>
      <c r="J30" s="66"/>
      <c r="K30" s="66"/>
      <c r="L30" s="164"/>
      <c r="M30" s="164"/>
      <c r="N30" s="164"/>
      <c r="O30" s="164" t="s">
        <v>75</v>
      </c>
      <c r="P30" s="137" t="str">
        <f t="shared" si="0"/>
        <v>-</v>
      </c>
    </row>
    <row r="31" spans="1:18" s="139" customFormat="1" ht="45" customHeight="1" outlineLevel="1" x14ac:dyDescent="0.2">
      <c r="A31" s="184"/>
      <c r="B31" s="157" t="s">
        <v>141</v>
      </c>
      <c r="C31" s="93" t="s">
        <v>142</v>
      </c>
      <c r="D31" s="260" t="s">
        <v>143</v>
      </c>
      <c r="E31" s="261"/>
      <c r="F31" s="186"/>
      <c r="G31" s="117" t="s">
        <v>139</v>
      </c>
      <c r="H31" s="159" t="s">
        <v>144</v>
      </c>
      <c r="I31" s="45" t="s">
        <v>304</v>
      </c>
      <c r="J31" s="128"/>
      <c r="K31" s="91" t="str">
        <f t="shared" ref="K31:K33" si="3">IF(OR(J31=H31,J31="i. O.",J31="i.O.",J31="io"),"ok","failed")</f>
        <v>failed</v>
      </c>
      <c r="L31" s="95" t="s">
        <v>73</v>
      </c>
      <c r="M31" s="164" t="s">
        <v>140</v>
      </c>
      <c r="N31" s="164"/>
      <c r="O31" s="164" t="s">
        <v>90</v>
      </c>
      <c r="P31" s="137" t="str">
        <f t="shared" si="0"/>
        <v>failed</v>
      </c>
    </row>
    <row r="32" spans="1:18" s="139" customFormat="1" ht="30" customHeight="1" outlineLevel="1" x14ac:dyDescent="0.2">
      <c r="A32" s="184"/>
      <c r="B32" s="158" t="s">
        <v>146</v>
      </c>
      <c r="C32" s="65" t="s">
        <v>147</v>
      </c>
      <c r="D32" s="282"/>
      <c r="E32" s="283"/>
      <c r="F32" s="195"/>
      <c r="G32" s="195"/>
      <c r="H32" s="194"/>
      <c r="I32" s="194"/>
      <c r="J32" s="194"/>
      <c r="K32" s="187"/>
      <c r="L32" s="187"/>
      <c r="M32" s="70"/>
      <c r="N32" s="70"/>
      <c r="O32" s="70"/>
      <c r="P32" s="137" t="str">
        <f t="shared" si="0"/>
        <v>-</v>
      </c>
      <c r="Q32" s="175"/>
      <c r="R32" s="173"/>
    </row>
    <row r="33" spans="1:16" s="139" customFormat="1" ht="79.5" customHeight="1" outlineLevel="1" x14ac:dyDescent="0.2">
      <c r="A33" s="184"/>
      <c r="B33" s="157" t="s">
        <v>148</v>
      </c>
      <c r="C33" s="94" t="s">
        <v>149</v>
      </c>
      <c r="D33" s="260" t="s">
        <v>150</v>
      </c>
      <c r="E33" s="261"/>
      <c r="F33" s="186"/>
      <c r="G33" s="117" t="s">
        <v>135</v>
      </c>
      <c r="H33" s="159" t="s">
        <v>151</v>
      </c>
      <c r="I33" s="45" t="s">
        <v>152</v>
      </c>
      <c r="J33" s="128"/>
      <c r="K33" s="91" t="str">
        <f t="shared" si="3"/>
        <v>failed</v>
      </c>
      <c r="L33" s="95" t="s">
        <v>73</v>
      </c>
      <c r="M33" s="164" t="s">
        <v>153</v>
      </c>
      <c r="N33" s="164"/>
      <c r="O33" s="164" t="s">
        <v>90</v>
      </c>
      <c r="P33" s="137" t="str">
        <f t="shared" si="0"/>
        <v>failed</v>
      </c>
    </row>
    <row r="34" spans="1:16" ht="60.75" customHeight="1" outlineLevel="1" x14ac:dyDescent="0.2">
      <c r="B34" s="157" t="s">
        <v>154</v>
      </c>
      <c r="C34" s="93" t="s">
        <v>155</v>
      </c>
      <c r="D34" s="260" t="s">
        <v>156</v>
      </c>
      <c r="E34" s="261"/>
      <c r="F34" s="186"/>
      <c r="G34" s="117" t="s">
        <v>88</v>
      </c>
      <c r="H34" s="159" t="s">
        <v>157</v>
      </c>
      <c r="I34" s="45" t="s">
        <v>301</v>
      </c>
      <c r="J34" s="128"/>
      <c r="K34" s="91" t="str">
        <f t="shared" ref="K34" si="4">IF(OR(J34=H34,J34="i. O.",J34="i.O.",J34="io"),"ok","failed")</f>
        <v>failed</v>
      </c>
      <c r="L34" s="95" t="s">
        <v>73</v>
      </c>
      <c r="M34" s="164" t="s">
        <v>158</v>
      </c>
      <c r="N34" s="164"/>
      <c r="O34" s="164" t="s">
        <v>90</v>
      </c>
      <c r="P34" s="137" t="str">
        <f t="shared" si="0"/>
        <v>failed</v>
      </c>
    </row>
    <row r="35" spans="1:16" s="139" customFormat="1" ht="35.25" customHeight="1" outlineLevel="1" x14ac:dyDescent="0.2">
      <c r="A35" s="184"/>
      <c r="B35" s="157" t="s">
        <v>159</v>
      </c>
      <c r="C35" s="93" t="s">
        <v>160</v>
      </c>
      <c r="D35" s="260" t="s">
        <v>161</v>
      </c>
      <c r="E35" s="261"/>
      <c r="F35" s="186"/>
      <c r="G35" s="117" t="s">
        <v>88</v>
      </c>
      <c r="H35" s="159" t="s">
        <v>157</v>
      </c>
      <c r="I35" s="45" t="s">
        <v>301</v>
      </c>
      <c r="J35" s="128"/>
      <c r="K35" s="91" t="str">
        <f t="shared" ref="K35:K36" si="5">IF(OR(J35=H35,J35="i. O.",J35="i.O.",J35="io"),"ok","failed")</f>
        <v>failed</v>
      </c>
      <c r="L35" s="95" t="s">
        <v>73</v>
      </c>
      <c r="M35" s="164" t="s">
        <v>162</v>
      </c>
      <c r="N35" s="164"/>
      <c r="O35" s="164" t="s">
        <v>90</v>
      </c>
      <c r="P35" s="137" t="str">
        <f t="shared" si="0"/>
        <v>failed</v>
      </c>
    </row>
    <row r="36" spans="1:16" s="139" customFormat="1" ht="35.25" customHeight="1" outlineLevel="1" x14ac:dyDescent="0.2">
      <c r="A36" s="184"/>
      <c r="B36" s="157" t="s">
        <v>163</v>
      </c>
      <c r="C36" s="93" t="s">
        <v>164</v>
      </c>
      <c r="D36" s="260" t="s">
        <v>165</v>
      </c>
      <c r="E36" s="261"/>
      <c r="F36" s="186"/>
      <c r="G36" s="117" t="s">
        <v>88</v>
      </c>
      <c r="H36" s="159" t="s">
        <v>157</v>
      </c>
      <c r="I36" s="45" t="s">
        <v>301</v>
      </c>
      <c r="J36" s="128"/>
      <c r="K36" s="91" t="str">
        <f t="shared" si="5"/>
        <v>failed</v>
      </c>
      <c r="L36" s="95" t="s">
        <v>73</v>
      </c>
      <c r="M36" s="164" t="s">
        <v>162</v>
      </c>
      <c r="N36" s="164"/>
      <c r="O36" s="164" t="s">
        <v>90</v>
      </c>
      <c r="P36" s="137" t="str">
        <f t="shared" si="0"/>
        <v>failed</v>
      </c>
    </row>
    <row r="37" spans="1:16" s="139" customFormat="1" ht="35.25" customHeight="1" outlineLevel="1" x14ac:dyDescent="0.2">
      <c r="A37" s="184"/>
      <c r="B37" s="157" t="s">
        <v>166</v>
      </c>
      <c r="C37" s="93" t="s">
        <v>167</v>
      </c>
      <c r="D37" s="260" t="s">
        <v>168</v>
      </c>
      <c r="E37" s="261"/>
      <c r="F37" s="186"/>
      <c r="G37" s="117" t="s">
        <v>88</v>
      </c>
      <c r="H37" s="159" t="s">
        <v>157</v>
      </c>
      <c r="I37" s="45" t="s">
        <v>301</v>
      </c>
      <c r="J37" s="128"/>
      <c r="K37" s="91" t="str">
        <f t="shared" ref="K37:K39" si="6">IF(OR(J37=H37,J37="i. O.",J37="i.O.",J37="io"),"ok","failed")</f>
        <v>failed</v>
      </c>
      <c r="L37" s="95" t="s">
        <v>73</v>
      </c>
      <c r="M37" s="164" t="s">
        <v>169</v>
      </c>
      <c r="N37" s="164"/>
      <c r="O37" s="164" t="s">
        <v>90</v>
      </c>
      <c r="P37" s="137" t="str">
        <f t="shared" si="0"/>
        <v>failed</v>
      </c>
    </row>
    <row r="38" spans="1:16" s="139" customFormat="1" ht="35.25" customHeight="1" outlineLevel="1" x14ac:dyDescent="0.2">
      <c r="A38" s="184"/>
      <c r="B38" s="157" t="s">
        <v>170</v>
      </c>
      <c r="C38" s="93" t="s">
        <v>171</v>
      </c>
      <c r="D38" s="260" t="s">
        <v>172</v>
      </c>
      <c r="E38" s="261"/>
      <c r="F38" s="186"/>
      <c r="G38" s="117" t="s">
        <v>88</v>
      </c>
      <c r="H38" s="159" t="s">
        <v>157</v>
      </c>
      <c r="I38" s="45" t="s">
        <v>301</v>
      </c>
      <c r="J38" s="128"/>
      <c r="K38" s="91" t="str">
        <f t="shared" si="6"/>
        <v>failed</v>
      </c>
      <c r="L38" s="95" t="s">
        <v>73</v>
      </c>
      <c r="M38" s="164" t="s">
        <v>169</v>
      </c>
      <c r="N38" s="164"/>
      <c r="O38" s="164" t="s">
        <v>90</v>
      </c>
      <c r="P38" s="137" t="str">
        <f t="shared" si="0"/>
        <v>failed</v>
      </c>
    </row>
    <row r="39" spans="1:16" s="139" customFormat="1" ht="35.25" customHeight="1" outlineLevel="1" x14ac:dyDescent="0.2">
      <c r="A39" s="184"/>
      <c r="B39" s="157" t="s">
        <v>173</v>
      </c>
      <c r="C39" s="93" t="s">
        <v>174</v>
      </c>
      <c r="D39" s="185"/>
      <c r="E39" s="126"/>
      <c r="F39" s="45"/>
      <c r="G39" s="117" t="s">
        <v>88</v>
      </c>
      <c r="H39" s="159" t="s">
        <v>175</v>
      </c>
      <c r="I39" s="186" t="s">
        <v>122</v>
      </c>
      <c r="J39" s="208"/>
      <c r="K39" s="91" t="str">
        <f t="shared" si="6"/>
        <v>failed</v>
      </c>
      <c r="L39" s="95"/>
      <c r="M39" s="164"/>
      <c r="N39" s="164"/>
      <c r="O39" s="164" t="s">
        <v>90</v>
      </c>
      <c r="P39" s="137" t="str">
        <f t="shared" si="0"/>
        <v>failed</v>
      </c>
    </row>
    <row r="40" spans="1:16" s="139" customFormat="1" ht="35.25" customHeight="1" outlineLevel="1" x14ac:dyDescent="0.2">
      <c r="A40" s="184"/>
      <c r="B40" s="157" t="s">
        <v>176</v>
      </c>
      <c r="C40" s="93" t="s">
        <v>177</v>
      </c>
      <c r="D40" s="185"/>
      <c r="E40" s="126"/>
      <c r="F40" s="45"/>
      <c r="G40" s="117" t="s">
        <v>88</v>
      </c>
      <c r="H40" s="159" t="s">
        <v>175</v>
      </c>
      <c r="I40" s="186" t="s">
        <v>122</v>
      </c>
      <c r="J40" s="208"/>
      <c r="K40" s="91"/>
      <c r="L40" s="95"/>
      <c r="M40" s="164"/>
      <c r="N40" s="164"/>
      <c r="O40" s="164" t="s">
        <v>90</v>
      </c>
      <c r="P40" s="137"/>
    </row>
    <row r="41" spans="1:16" s="139" customFormat="1" ht="30" customHeight="1" outlineLevel="1" x14ac:dyDescent="0.2">
      <c r="A41" s="184"/>
      <c r="B41" s="158" t="s">
        <v>178</v>
      </c>
      <c r="C41" s="168" t="s">
        <v>179</v>
      </c>
      <c r="D41" s="194"/>
      <c r="E41" s="196"/>
      <c r="F41" s="169"/>
      <c r="G41" s="169"/>
      <c r="H41" s="169"/>
      <c r="I41" s="195"/>
      <c r="J41" s="194"/>
      <c r="K41" s="169"/>
      <c r="L41" s="169"/>
      <c r="M41" s="169"/>
      <c r="N41" s="169"/>
      <c r="O41" s="169"/>
      <c r="P41" s="137" t="str">
        <f t="shared" si="0"/>
        <v>-</v>
      </c>
    </row>
    <row r="42" spans="1:16" s="139" customFormat="1" ht="56.25" customHeight="1" outlineLevel="1" x14ac:dyDescent="0.2">
      <c r="A42" s="184"/>
      <c r="B42" s="157" t="s">
        <v>180</v>
      </c>
      <c r="C42" s="93" t="s">
        <v>181</v>
      </c>
      <c r="D42" s="260" t="s">
        <v>182</v>
      </c>
      <c r="E42" s="261"/>
      <c r="F42" s="186"/>
      <c r="G42" s="115"/>
      <c r="H42" s="115"/>
      <c r="I42" s="115"/>
      <c r="J42" s="115"/>
      <c r="K42" s="91"/>
      <c r="L42" s="179" t="s">
        <v>73</v>
      </c>
      <c r="M42" s="164"/>
      <c r="N42" s="164"/>
      <c r="O42" s="164" t="s">
        <v>75</v>
      </c>
      <c r="P42" s="137" t="str">
        <f>IF(H42="","-",IF(K42="","",K42))</f>
        <v>-</v>
      </c>
    </row>
    <row r="43" spans="1:16" s="139" customFormat="1" ht="56.25" customHeight="1" outlineLevel="1" x14ac:dyDescent="0.2">
      <c r="A43" s="184"/>
      <c r="B43" s="157" t="s">
        <v>183</v>
      </c>
      <c r="C43" s="93" t="s">
        <v>184</v>
      </c>
      <c r="D43" s="260" t="s">
        <v>185</v>
      </c>
      <c r="E43" s="261"/>
      <c r="F43" s="186"/>
      <c r="G43" s="115"/>
      <c r="H43" s="115"/>
      <c r="I43" s="115"/>
      <c r="J43" s="115"/>
      <c r="K43" s="91"/>
      <c r="L43" s="179" t="s">
        <v>73</v>
      </c>
      <c r="M43" s="164"/>
      <c r="N43" s="164"/>
      <c r="O43" s="164" t="s">
        <v>78</v>
      </c>
      <c r="P43" s="137" t="str">
        <f>IF(H43="","-",IF(K43="","",K43))</f>
        <v>-</v>
      </c>
    </row>
    <row r="44" spans="1:16" s="139" customFormat="1" ht="56.25" customHeight="1" outlineLevel="1" x14ac:dyDescent="0.2">
      <c r="A44" s="184"/>
      <c r="B44" s="157" t="s">
        <v>186</v>
      </c>
      <c r="C44" s="93" t="s">
        <v>187</v>
      </c>
      <c r="D44" s="260" t="s">
        <v>188</v>
      </c>
      <c r="E44" s="261"/>
      <c r="F44" s="186"/>
      <c r="G44" s="115"/>
      <c r="H44" s="115"/>
      <c r="I44" s="115"/>
      <c r="J44" s="115"/>
      <c r="K44" s="91"/>
      <c r="L44" s="179" t="s">
        <v>73</v>
      </c>
      <c r="M44" s="164"/>
      <c r="N44" s="164"/>
      <c r="O44" s="164" t="s">
        <v>78</v>
      </c>
      <c r="P44" s="137" t="str">
        <f>IF(H44="","-",IF(K44="","",K44))</f>
        <v>-</v>
      </c>
    </row>
    <row r="45" spans="1:16" s="139" customFormat="1" ht="40.5" customHeight="1" outlineLevel="1" x14ac:dyDescent="0.2">
      <c r="A45" s="184"/>
      <c r="B45" s="157" t="s">
        <v>189</v>
      </c>
      <c r="C45" s="93" t="s">
        <v>190</v>
      </c>
      <c r="D45" s="260" t="s">
        <v>191</v>
      </c>
      <c r="E45" s="261"/>
      <c r="F45" s="186"/>
      <c r="G45" s="115"/>
      <c r="H45" s="170">
        <v>20</v>
      </c>
      <c r="I45" s="165"/>
      <c r="J45" s="128"/>
      <c r="K45" s="91" t="str">
        <f t="shared" ref="K45:K47" si="7">IF(OR(J45=H45,J45="i. O.",J45="i.O.",J45="io"),"ok","failed")</f>
        <v>failed</v>
      </c>
      <c r="L45" s="95" t="s">
        <v>73</v>
      </c>
      <c r="M45" s="164" t="s">
        <v>192</v>
      </c>
      <c r="N45" s="164"/>
      <c r="O45" s="164" t="s">
        <v>75</v>
      </c>
      <c r="P45" s="137" t="str">
        <f t="shared" si="0"/>
        <v>failed</v>
      </c>
    </row>
    <row r="46" spans="1:16" s="139" customFormat="1" ht="40.5" customHeight="1" outlineLevel="1" x14ac:dyDescent="0.2">
      <c r="A46" s="184"/>
      <c r="B46" s="157" t="s">
        <v>193</v>
      </c>
      <c r="C46" s="93" t="s">
        <v>194</v>
      </c>
      <c r="D46" s="260" t="s">
        <v>195</v>
      </c>
      <c r="E46" s="261"/>
      <c r="F46" s="186"/>
      <c r="G46" s="115"/>
      <c r="H46" s="170">
        <v>30</v>
      </c>
      <c r="I46" s="165"/>
      <c r="J46" s="128"/>
      <c r="K46" s="91" t="str">
        <f t="shared" si="7"/>
        <v>failed</v>
      </c>
      <c r="L46" s="95" t="s">
        <v>73</v>
      </c>
      <c r="M46" s="164" t="s">
        <v>192</v>
      </c>
      <c r="N46" s="164"/>
      <c r="O46" s="164" t="s">
        <v>75</v>
      </c>
      <c r="P46" s="137" t="str">
        <f t="shared" si="0"/>
        <v>failed</v>
      </c>
    </row>
    <row r="47" spans="1:16" s="139" customFormat="1" ht="40.5" customHeight="1" outlineLevel="1" x14ac:dyDescent="0.2">
      <c r="A47" s="184"/>
      <c r="B47" s="157" t="s">
        <v>196</v>
      </c>
      <c r="C47" s="93" t="s">
        <v>197</v>
      </c>
      <c r="D47" s="260" t="s">
        <v>198</v>
      </c>
      <c r="E47" s="261"/>
      <c r="F47" s="186"/>
      <c r="G47" s="115"/>
      <c r="H47" s="170">
        <v>36</v>
      </c>
      <c r="I47" s="165"/>
      <c r="J47" s="128"/>
      <c r="K47" s="91" t="str">
        <f t="shared" si="7"/>
        <v>failed</v>
      </c>
      <c r="L47" s="95" t="s">
        <v>73</v>
      </c>
      <c r="M47" s="164" t="s">
        <v>192</v>
      </c>
      <c r="N47" s="164"/>
      <c r="O47" s="164" t="s">
        <v>75</v>
      </c>
      <c r="P47" s="137" t="str">
        <f t="shared" si="0"/>
        <v>failed</v>
      </c>
    </row>
    <row r="48" spans="1:16" s="139" customFormat="1" ht="40.5" customHeight="1" outlineLevel="1" x14ac:dyDescent="0.2">
      <c r="A48" s="184"/>
      <c r="B48" s="157" t="s">
        <v>199</v>
      </c>
      <c r="C48" s="93" t="s">
        <v>200</v>
      </c>
      <c r="D48" s="260" t="s">
        <v>201</v>
      </c>
      <c r="E48" s="261"/>
      <c r="F48" s="186"/>
      <c r="G48" s="115"/>
      <c r="H48" s="170">
        <v>0</v>
      </c>
      <c r="I48" s="165"/>
      <c r="J48" s="128"/>
      <c r="K48" s="91" t="str">
        <f>IF(OR(J48=H48,J48="i. O.",J48="i.O.",J48="io"),"ok","failed")</f>
        <v>ok</v>
      </c>
      <c r="L48" s="95" t="s">
        <v>73</v>
      </c>
      <c r="M48" s="164" t="s">
        <v>192</v>
      </c>
      <c r="N48" s="164"/>
      <c r="O48" s="164" t="s">
        <v>75</v>
      </c>
      <c r="P48" s="137" t="str">
        <f t="shared" si="0"/>
        <v>ok</v>
      </c>
    </row>
    <row r="49" spans="1:20" s="139" customFormat="1" ht="40.5" customHeight="1" outlineLevel="1" x14ac:dyDescent="0.2">
      <c r="A49" s="184"/>
      <c r="B49" s="210" t="s">
        <v>202</v>
      </c>
      <c r="C49" s="211" t="s">
        <v>203</v>
      </c>
      <c r="D49" s="267" t="s">
        <v>204</v>
      </c>
      <c r="E49" s="268"/>
      <c r="F49" s="219"/>
      <c r="G49" s="212"/>
      <c r="H49" s="213">
        <v>7</v>
      </c>
      <c r="I49" s="214"/>
      <c r="J49" s="215"/>
      <c r="K49" s="216" t="str">
        <f t="shared" ref="K49" si="8">IF(OR(J49=H49,J49="i. O.",J49="i.O.",J49="io"),"ok","failed")</f>
        <v>failed</v>
      </c>
      <c r="L49" s="217" t="s">
        <v>73</v>
      </c>
      <c r="M49" s="218" t="s">
        <v>192</v>
      </c>
      <c r="N49" s="218"/>
      <c r="O49" s="218" t="s">
        <v>78</v>
      </c>
      <c r="P49" s="137" t="str">
        <f t="shared" si="0"/>
        <v>failed</v>
      </c>
    </row>
    <row r="50" spans="1:20" s="139" customFormat="1" ht="40.5" customHeight="1" outlineLevel="1" x14ac:dyDescent="0.2">
      <c r="A50" s="184"/>
      <c r="B50" s="210" t="s">
        <v>205</v>
      </c>
      <c r="C50" s="211" t="s">
        <v>206</v>
      </c>
      <c r="D50" s="267" t="s">
        <v>207</v>
      </c>
      <c r="E50" s="268"/>
      <c r="F50" s="219"/>
      <c r="G50" s="212"/>
      <c r="H50" s="213">
        <v>0</v>
      </c>
      <c r="I50" s="214"/>
      <c r="J50" s="215"/>
      <c r="K50" s="216" t="str">
        <f t="shared" ref="K50:K52" si="9">IF(OR(J50=H50,J50="i. O.",J50="i.O.",J50="io"),"ok","failed")</f>
        <v>ok</v>
      </c>
      <c r="L50" s="217" t="s">
        <v>73</v>
      </c>
      <c r="M50" s="218" t="s">
        <v>192</v>
      </c>
      <c r="N50" s="218"/>
      <c r="O50" s="218" t="s">
        <v>78</v>
      </c>
      <c r="P50" s="137" t="str">
        <f t="shared" ref="P50" si="10">IF(H50="","-",IF(K50="","",K50))</f>
        <v>ok</v>
      </c>
    </row>
    <row r="51" spans="1:20" s="139" customFormat="1" ht="40.5" customHeight="1" outlineLevel="1" x14ac:dyDescent="0.2">
      <c r="A51" s="184"/>
      <c r="B51" s="210" t="s">
        <v>208</v>
      </c>
      <c r="C51" s="211" t="s">
        <v>209</v>
      </c>
      <c r="D51" s="267" t="s">
        <v>210</v>
      </c>
      <c r="E51" s="268"/>
      <c r="F51" s="219"/>
      <c r="G51" s="212"/>
      <c r="H51" s="213">
        <v>2</v>
      </c>
      <c r="I51" s="214"/>
      <c r="J51" s="215"/>
      <c r="K51" s="216" t="str">
        <f t="shared" si="9"/>
        <v>failed</v>
      </c>
      <c r="L51" s="217" t="s">
        <v>73</v>
      </c>
      <c r="M51" s="218" t="s">
        <v>192</v>
      </c>
      <c r="N51" s="218"/>
      <c r="O51" s="218" t="s">
        <v>78</v>
      </c>
      <c r="P51" s="137" t="str">
        <f t="shared" ref="P51" si="11">IF(H51="","-",IF(K51="","",K51))</f>
        <v>failed</v>
      </c>
    </row>
    <row r="52" spans="1:20" s="139" customFormat="1" ht="40.5" customHeight="1" outlineLevel="1" x14ac:dyDescent="0.2">
      <c r="A52" s="184"/>
      <c r="B52" s="210" t="s">
        <v>211</v>
      </c>
      <c r="C52" s="211" t="s">
        <v>212</v>
      </c>
      <c r="D52" s="267" t="s">
        <v>213</v>
      </c>
      <c r="E52" s="268"/>
      <c r="F52" s="219"/>
      <c r="G52" s="212"/>
      <c r="H52" s="213">
        <v>3</v>
      </c>
      <c r="I52" s="214"/>
      <c r="J52" s="215"/>
      <c r="K52" s="216" t="str">
        <f t="shared" si="9"/>
        <v>failed</v>
      </c>
      <c r="L52" s="217" t="s">
        <v>73</v>
      </c>
      <c r="M52" s="218" t="s">
        <v>192</v>
      </c>
      <c r="N52" s="218"/>
      <c r="O52" s="218" t="s">
        <v>78</v>
      </c>
      <c r="P52" s="137" t="str">
        <f t="shared" ref="P52:P53" si="12">IF(H52="","-",IF(K52="","",K52))</f>
        <v>failed</v>
      </c>
    </row>
    <row r="53" spans="1:20" s="139" customFormat="1" ht="40.5" customHeight="1" outlineLevel="1" x14ac:dyDescent="0.2">
      <c r="A53" s="184"/>
      <c r="B53" s="210" t="s">
        <v>214</v>
      </c>
      <c r="C53" s="211" t="s">
        <v>215</v>
      </c>
      <c r="D53" s="267" t="s">
        <v>216</v>
      </c>
      <c r="E53" s="268"/>
      <c r="F53" s="219"/>
      <c r="G53" s="212"/>
      <c r="H53" s="213">
        <v>2</v>
      </c>
      <c r="I53" s="214"/>
      <c r="J53" s="215"/>
      <c r="K53" s="216" t="str">
        <f t="shared" ref="K53:K54" si="13">IF(OR(J53=H53,J53="i. O.",J53="i.O.",J53="io"),"ok","failed")</f>
        <v>failed</v>
      </c>
      <c r="L53" s="217" t="s">
        <v>73</v>
      </c>
      <c r="M53" s="218" t="s">
        <v>192</v>
      </c>
      <c r="N53" s="218"/>
      <c r="O53" s="218" t="s">
        <v>78</v>
      </c>
      <c r="P53" s="137" t="str">
        <f t="shared" si="12"/>
        <v>failed</v>
      </c>
    </row>
    <row r="54" spans="1:20" s="139" customFormat="1" ht="40.5" customHeight="1" outlineLevel="1" x14ac:dyDescent="0.2">
      <c r="A54" s="184"/>
      <c r="B54" s="210" t="s">
        <v>217</v>
      </c>
      <c r="C54" s="211" t="s">
        <v>218</v>
      </c>
      <c r="D54" s="267" t="s">
        <v>219</v>
      </c>
      <c r="E54" s="268"/>
      <c r="F54" s="219"/>
      <c r="G54" s="212"/>
      <c r="H54" s="213">
        <v>0</v>
      </c>
      <c r="I54" s="214"/>
      <c r="J54" s="215"/>
      <c r="K54" s="216" t="str">
        <f t="shared" si="13"/>
        <v>ok</v>
      </c>
      <c r="L54" s="217" t="s">
        <v>73</v>
      </c>
      <c r="M54" s="218" t="s">
        <v>192</v>
      </c>
      <c r="N54" s="218"/>
      <c r="O54" s="218" t="s">
        <v>78</v>
      </c>
      <c r="P54" s="137" t="str">
        <f t="shared" ref="P54" si="14">IF(H54="","-",IF(K54="","",K54))</f>
        <v>ok</v>
      </c>
    </row>
    <row r="55" spans="1:20" s="139" customFormat="1" ht="30.6" customHeight="1" x14ac:dyDescent="0.2">
      <c r="A55" s="184"/>
      <c r="B55" s="96">
        <v>5</v>
      </c>
      <c r="C55" s="96" t="s">
        <v>220</v>
      </c>
      <c r="D55" s="264"/>
      <c r="E55" s="265"/>
      <c r="F55" s="188"/>
      <c r="G55" s="70"/>
      <c r="H55" s="70"/>
      <c r="I55" s="188"/>
      <c r="J55" s="70"/>
      <c r="K55" s="70"/>
      <c r="L55" s="70"/>
      <c r="M55" s="70"/>
      <c r="N55" s="70"/>
      <c r="O55" s="70"/>
      <c r="P55" s="137" t="str">
        <f t="shared" si="0"/>
        <v>-</v>
      </c>
    </row>
    <row r="56" spans="1:20" s="139" customFormat="1" ht="40.5" customHeight="1" outlineLevel="1" x14ac:dyDescent="0.2">
      <c r="A56" s="184"/>
      <c r="B56" s="157" t="s">
        <v>221</v>
      </c>
      <c r="C56" s="93" t="s">
        <v>222</v>
      </c>
      <c r="D56" s="260" t="s">
        <v>223</v>
      </c>
      <c r="E56" s="261"/>
      <c r="F56" s="186"/>
      <c r="G56" s="115"/>
      <c r="H56" s="170" t="s">
        <v>224</v>
      </c>
      <c r="I56" s="165"/>
      <c r="J56" s="128"/>
      <c r="K56" s="91" t="str">
        <f>IF(OR(J56=H56,J56="i. O.",J56="i.O.",J56="io"),"ok","failed")</f>
        <v>failed</v>
      </c>
      <c r="L56" s="179" t="s">
        <v>73</v>
      </c>
      <c r="M56" s="164" t="s">
        <v>225</v>
      </c>
      <c r="N56" s="164" t="s">
        <v>89</v>
      </c>
      <c r="O56" s="164" t="s">
        <v>90</v>
      </c>
      <c r="P56" s="137" t="str">
        <f t="shared" si="0"/>
        <v>failed</v>
      </c>
    </row>
    <row r="57" spans="1:20" s="139" customFormat="1" ht="35.25" customHeight="1" x14ac:dyDescent="0.2">
      <c r="A57" s="184"/>
      <c r="B57" s="96">
        <v>6</v>
      </c>
      <c r="C57" s="96" t="s">
        <v>226</v>
      </c>
      <c r="D57" s="264" t="s">
        <v>227</v>
      </c>
      <c r="E57" s="277"/>
      <c r="F57" s="70"/>
      <c r="G57" s="70"/>
      <c r="H57" s="70"/>
      <c r="I57" s="188"/>
      <c r="J57" s="70"/>
      <c r="K57" s="70"/>
      <c r="L57" s="70"/>
      <c r="M57" s="70"/>
      <c r="N57" s="70"/>
      <c r="O57" s="70"/>
      <c r="P57" s="137" t="str">
        <f t="shared" ref="P57:P81" si="15">IF(H57="","-",IF(K57="","",K57))</f>
        <v>-</v>
      </c>
    </row>
    <row r="58" spans="1:20" s="139" customFormat="1" ht="78" customHeight="1" outlineLevel="1" x14ac:dyDescent="0.2">
      <c r="A58" s="184"/>
      <c r="B58" s="157" t="s">
        <v>228</v>
      </c>
      <c r="C58" s="93" t="s">
        <v>229</v>
      </c>
      <c r="D58" s="260" t="s">
        <v>223</v>
      </c>
      <c r="E58" s="261"/>
      <c r="F58" s="186"/>
      <c r="G58" s="115"/>
      <c r="H58" s="170" t="s">
        <v>224</v>
      </c>
      <c r="I58" s="165"/>
      <c r="J58" s="185"/>
      <c r="K58" s="91" t="str">
        <f t="shared" ref="K58" si="16">IF(OR(J58=H58,J58="i.O.",J58="io"),"ok","failed")</f>
        <v>failed</v>
      </c>
      <c r="L58" s="95" t="s">
        <v>73</v>
      </c>
      <c r="M58" s="164" t="s">
        <v>230</v>
      </c>
      <c r="N58" s="164" t="s">
        <v>89</v>
      </c>
      <c r="O58" s="164" t="s">
        <v>78</v>
      </c>
      <c r="P58" s="137" t="str">
        <f t="shared" si="15"/>
        <v>failed</v>
      </c>
    </row>
    <row r="59" spans="1:20" s="139" customFormat="1" ht="78" customHeight="1" outlineLevel="1" x14ac:dyDescent="0.2">
      <c r="A59" s="184"/>
      <c r="B59" s="157" t="s">
        <v>231</v>
      </c>
      <c r="C59" s="93" t="s">
        <v>232</v>
      </c>
      <c r="D59" s="260" t="s">
        <v>223</v>
      </c>
      <c r="E59" s="261"/>
      <c r="F59" s="186"/>
      <c r="G59" s="115"/>
      <c r="H59" s="170" t="s">
        <v>224</v>
      </c>
      <c r="I59" s="165"/>
      <c r="J59" s="185"/>
      <c r="K59" s="91" t="str">
        <f t="shared" ref="K59" si="17">IF(OR(J59=H59,J59="i.O.",J59="io"),"ok","failed")</f>
        <v>failed</v>
      </c>
      <c r="L59" s="95" t="s">
        <v>73</v>
      </c>
      <c r="M59" s="164" t="s">
        <v>230</v>
      </c>
      <c r="N59" s="164" t="s">
        <v>89</v>
      </c>
      <c r="O59" s="164" t="s">
        <v>78</v>
      </c>
      <c r="P59" s="137" t="str">
        <f t="shared" ref="P59" si="18">IF(H59="","-",IF(K59="","",K59))</f>
        <v>failed</v>
      </c>
    </row>
    <row r="60" spans="1:20" s="139" customFormat="1" ht="30" customHeight="1" x14ac:dyDescent="0.2">
      <c r="A60" s="184"/>
      <c r="B60" s="158" t="s">
        <v>233</v>
      </c>
      <c r="C60" s="96" t="s">
        <v>234</v>
      </c>
      <c r="D60" s="187"/>
      <c r="E60" s="192"/>
      <c r="F60" s="70"/>
      <c r="G60" s="70"/>
      <c r="H60" s="70"/>
      <c r="I60" s="188"/>
      <c r="J60" s="187"/>
      <c r="K60" s="70"/>
      <c r="L60" s="188"/>
      <c r="M60" s="70"/>
      <c r="N60" s="70" t="s">
        <v>235</v>
      </c>
      <c r="O60" s="70"/>
      <c r="P60" s="137" t="str">
        <f t="shared" si="15"/>
        <v>-</v>
      </c>
    </row>
    <row r="61" spans="1:20" s="139" customFormat="1" ht="62.45" customHeight="1" outlineLevel="1" x14ac:dyDescent="0.2">
      <c r="A61" s="184"/>
      <c r="B61" s="157" t="s">
        <v>236</v>
      </c>
      <c r="C61" s="93" t="s">
        <v>237</v>
      </c>
      <c r="D61" s="260" t="s">
        <v>143</v>
      </c>
      <c r="E61" s="261"/>
      <c r="F61" s="186"/>
      <c r="G61" s="117" t="s">
        <v>139</v>
      </c>
      <c r="H61" s="159" t="s">
        <v>306</v>
      </c>
      <c r="I61" s="45" t="s">
        <v>145</v>
      </c>
      <c r="J61" s="128"/>
      <c r="K61" s="91" t="str">
        <f t="shared" ref="K61" si="19">IF(OR(J61=H61,J61="i. O.",J61="i.O.",J61="io"),"ok","failed")</f>
        <v>failed</v>
      </c>
      <c r="L61" s="95" t="s">
        <v>73</v>
      </c>
      <c r="M61" s="164" t="s">
        <v>140</v>
      </c>
      <c r="N61" s="164"/>
      <c r="O61" s="164" t="s">
        <v>90</v>
      </c>
      <c r="P61" s="137" t="str">
        <f t="shared" si="15"/>
        <v>failed</v>
      </c>
    </row>
    <row r="62" spans="1:20" s="139" customFormat="1" ht="30" customHeight="1" outlineLevel="1" x14ac:dyDescent="0.2">
      <c r="A62" s="184"/>
      <c r="B62" s="158" t="s">
        <v>238</v>
      </c>
      <c r="C62" s="65" t="s">
        <v>239</v>
      </c>
      <c r="D62" s="282"/>
      <c r="E62" s="283"/>
      <c r="F62" s="195"/>
      <c r="G62" s="195"/>
      <c r="H62" s="194"/>
      <c r="I62" s="194"/>
      <c r="J62" s="194"/>
      <c r="K62" s="187"/>
      <c r="L62" s="187"/>
      <c r="M62" s="70"/>
      <c r="N62" s="70"/>
      <c r="O62" s="70"/>
      <c r="P62" s="137" t="str">
        <f t="shared" si="15"/>
        <v>-</v>
      </c>
      <c r="Q62" s="175"/>
      <c r="R62" s="173"/>
    </row>
    <row r="63" spans="1:20" ht="30" customHeight="1" outlineLevel="1" x14ac:dyDescent="0.2">
      <c r="B63" s="157" t="s">
        <v>240</v>
      </c>
      <c r="C63" s="93" t="s">
        <v>241</v>
      </c>
      <c r="D63" s="260" t="s">
        <v>242</v>
      </c>
      <c r="E63" s="261"/>
      <c r="F63" s="126"/>
      <c r="G63" s="185" t="s">
        <v>243</v>
      </c>
      <c r="H63" s="185">
        <v>75</v>
      </c>
      <c r="I63" s="45" t="s">
        <v>244</v>
      </c>
      <c r="J63" s="185"/>
      <c r="K63" s="91" t="str">
        <f t="shared" ref="K63" si="20">IF(OR(J63=H63,J63="i.O.",J63="io"),"ok","failed")</f>
        <v>failed</v>
      </c>
      <c r="L63" s="95" t="s">
        <v>73</v>
      </c>
      <c r="M63" s="164" t="s">
        <v>245</v>
      </c>
      <c r="N63" s="164"/>
      <c r="O63" s="164" t="s">
        <v>90</v>
      </c>
      <c r="P63" s="137" t="str">
        <f t="shared" si="15"/>
        <v>failed</v>
      </c>
      <c r="Q63" s="139"/>
      <c r="R63" s="139"/>
      <c r="S63" s="139"/>
      <c r="T63" s="139"/>
    </row>
    <row r="64" spans="1:20" ht="55.5" customHeight="1" outlineLevel="1" x14ac:dyDescent="0.2">
      <c r="B64" s="157" t="s">
        <v>246</v>
      </c>
      <c r="C64" s="93" t="s">
        <v>247</v>
      </c>
      <c r="D64" s="260" t="s">
        <v>248</v>
      </c>
      <c r="E64" s="261"/>
      <c r="F64" s="126"/>
      <c r="G64" s="185" t="s">
        <v>135</v>
      </c>
      <c r="H64" s="185">
        <v>3631</v>
      </c>
      <c r="I64" s="165"/>
      <c r="J64" s="163"/>
      <c r="K64" s="163"/>
      <c r="L64" s="163"/>
      <c r="M64" s="163"/>
      <c r="N64" s="163"/>
      <c r="O64" s="163" t="s">
        <v>90</v>
      </c>
      <c r="P64" s="137" t="str">
        <f t="shared" si="15"/>
        <v/>
      </c>
      <c r="Q64" s="139"/>
      <c r="R64" s="139"/>
      <c r="S64" s="139"/>
      <c r="T64" s="139"/>
    </row>
    <row r="65" spans="1:20" s="139" customFormat="1" ht="30" customHeight="1" outlineLevel="1" x14ac:dyDescent="0.2">
      <c r="A65" s="184"/>
      <c r="B65" s="158" t="s">
        <v>249</v>
      </c>
      <c r="C65" s="65" t="s">
        <v>250</v>
      </c>
      <c r="D65" s="282"/>
      <c r="E65" s="283"/>
      <c r="F65" s="195"/>
      <c r="G65" s="195"/>
      <c r="H65" s="194"/>
      <c r="I65" s="194"/>
      <c r="J65" s="194"/>
      <c r="K65" s="187"/>
      <c r="L65" s="187"/>
      <c r="M65" s="70"/>
      <c r="N65" s="70"/>
      <c r="O65" s="70"/>
      <c r="P65" s="137" t="str">
        <f t="shared" ref="P65:P67" si="21">IF(H65="","-",IF(K65="","",K65))</f>
        <v>-</v>
      </c>
      <c r="Q65" s="175"/>
      <c r="R65" s="173"/>
    </row>
    <row r="66" spans="1:20" ht="30" customHeight="1" outlineLevel="1" x14ac:dyDescent="0.2">
      <c r="B66" s="157" t="s">
        <v>251</v>
      </c>
      <c r="C66" s="93" t="s">
        <v>252</v>
      </c>
      <c r="D66" s="260" t="s">
        <v>253</v>
      </c>
      <c r="E66" s="261"/>
      <c r="F66" s="126"/>
      <c r="G66" s="185" t="s">
        <v>243</v>
      </c>
      <c r="H66" s="185">
        <v>75</v>
      </c>
      <c r="I66" s="45" t="s">
        <v>244</v>
      </c>
      <c r="J66" s="185"/>
      <c r="K66" s="91" t="str">
        <f t="shared" ref="K66" si="22">IF(OR(J66=H66,J66="i.O.",J66="io"),"ok","failed")</f>
        <v>failed</v>
      </c>
      <c r="L66" s="95" t="s">
        <v>73</v>
      </c>
      <c r="M66" s="164" t="s">
        <v>245</v>
      </c>
      <c r="N66" s="164"/>
      <c r="O66" s="164" t="s">
        <v>90</v>
      </c>
      <c r="P66" s="137" t="str">
        <f t="shared" si="21"/>
        <v>failed</v>
      </c>
      <c r="Q66" s="139"/>
      <c r="R66" s="139"/>
      <c r="S66" s="139"/>
      <c r="T66" s="139"/>
    </row>
    <row r="67" spans="1:20" ht="55.5" customHeight="1" outlineLevel="1" x14ac:dyDescent="0.2">
      <c r="B67" s="157" t="s">
        <v>254</v>
      </c>
      <c r="C67" s="93" t="s">
        <v>255</v>
      </c>
      <c r="D67" s="260" t="s">
        <v>248</v>
      </c>
      <c r="E67" s="261"/>
      <c r="F67" s="126"/>
      <c r="G67" s="185" t="s">
        <v>135</v>
      </c>
      <c r="H67" s="185">
        <v>3495</v>
      </c>
      <c r="I67" s="165"/>
      <c r="J67" s="163"/>
      <c r="K67" s="163"/>
      <c r="L67" s="163"/>
      <c r="M67" s="163"/>
      <c r="N67" s="163"/>
      <c r="O67" s="163" t="s">
        <v>90</v>
      </c>
      <c r="P67" s="137" t="str">
        <f t="shared" si="21"/>
        <v/>
      </c>
      <c r="Q67" s="139"/>
      <c r="R67" s="139"/>
      <c r="S67" s="139"/>
      <c r="T67" s="139"/>
    </row>
    <row r="68" spans="1:20" ht="30" customHeight="1" x14ac:dyDescent="0.2">
      <c r="B68" s="171" t="s">
        <v>264</v>
      </c>
      <c r="C68" s="96" t="s">
        <v>265</v>
      </c>
      <c r="D68" s="301"/>
      <c r="E68" s="305"/>
      <c r="F68" s="97"/>
      <c r="G68" s="97"/>
      <c r="H68" s="97"/>
      <c r="I68" s="206"/>
      <c r="J68" s="97"/>
      <c r="K68" s="97"/>
      <c r="L68" s="97"/>
      <c r="M68" s="97"/>
      <c r="N68" s="97"/>
      <c r="O68" s="97"/>
      <c r="P68" s="137" t="str">
        <f t="shared" si="15"/>
        <v>-</v>
      </c>
      <c r="Q68" s="139"/>
      <c r="R68" s="139"/>
      <c r="S68" s="139"/>
      <c r="T68" s="139"/>
    </row>
    <row r="69" spans="1:20" s="139" customFormat="1" ht="30" customHeight="1" outlineLevel="1" x14ac:dyDescent="0.2">
      <c r="A69" s="184"/>
      <c r="B69" s="157" t="s">
        <v>266</v>
      </c>
      <c r="C69" s="93" t="s">
        <v>263</v>
      </c>
      <c r="D69" s="271"/>
      <c r="E69" s="272"/>
      <c r="F69" s="222"/>
      <c r="G69" s="185" t="s">
        <v>309</v>
      </c>
      <c r="H69" s="185">
        <v>5</v>
      </c>
      <c r="I69" s="165"/>
      <c r="J69" s="163"/>
      <c r="K69" s="163"/>
      <c r="L69" s="163"/>
      <c r="M69" s="163"/>
      <c r="N69" s="163"/>
      <c r="O69" s="163"/>
      <c r="P69" s="137" t="str">
        <f t="shared" ref="P69:P75" si="23">IF(H69="","-",IF(K69="","",K69))</f>
        <v/>
      </c>
      <c r="Q69" s="175"/>
      <c r="R69" s="173"/>
    </row>
    <row r="70" spans="1:20" ht="55.5" customHeight="1" outlineLevel="1" x14ac:dyDescent="0.2">
      <c r="B70" s="157" t="s">
        <v>269</v>
      </c>
      <c r="C70" s="93" t="s">
        <v>256</v>
      </c>
      <c r="D70" s="260" t="s">
        <v>150</v>
      </c>
      <c r="E70" s="261"/>
      <c r="F70" s="126"/>
      <c r="G70" s="180" t="s">
        <v>88</v>
      </c>
      <c r="H70" s="185">
        <v>23.25</v>
      </c>
      <c r="I70" s="45" t="s">
        <v>308</v>
      </c>
      <c r="J70" s="185"/>
      <c r="K70" s="91" t="str">
        <f>IF(OR(J70=H70,J70="i.O.",J70="io"),"ok","failed")</f>
        <v>failed</v>
      </c>
      <c r="L70" s="95" t="s">
        <v>73</v>
      </c>
      <c r="M70" s="164" t="s">
        <v>225</v>
      </c>
      <c r="N70" s="164"/>
      <c r="O70" s="164" t="s">
        <v>257</v>
      </c>
      <c r="P70" s="137" t="str">
        <f t="shared" si="23"/>
        <v>failed</v>
      </c>
      <c r="Q70" s="139"/>
      <c r="R70" s="139"/>
      <c r="S70" s="139"/>
      <c r="T70" s="139"/>
    </row>
    <row r="71" spans="1:20" s="139" customFormat="1" ht="35.25" customHeight="1" outlineLevel="1" x14ac:dyDescent="0.2">
      <c r="A71" s="184"/>
      <c r="B71" s="157" t="s">
        <v>271</v>
      </c>
      <c r="C71" s="93" t="s">
        <v>258</v>
      </c>
      <c r="D71" s="260" t="s">
        <v>161</v>
      </c>
      <c r="E71" s="261"/>
      <c r="F71" s="126"/>
      <c r="G71" s="180" t="s">
        <v>88</v>
      </c>
      <c r="H71" s="185">
        <v>24.5</v>
      </c>
      <c r="I71" s="45" t="s">
        <v>307</v>
      </c>
      <c r="J71" s="185"/>
      <c r="K71" s="91" t="str">
        <f>IF(OR(J71=H71,J71="i.O.",J71="io"),"ok","failed")</f>
        <v>failed</v>
      </c>
      <c r="L71" s="95" t="s">
        <v>73</v>
      </c>
      <c r="M71" s="164" t="s">
        <v>225</v>
      </c>
      <c r="N71" s="164"/>
      <c r="O71" s="164" t="s">
        <v>257</v>
      </c>
      <c r="P71" s="137" t="str">
        <f t="shared" si="23"/>
        <v>failed</v>
      </c>
    </row>
    <row r="72" spans="1:20" s="139" customFormat="1" ht="35.25" customHeight="1" outlineLevel="1" x14ac:dyDescent="0.2">
      <c r="A72" s="184"/>
      <c r="B72" s="157" t="s">
        <v>273</v>
      </c>
      <c r="C72" s="93" t="s">
        <v>259</v>
      </c>
      <c r="D72" s="260" t="s">
        <v>165</v>
      </c>
      <c r="E72" s="261"/>
      <c r="F72" s="126"/>
      <c r="G72" s="180" t="s">
        <v>88</v>
      </c>
      <c r="H72" s="185">
        <v>24.5</v>
      </c>
      <c r="I72" s="45" t="s">
        <v>307</v>
      </c>
      <c r="J72" s="185"/>
      <c r="K72" s="91" t="str">
        <f>IF(OR(J72=H72,J72="i.O.",J72="io"),"ok","failed")</f>
        <v>failed</v>
      </c>
      <c r="L72" s="95" t="s">
        <v>73</v>
      </c>
      <c r="M72" s="164" t="s">
        <v>225</v>
      </c>
      <c r="N72" s="164"/>
      <c r="O72" s="164" t="s">
        <v>257</v>
      </c>
      <c r="P72" s="137" t="str">
        <f t="shared" si="23"/>
        <v>failed</v>
      </c>
    </row>
    <row r="73" spans="1:20" s="139" customFormat="1" ht="35.25" customHeight="1" outlineLevel="1" x14ac:dyDescent="0.2">
      <c r="A73" s="184"/>
      <c r="B73" s="157" t="s">
        <v>276</v>
      </c>
      <c r="C73" s="93" t="s">
        <v>260</v>
      </c>
      <c r="D73" s="260" t="s">
        <v>168</v>
      </c>
      <c r="E73" s="261"/>
      <c r="F73" s="126"/>
      <c r="G73" s="180" t="s">
        <v>88</v>
      </c>
      <c r="H73" s="185">
        <v>24.5</v>
      </c>
      <c r="I73" s="45" t="s">
        <v>307</v>
      </c>
      <c r="J73" s="185"/>
      <c r="K73" s="91" t="str">
        <f>IF(OR(J73=H73,J73="i.O.",J73="io"),"ok","failed")</f>
        <v>failed</v>
      </c>
      <c r="L73" s="95" t="s">
        <v>73</v>
      </c>
      <c r="M73" s="164" t="s">
        <v>225</v>
      </c>
      <c r="N73" s="164"/>
      <c r="O73" s="164" t="s">
        <v>257</v>
      </c>
      <c r="P73" s="137" t="str">
        <f t="shared" si="23"/>
        <v>failed</v>
      </c>
    </row>
    <row r="74" spans="1:20" s="139" customFormat="1" ht="35.25" customHeight="1" outlineLevel="1" x14ac:dyDescent="0.2">
      <c r="A74" s="184"/>
      <c r="B74" s="157" t="s">
        <v>310</v>
      </c>
      <c r="C74" s="93" t="s">
        <v>261</v>
      </c>
      <c r="D74" s="260" t="s">
        <v>172</v>
      </c>
      <c r="E74" s="261"/>
      <c r="F74" s="126"/>
      <c r="G74" s="180" t="s">
        <v>88</v>
      </c>
      <c r="H74" s="185">
        <v>24.5</v>
      </c>
      <c r="I74" s="45" t="s">
        <v>307</v>
      </c>
      <c r="J74" s="185"/>
      <c r="K74" s="91" t="str">
        <f>IF(OR(J74=H74,J74="i.O.",J74="io"),"ok","failed")</f>
        <v>failed</v>
      </c>
      <c r="L74" s="95" t="s">
        <v>73</v>
      </c>
      <c r="M74" s="164" t="s">
        <v>225</v>
      </c>
      <c r="N74" s="164"/>
      <c r="O74" s="164" t="s">
        <v>257</v>
      </c>
      <c r="P74" s="137" t="str">
        <f t="shared" si="23"/>
        <v>failed</v>
      </c>
    </row>
    <row r="75" spans="1:20" s="139" customFormat="1" ht="35.25" customHeight="1" outlineLevel="1" x14ac:dyDescent="0.2">
      <c r="A75" s="184"/>
      <c r="B75" s="157" t="s">
        <v>311</v>
      </c>
      <c r="C75" s="93" t="s">
        <v>174</v>
      </c>
      <c r="D75" s="271"/>
      <c r="E75" s="272"/>
      <c r="F75" s="190"/>
      <c r="G75" s="117" t="s">
        <v>88</v>
      </c>
      <c r="H75" s="159" t="s">
        <v>262</v>
      </c>
      <c r="I75" s="186" t="s">
        <v>122</v>
      </c>
      <c r="J75" s="208"/>
      <c r="K75" s="91" t="str">
        <f t="shared" ref="K75:K76" si="24">IF(OR(J75=H75,J75="i. O.",J75="i.O.",J75="io"),"ok","failed")</f>
        <v>failed</v>
      </c>
      <c r="L75" s="95"/>
      <c r="M75" s="164"/>
      <c r="N75" s="164"/>
      <c r="O75" s="164" t="s">
        <v>257</v>
      </c>
      <c r="P75" s="137" t="str">
        <f t="shared" si="23"/>
        <v>failed</v>
      </c>
    </row>
    <row r="76" spans="1:20" s="139" customFormat="1" ht="35.25" customHeight="1" outlineLevel="1" x14ac:dyDescent="0.2">
      <c r="A76" s="184"/>
      <c r="B76" s="157" t="s">
        <v>312</v>
      </c>
      <c r="C76" s="93" t="s">
        <v>177</v>
      </c>
      <c r="D76" s="271"/>
      <c r="E76" s="272"/>
      <c r="F76" s="190"/>
      <c r="G76" s="117" t="s">
        <v>88</v>
      </c>
      <c r="H76" s="159" t="s">
        <v>262</v>
      </c>
      <c r="I76" s="186" t="s">
        <v>122</v>
      </c>
      <c r="J76" s="208"/>
      <c r="K76" s="91" t="str">
        <f t="shared" si="24"/>
        <v>failed</v>
      </c>
      <c r="L76" s="95"/>
      <c r="M76" s="164"/>
      <c r="N76" s="164"/>
      <c r="O76" s="164" t="s">
        <v>257</v>
      </c>
      <c r="P76" s="137"/>
    </row>
    <row r="77" spans="1:20" ht="66" customHeight="1" outlineLevel="1" x14ac:dyDescent="0.2">
      <c r="B77" s="157" t="s">
        <v>313</v>
      </c>
      <c r="C77" s="94" t="s">
        <v>267</v>
      </c>
      <c r="D77" s="260" t="s">
        <v>268</v>
      </c>
      <c r="E77" s="261"/>
      <c r="F77" s="186"/>
      <c r="G77" s="190" t="s">
        <v>135</v>
      </c>
      <c r="H77" s="159" t="s">
        <v>318</v>
      </c>
      <c r="I77" s="45" t="s">
        <v>152</v>
      </c>
      <c r="J77" s="185"/>
      <c r="K77" s="91" t="str">
        <f>IF(ISBLANK(J77),"failed","ok")</f>
        <v>failed</v>
      </c>
      <c r="L77" s="95" t="s">
        <v>73</v>
      </c>
      <c r="M77" s="164" t="s">
        <v>153</v>
      </c>
      <c r="N77" s="164"/>
      <c r="O77" s="164" t="s">
        <v>90</v>
      </c>
      <c r="P77" s="137" t="str">
        <f t="shared" si="15"/>
        <v>failed</v>
      </c>
      <c r="Q77" s="139"/>
      <c r="R77" s="139"/>
      <c r="S77" s="139"/>
      <c r="T77" s="139"/>
    </row>
    <row r="78" spans="1:20" ht="55.35" customHeight="1" outlineLevel="1" x14ac:dyDescent="0.2">
      <c r="B78" s="157" t="s">
        <v>314</v>
      </c>
      <c r="C78" s="94" t="s">
        <v>133</v>
      </c>
      <c r="D78" s="260" t="s">
        <v>134</v>
      </c>
      <c r="E78" s="261"/>
      <c r="F78" s="186"/>
      <c r="G78" s="190" t="s">
        <v>135</v>
      </c>
      <c r="H78" s="159" t="s">
        <v>319</v>
      </c>
      <c r="I78" s="45" t="s">
        <v>122</v>
      </c>
      <c r="J78" s="128"/>
      <c r="K78" s="91" t="str">
        <f>IF(OR(J78=H78,J78="i. O.",J78="i.O.",J78="io"),"ok","failed")</f>
        <v>failed</v>
      </c>
      <c r="L78" s="95" t="s">
        <v>73</v>
      </c>
      <c r="M78" s="164" t="s">
        <v>270</v>
      </c>
      <c r="N78" s="164"/>
      <c r="O78" s="164" t="s">
        <v>90</v>
      </c>
      <c r="P78" s="137" t="str">
        <f t="shared" si="15"/>
        <v>failed</v>
      </c>
      <c r="Q78" s="139"/>
      <c r="R78" s="139"/>
      <c r="S78" s="139"/>
      <c r="T78" s="139"/>
    </row>
    <row r="79" spans="1:20" ht="66" customHeight="1" outlineLevel="1" x14ac:dyDescent="0.2">
      <c r="B79" s="157" t="s">
        <v>315</v>
      </c>
      <c r="C79" s="93" t="s">
        <v>272</v>
      </c>
      <c r="D79" s="260" t="s">
        <v>143</v>
      </c>
      <c r="E79" s="261"/>
      <c r="F79" s="186"/>
      <c r="G79" s="190" t="s">
        <v>139</v>
      </c>
      <c r="H79" s="159" t="s">
        <v>306</v>
      </c>
      <c r="I79" s="45" t="s">
        <v>145</v>
      </c>
      <c r="J79" s="128"/>
      <c r="K79" s="91" t="str">
        <f>IF(OR(J79=H79,J79="i. O.",J79="i.O.",J79="io"),"ok","failed")</f>
        <v>failed</v>
      </c>
      <c r="L79" s="95" t="s">
        <v>73</v>
      </c>
      <c r="M79" s="164" t="s">
        <v>270</v>
      </c>
      <c r="N79" s="164"/>
      <c r="O79" s="164" t="s">
        <v>90</v>
      </c>
      <c r="P79" s="137" t="str">
        <f t="shared" si="15"/>
        <v>failed</v>
      </c>
      <c r="Q79" s="139"/>
      <c r="R79" s="139"/>
      <c r="S79" s="139"/>
      <c r="T79" s="139"/>
    </row>
    <row r="80" spans="1:20" ht="30" customHeight="1" outlineLevel="1" x14ac:dyDescent="0.2">
      <c r="B80" s="157" t="s">
        <v>316</v>
      </c>
      <c r="C80" s="93" t="s">
        <v>274</v>
      </c>
      <c r="D80" s="271" t="s">
        <v>275</v>
      </c>
      <c r="E80" s="272"/>
      <c r="F80" s="190"/>
      <c r="G80" s="115"/>
      <c r="H80" s="165"/>
      <c r="I80" s="115"/>
      <c r="J80" s="163"/>
      <c r="K80" s="163"/>
      <c r="L80" s="163"/>
      <c r="M80" s="163"/>
      <c r="N80" s="163"/>
      <c r="O80" s="163"/>
      <c r="P80" s="137" t="str">
        <f t="shared" si="15"/>
        <v>-</v>
      </c>
      <c r="Q80" s="139"/>
      <c r="R80" s="139"/>
      <c r="S80" s="139"/>
      <c r="T80" s="139"/>
    </row>
    <row r="81" spans="1:16" s="139" customFormat="1" ht="30" customHeight="1" outlineLevel="1" x14ac:dyDescent="0.2">
      <c r="A81" s="184"/>
      <c r="B81" s="157" t="s">
        <v>317</v>
      </c>
      <c r="C81" s="94" t="s">
        <v>277</v>
      </c>
      <c r="D81" s="260"/>
      <c r="E81" s="261"/>
      <c r="F81" s="186"/>
      <c r="G81" s="115"/>
      <c r="H81" s="115"/>
      <c r="I81" s="115"/>
      <c r="J81" s="163"/>
      <c r="K81" s="163"/>
      <c r="L81" s="163"/>
      <c r="M81" s="66"/>
      <c r="N81" s="66"/>
      <c r="O81" s="66"/>
      <c r="P81" s="137" t="str">
        <f t="shared" si="15"/>
        <v>-</v>
      </c>
    </row>
    <row r="82" spans="1:16" ht="30" customHeight="1" x14ac:dyDescent="0.2">
      <c r="B82" s="97"/>
      <c r="C82" s="96"/>
      <c r="D82" s="264"/>
      <c r="E82" s="277"/>
      <c r="F82" s="277"/>
      <c r="G82" s="277"/>
      <c r="H82" s="97"/>
      <c r="I82" s="88"/>
      <c r="J82" s="88"/>
      <c r="K82" s="88"/>
      <c r="L82" s="88"/>
      <c r="M82" s="88"/>
      <c r="N82" s="88"/>
      <c r="O82" s="88"/>
      <c r="P82" s="137" t="str">
        <f t="shared" ref="P82:P86" si="25">IF(H82="","-",IF(K82="","",K82))</f>
        <v>-</v>
      </c>
    </row>
    <row r="83" spans="1:16" ht="30" customHeight="1" x14ac:dyDescent="0.2">
      <c r="B83" s="45"/>
      <c r="C83" s="43"/>
      <c r="D83" s="275"/>
      <c r="E83" s="276"/>
      <c r="F83" s="191"/>
      <c r="G83" s="191"/>
      <c r="H83" s="80"/>
      <c r="I83" s="89"/>
      <c r="J83" s="92"/>
      <c r="K83" s="105"/>
      <c r="L83" s="76"/>
      <c r="M83" s="176"/>
      <c r="N83" s="176"/>
      <c r="O83" s="176"/>
      <c r="P83" s="137" t="str">
        <f t="shared" si="25"/>
        <v>-</v>
      </c>
    </row>
    <row r="84" spans="1:16" ht="30" customHeight="1" x14ac:dyDescent="0.2">
      <c r="B84" s="45"/>
      <c r="C84" s="43"/>
      <c r="D84" s="260"/>
      <c r="E84" s="261"/>
      <c r="F84" s="186"/>
      <c r="G84" s="186"/>
      <c r="H84" s="80"/>
      <c r="I84" s="89"/>
      <c r="J84" s="92"/>
      <c r="K84" s="105"/>
      <c r="L84" s="76"/>
      <c r="M84" s="176"/>
      <c r="N84" s="176"/>
      <c r="O84" s="176"/>
      <c r="P84" s="137" t="str">
        <f t="shared" si="25"/>
        <v>-</v>
      </c>
    </row>
    <row r="85" spans="1:16" ht="30" customHeight="1" x14ac:dyDescent="0.2">
      <c r="B85" s="45"/>
      <c r="C85" s="43"/>
      <c r="D85" s="260"/>
      <c r="E85" s="261"/>
      <c r="F85" s="186"/>
      <c r="G85" s="186"/>
      <c r="H85" s="80"/>
      <c r="I85" s="89"/>
      <c r="J85" s="92"/>
      <c r="K85" s="105"/>
      <c r="L85" s="76"/>
      <c r="M85" s="176"/>
      <c r="N85" s="176"/>
      <c r="O85" s="176"/>
      <c r="P85" s="137" t="str">
        <f t="shared" si="25"/>
        <v>-</v>
      </c>
    </row>
    <row r="86" spans="1:16" ht="30" customHeight="1" x14ac:dyDescent="0.2">
      <c r="B86" s="45"/>
      <c r="C86" s="42"/>
      <c r="D86" s="260"/>
      <c r="E86" s="261"/>
      <c r="F86" s="186"/>
      <c r="G86" s="186"/>
      <c r="H86" s="80"/>
      <c r="I86" s="89"/>
      <c r="J86" s="92"/>
      <c r="K86" s="105"/>
      <c r="L86" s="76"/>
      <c r="M86" s="176"/>
      <c r="N86" s="176"/>
      <c r="O86" s="176"/>
      <c r="P86" s="137" t="str">
        <f t="shared" si="25"/>
        <v>-</v>
      </c>
    </row>
    <row r="87" spans="1:16" ht="30" customHeight="1" x14ac:dyDescent="0.2">
      <c r="B87" s="45"/>
      <c r="C87" s="43"/>
      <c r="D87" s="260"/>
      <c r="E87" s="261"/>
      <c r="F87" s="186"/>
      <c r="G87" s="186"/>
      <c r="H87" s="80"/>
      <c r="I87" s="89"/>
      <c r="J87" s="92"/>
      <c r="K87" s="105"/>
      <c r="L87" s="76"/>
      <c r="M87" s="176"/>
      <c r="N87" s="176"/>
      <c r="O87" s="176"/>
      <c r="P87" s="137" t="str">
        <f t="shared" ref="P87:P97" si="26">IF(H87="","-",IF(K87="","",K87))</f>
        <v>-</v>
      </c>
    </row>
    <row r="88" spans="1:16" ht="30" customHeight="1" x14ac:dyDescent="0.2">
      <c r="B88" s="45"/>
      <c r="C88" s="43"/>
      <c r="D88" s="260"/>
      <c r="E88" s="261"/>
      <c r="F88" s="186"/>
      <c r="G88" s="186"/>
      <c r="H88" s="80"/>
      <c r="I88" s="89"/>
      <c r="J88" s="92"/>
      <c r="K88" s="105"/>
      <c r="L88" s="76"/>
      <c r="M88" s="176"/>
      <c r="N88" s="176"/>
      <c r="O88" s="176"/>
      <c r="P88" s="137" t="str">
        <f t="shared" si="26"/>
        <v>-</v>
      </c>
    </row>
    <row r="89" spans="1:16" ht="30" customHeight="1" x14ac:dyDescent="0.2">
      <c r="B89" s="45"/>
      <c r="C89" s="43"/>
      <c r="D89" s="260"/>
      <c r="E89" s="261"/>
      <c r="F89" s="186"/>
      <c r="G89" s="186"/>
      <c r="H89" s="80"/>
      <c r="I89" s="89"/>
      <c r="J89" s="92"/>
      <c r="K89" s="105"/>
      <c r="L89" s="76"/>
      <c r="M89" s="176"/>
      <c r="N89" s="176"/>
      <c r="O89" s="176"/>
      <c r="P89" s="137" t="str">
        <f t="shared" si="26"/>
        <v>-</v>
      </c>
    </row>
    <row r="90" spans="1:16" ht="30" customHeight="1" x14ac:dyDescent="0.2">
      <c r="B90" s="45"/>
      <c r="C90" s="43"/>
      <c r="D90" s="260"/>
      <c r="E90" s="261"/>
      <c r="F90" s="186"/>
      <c r="G90" s="186"/>
      <c r="H90" s="80"/>
      <c r="I90" s="89"/>
      <c r="J90" s="92"/>
      <c r="K90" s="105"/>
      <c r="L90" s="76"/>
      <c r="M90" s="176"/>
      <c r="N90" s="176"/>
      <c r="O90" s="176"/>
      <c r="P90" s="137" t="str">
        <f t="shared" si="26"/>
        <v>-</v>
      </c>
    </row>
    <row r="91" spans="1:16" ht="30" customHeight="1" x14ac:dyDescent="0.2">
      <c r="B91" s="45"/>
      <c r="C91" s="43"/>
      <c r="D91" s="260"/>
      <c r="E91" s="261"/>
      <c r="F91" s="186"/>
      <c r="G91" s="186"/>
      <c r="H91" s="80"/>
      <c r="I91" s="89"/>
      <c r="J91" s="92"/>
      <c r="K91" s="105"/>
      <c r="L91" s="76"/>
      <c r="M91" s="176"/>
      <c r="N91" s="176"/>
      <c r="O91" s="176"/>
      <c r="P91" s="137" t="str">
        <f t="shared" si="26"/>
        <v>-</v>
      </c>
    </row>
    <row r="92" spans="1:16" ht="30" customHeight="1" x14ac:dyDescent="0.2">
      <c r="B92" s="45"/>
      <c r="C92" s="43"/>
      <c r="D92" s="260"/>
      <c r="E92" s="261"/>
      <c r="F92" s="186"/>
      <c r="G92" s="186"/>
      <c r="H92" s="80"/>
      <c r="I92" s="89"/>
      <c r="J92" s="92"/>
      <c r="K92" s="105"/>
      <c r="L92" s="76"/>
      <c r="M92" s="176"/>
      <c r="N92" s="176"/>
      <c r="O92" s="176"/>
      <c r="P92" s="137" t="str">
        <f t="shared" si="26"/>
        <v>-</v>
      </c>
    </row>
    <row r="93" spans="1:16" ht="30" customHeight="1" x14ac:dyDescent="0.2">
      <c r="B93" s="45"/>
      <c r="C93" s="43"/>
      <c r="D93" s="260"/>
      <c r="E93" s="261"/>
      <c r="F93" s="186"/>
      <c r="G93" s="186"/>
      <c r="H93" s="80"/>
      <c r="I93" s="89"/>
      <c r="J93" s="92"/>
      <c r="K93" s="105"/>
      <c r="L93" s="76"/>
      <c r="M93" s="176"/>
      <c r="N93" s="176"/>
      <c r="O93" s="176"/>
      <c r="P93" s="137" t="str">
        <f t="shared" si="26"/>
        <v>-</v>
      </c>
    </row>
    <row r="94" spans="1:16" ht="30" customHeight="1" x14ac:dyDescent="0.2">
      <c r="B94" s="45"/>
      <c r="C94" s="43"/>
      <c r="D94" s="260"/>
      <c r="E94" s="261"/>
      <c r="F94" s="186"/>
      <c r="G94" s="186"/>
      <c r="H94" s="80"/>
      <c r="I94" s="89"/>
      <c r="J94" s="92"/>
      <c r="K94" s="105"/>
      <c r="L94" s="76"/>
      <c r="M94" s="176"/>
      <c r="N94" s="176"/>
      <c r="O94" s="176"/>
      <c r="P94" s="137" t="str">
        <f t="shared" si="26"/>
        <v>-</v>
      </c>
    </row>
    <row r="95" spans="1:16" ht="30" customHeight="1" x14ac:dyDescent="0.2">
      <c r="B95" s="97"/>
      <c r="C95" s="96"/>
      <c r="D95" s="264"/>
      <c r="E95" s="277"/>
      <c r="F95" s="277"/>
      <c r="G95" s="277"/>
      <c r="H95" s="97"/>
      <c r="I95" s="88"/>
      <c r="J95" s="88"/>
      <c r="K95" s="105"/>
      <c r="L95" s="76"/>
      <c r="M95" s="176"/>
      <c r="N95" s="176"/>
      <c r="O95" s="176"/>
      <c r="P95" s="137" t="str">
        <f t="shared" si="26"/>
        <v>-</v>
      </c>
    </row>
    <row r="96" spans="1:16" ht="30" customHeight="1" x14ac:dyDescent="0.2">
      <c r="B96" s="45"/>
      <c r="C96" s="43"/>
      <c r="D96" s="275"/>
      <c r="E96" s="276"/>
      <c r="F96" s="191"/>
      <c r="G96" s="191"/>
      <c r="H96" s="80"/>
      <c r="I96" s="89"/>
      <c r="J96" s="92"/>
      <c r="K96" s="105"/>
      <c r="L96" s="76"/>
      <c r="M96" s="176"/>
      <c r="N96" s="176"/>
      <c r="O96" s="176"/>
      <c r="P96" s="137" t="str">
        <f t="shared" si="26"/>
        <v>-</v>
      </c>
    </row>
    <row r="97" spans="2:16" ht="30" customHeight="1" x14ac:dyDescent="0.2">
      <c r="B97" s="45"/>
      <c r="C97" s="43"/>
      <c r="D97" s="260"/>
      <c r="E97" s="261"/>
      <c r="F97" s="186"/>
      <c r="G97" s="186"/>
      <c r="H97" s="80"/>
      <c r="I97" s="89"/>
      <c r="J97" s="92"/>
      <c r="K97" s="105"/>
      <c r="L97" s="76"/>
      <c r="M97" s="176"/>
      <c r="N97" s="176"/>
      <c r="O97" s="176"/>
      <c r="P97" s="137" t="str">
        <f t="shared" si="26"/>
        <v>-</v>
      </c>
    </row>
    <row r="98" spans="2:16" ht="30" customHeight="1" x14ac:dyDescent="0.2">
      <c r="B98" s="45"/>
      <c r="C98" s="43"/>
      <c r="D98" s="260"/>
      <c r="E98" s="261"/>
      <c r="F98" s="186"/>
      <c r="G98" s="186"/>
      <c r="H98" s="80"/>
      <c r="I98" s="89"/>
      <c r="J98" s="92"/>
      <c r="K98" s="105"/>
      <c r="L98" s="76"/>
      <c r="M98" s="176"/>
      <c r="N98" s="176"/>
      <c r="O98" s="176"/>
      <c r="P98" s="137" t="str">
        <f t="shared" ref="P98:P157" si="27">IF(H98="","-",IF(K98="","",K98))</f>
        <v>-</v>
      </c>
    </row>
    <row r="99" spans="2:16" ht="30" customHeight="1" x14ac:dyDescent="0.2">
      <c r="B99" s="45"/>
      <c r="C99" s="42"/>
      <c r="D99" s="260"/>
      <c r="E99" s="261"/>
      <c r="F99" s="186"/>
      <c r="G99" s="186"/>
      <c r="H99" s="80"/>
      <c r="I99" s="89"/>
      <c r="J99" s="92"/>
      <c r="K99" s="105"/>
      <c r="L99" s="76"/>
      <c r="M99" s="176"/>
      <c r="N99" s="176"/>
      <c r="O99" s="176"/>
      <c r="P99" s="137" t="str">
        <f t="shared" si="27"/>
        <v>-</v>
      </c>
    </row>
    <row r="100" spans="2:16" ht="30" customHeight="1" x14ac:dyDescent="0.2">
      <c r="B100" s="45"/>
      <c r="C100" s="43"/>
      <c r="D100" s="260"/>
      <c r="E100" s="261"/>
      <c r="F100" s="186"/>
      <c r="G100" s="186"/>
      <c r="H100" s="80"/>
      <c r="I100" s="89"/>
      <c r="J100" s="92"/>
      <c r="K100" s="105"/>
      <c r="L100" s="76"/>
      <c r="M100" s="176"/>
      <c r="N100" s="176"/>
      <c r="O100" s="176"/>
      <c r="P100" s="137" t="str">
        <f t="shared" si="27"/>
        <v>-</v>
      </c>
    </row>
    <row r="101" spans="2:16" ht="30" customHeight="1" x14ac:dyDescent="0.2">
      <c r="B101" s="45"/>
      <c r="C101" s="43"/>
      <c r="D101" s="260"/>
      <c r="E101" s="261"/>
      <c r="F101" s="186"/>
      <c r="G101" s="186"/>
      <c r="H101" s="80"/>
      <c r="I101" s="89"/>
      <c r="J101" s="92"/>
      <c r="K101" s="105"/>
      <c r="L101" s="76"/>
      <c r="M101" s="176"/>
      <c r="N101" s="176"/>
      <c r="O101" s="176"/>
      <c r="P101" s="137" t="str">
        <f t="shared" si="27"/>
        <v>-</v>
      </c>
    </row>
    <row r="102" spans="2:16" ht="30" customHeight="1" x14ac:dyDescent="0.2">
      <c r="B102" s="45"/>
      <c r="C102" s="43"/>
      <c r="D102" s="260"/>
      <c r="E102" s="261"/>
      <c r="F102" s="186"/>
      <c r="G102" s="186"/>
      <c r="H102" s="80"/>
      <c r="I102" s="89"/>
      <c r="J102" s="92"/>
      <c r="K102" s="105"/>
      <c r="L102" s="76"/>
      <c r="M102" s="176"/>
      <c r="N102" s="176"/>
      <c r="O102" s="176"/>
      <c r="P102" s="137" t="str">
        <f t="shared" si="27"/>
        <v>-</v>
      </c>
    </row>
    <row r="103" spans="2:16" ht="30" customHeight="1" x14ac:dyDescent="0.2">
      <c r="B103" s="45"/>
      <c r="C103" s="43"/>
      <c r="D103" s="260"/>
      <c r="E103" s="261"/>
      <c r="F103" s="186"/>
      <c r="G103" s="186"/>
      <c r="H103" s="80"/>
      <c r="I103" s="89"/>
      <c r="J103" s="92"/>
      <c r="K103" s="105"/>
      <c r="L103" s="76"/>
      <c r="M103" s="176"/>
      <c r="N103" s="176"/>
      <c r="O103" s="176"/>
      <c r="P103" s="137" t="str">
        <f t="shared" si="27"/>
        <v>-</v>
      </c>
    </row>
    <row r="104" spans="2:16" ht="30" customHeight="1" x14ac:dyDescent="0.2">
      <c r="B104" s="45"/>
      <c r="C104" s="43"/>
      <c r="D104" s="260"/>
      <c r="E104" s="261"/>
      <c r="F104" s="186"/>
      <c r="G104" s="186"/>
      <c r="H104" s="80"/>
      <c r="I104" s="89"/>
      <c r="J104" s="92"/>
      <c r="K104" s="105"/>
      <c r="L104" s="76"/>
      <c r="M104" s="176"/>
      <c r="N104" s="176"/>
      <c r="O104" s="176"/>
      <c r="P104" s="137" t="str">
        <f t="shared" si="27"/>
        <v>-</v>
      </c>
    </row>
    <row r="105" spans="2:16" ht="30" customHeight="1" x14ac:dyDescent="0.2">
      <c r="B105" s="45"/>
      <c r="C105" s="43"/>
      <c r="D105" s="260"/>
      <c r="E105" s="261"/>
      <c r="F105" s="186"/>
      <c r="G105" s="186"/>
      <c r="H105" s="80"/>
      <c r="I105" s="89"/>
      <c r="J105" s="92"/>
      <c r="K105" s="105"/>
      <c r="L105" s="76"/>
      <c r="M105" s="176"/>
      <c r="N105" s="176"/>
      <c r="O105" s="176"/>
      <c r="P105" s="137" t="str">
        <f t="shared" si="27"/>
        <v>-</v>
      </c>
    </row>
    <row r="106" spans="2:16" ht="30" customHeight="1" x14ac:dyDescent="0.2">
      <c r="B106" s="45"/>
      <c r="C106" s="43"/>
      <c r="D106" s="260"/>
      <c r="E106" s="261"/>
      <c r="F106" s="186"/>
      <c r="G106" s="186"/>
      <c r="H106" s="80"/>
      <c r="I106" s="89"/>
      <c r="J106" s="92"/>
      <c r="K106" s="105"/>
      <c r="L106" s="76"/>
      <c r="M106" s="176"/>
      <c r="N106" s="176"/>
      <c r="O106" s="176"/>
      <c r="P106" s="137" t="str">
        <f t="shared" si="27"/>
        <v>-</v>
      </c>
    </row>
    <row r="107" spans="2:16" ht="30" customHeight="1" x14ac:dyDescent="0.2">
      <c r="B107" s="45"/>
      <c r="C107" s="43"/>
      <c r="D107" s="260"/>
      <c r="E107" s="261"/>
      <c r="F107" s="186"/>
      <c r="G107" s="186"/>
      <c r="H107" s="80"/>
      <c r="I107" s="89"/>
      <c r="J107" s="92"/>
      <c r="K107" s="105"/>
      <c r="L107" s="76"/>
      <c r="M107" s="176"/>
      <c r="N107" s="176"/>
      <c r="O107" s="176"/>
      <c r="P107" s="137" t="str">
        <f t="shared" si="27"/>
        <v>-</v>
      </c>
    </row>
    <row r="108" spans="2:16" ht="30" customHeight="1" x14ac:dyDescent="0.2">
      <c r="B108" s="97"/>
      <c r="C108" s="96"/>
      <c r="D108" s="264"/>
      <c r="E108" s="277"/>
      <c r="F108" s="277"/>
      <c r="G108" s="277"/>
      <c r="H108" s="97"/>
      <c r="I108" s="88"/>
      <c r="J108" s="88"/>
      <c r="K108" s="105"/>
      <c r="L108" s="76"/>
      <c r="M108" s="176"/>
      <c r="N108" s="176"/>
      <c r="O108" s="176"/>
      <c r="P108" s="137" t="str">
        <f t="shared" si="27"/>
        <v>-</v>
      </c>
    </row>
    <row r="109" spans="2:16" ht="30" customHeight="1" x14ac:dyDescent="0.2">
      <c r="B109" s="45"/>
      <c r="C109" s="43"/>
      <c r="D109" s="275"/>
      <c r="E109" s="276"/>
      <c r="F109" s="191"/>
      <c r="G109" s="191"/>
      <c r="H109" s="80"/>
      <c r="I109" s="89"/>
      <c r="J109" s="92"/>
      <c r="K109" s="105"/>
      <c r="L109" s="76"/>
      <c r="M109" s="176"/>
      <c r="N109" s="176"/>
      <c r="O109" s="176"/>
      <c r="P109" s="137" t="str">
        <f t="shared" si="27"/>
        <v>-</v>
      </c>
    </row>
    <row r="110" spans="2:16" ht="30" customHeight="1" x14ac:dyDescent="0.2">
      <c r="B110" s="45"/>
      <c r="C110" s="43"/>
      <c r="D110" s="260"/>
      <c r="E110" s="261"/>
      <c r="F110" s="186"/>
      <c r="G110" s="186"/>
      <c r="H110" s="80"/>
      <c r="I110" s="89"/>
      <c r="J110" s="92"/>
      <c r="K110" s="105"/>
      <c r="L110" s="76"/>
      <c r="M110" s="176"/>
      <c r="N110" s="176"/>
      <c r="O110" s="176"/>
      <c r="P110" s="137" t="str">
        <f t="shared" si="27"/>
        <v>-</v>
      </c>
    </row>
    <row r="111" spans="2:16" ht="30" customHeight="1" x14ac:dyDescent="0.2">
      <c r="B111" s="45"/>
      <c r="C111" s="43"/>
      <c r="D111" s="260"/>
      <c r="E111" s="261"/>
      <c r="F111" s="186"/>
      <c r="G111" s="186"/>
      <c r="H111" s="80"/>
      <c r="I111" s="89"/>
      <c r="J111" s="92"/>
      <c r="K111" s="105"/>
      <c r="L111" s="76"/>
      <c r="M111" s="176"/>
      <c r="N111" s="176"/>
      <c r="O111" s="176"/>
      <c r="P111" s="137" t="str">
        <f t="shared" si="27"/>
        <v>-</v>
      </c>
    </row>
    <row r="112" spans="2:16" ht="30" customHeight="1" x14ac:dyDescent="0.2">
      <c r="B112" s="45"/>
      <c r="C112" s="42"/>
      <c r="D112" s="260"/>
      <c r="E112" s="261"/>
      <c r="F112" s="186"/>
      <c r="G112" s="186"/>
      <c r="H112" s="80"/>
      <c r="I112" s="89"/>
      <c r="J112" s="92"/>
      <c r="K112" s="105"/>
      <c r="L112" s="76"/>
      <c r="M112" s="176"/>
      <c r="N112" s="176"/>
      <c r="O112" s="176"/>
      <c r="P112" s="137" t="str">
        <f t="shared" si="27"/>
        <v>-</v>
      </c>
    </row>
    <row r="113" spans="2:16" ht="30" customHeight="1" x14ac:dyDescent="0.2">
      <c r="B113" s="45"/>
      <c r="C113" s="43"/>
      <c r="D113" s="260"/>
      <c r="E113" s="261"/>
      <c r="F113" s="186"/>
      <c r="G113" s="186"/>
      <c r="H113" s="80"/>
      <c r="I113" s="89"/>
      <c r="J113" s="92"/>
      <c r="K113" s="105"/>
      <c r="L113" s="76"/>
      <c r="M113" s="176"/>
      <c r="N113" s="176"/>
      <c r="O113" s="176"/>
      <c r="P113" s="137" t="str">
        <f t="shared" si="27"/>
        <v>-</v>
      </c>
    </row>
    <row r="114" spans="2:16" ht="30" customHeight="1" x14ac:dyDescent="0.2">
      <c r="B114" s="45"/>
      <c r="C114" s="43"/>
      <c r="D114" s="260"/>
      <c r="E114" s="261"/>
      <c r="F114" s="186"/>
      <c r="G114" s="186"/>
      <c r="H114" s="80"/>
      <c r="I114" s="89"/>
      <c r="J114" s="92"/>
      <c r="K114" s="105"/>
      <c r="L114" s="76"/>
      <c r="M114" s="176"/>
      <c r="N114" s="176"/>
      <c r="O114" s="176"/>
      <c r="P114" s="137" t="str">
        <f t="shared" si="27"/>
        <v>-</v>
      </c>
    </row>
    <row r="115" spans="2:16" ht="30" customHeight="1" x14ac:dyDescent="0.2">
      <c r="B115" s="45"/>
      <c r="C115" s="43"/>
      <c r="D115" s="260"/>
      <c r="E115" s="261"/>
      <c r="F115" s="186"/>
      <c r="G115" s="186"/>
      <c r="H115" s="80"/>
      <c r="I115" s="89"/>
      <c r="J115" s="92"/>
      <c r="K115" s="105"/>
      <c r="L115" s="76"/>
      <c r="M115" s="176"/>
      <c r="N115" s="176"/>
      <c r="O115" s="176"/>
      <c r="P115" s="137" t="str">
        <f t="shared" si="27"/>
        <v>-</v>
      </c>
    </row>
    <row r="116" spans="2:16" ht="30" customHeight="1" x14ac:dyDescent="0.2">
      <c r="B116" s="45"/>
      <c r="C116" s="43"/>
      <c r="D116" s="260"/>
      <c r="E116" s="261"/>
      <c r="F116" s="186"/>
      <c r="G116" s="186"/>
      <c r="H116" s="80"/>
      <c r="I116" s="89"/>
      <c r="J116" s="92"/>
      <c r="K116" s="105"/>
      <c r="L116" s="76"/>
      <c r="M116" s="176"/>
      <c r="N116" s="176"/>
      <c r="O116" s="176"/>
      <c r="P116" s="137" t="str">
        <f t="shared" si="27"/>
        <v>-</v>
      </c>
    </row>
    <row r="117" spans="2:16" ht="30" customHeight="1" x14ac:dyDescent="0.2">
      <c r="B117" s="45"/>
      <c r="C117" s="43"/>
      <c r="D117" s="260"/>
      <c r="E117" s="261"/>
      <c r="F117" s="186"/>
      <c r="G117" s="186"/>
      <c r="H117" s="80"/>
      <c r="I117" s="89"/>
      <c r="J117" s="92"/>
      <c r="K117" s="105"/>
      <c r="L117" s="76"/>
      <c r="M117" s="176"/>
      <c r="N117" s="176"/>
      <c r="O117" s="176"/>
      <c r="P117" s="137" t="str">
        <f t="shared" si="27"/>
        <v>-</v>
      </c>
    </row>
    <row r="118" spans="2:16" ht="30" customHeight="1" x14ac:dyDescent="0.2">
      <c r="B118" s="45"/>
      <c r="C118" s="43"/>
      <c r="D118" s="260"/>
      <c r="E118" s="261"/>
      <c r="F118" s="186"/>
      <c r="G118" s="186"/>
      <c r="H118" s="80"/>
      <c r="I118" s="89"/>
      <c r="J118" s="92"/>
      <c r="K118" s="105"/>
      <c r="L118" s="76"/>
      <c r="M118" s="176"/>
      <c r="N118" s="176"/>
      <c r="O118" s="176"/>
      <c r="P118" s="137" t="str">
        <f t="shared" si="27"/>
        <v>-</v>
      </c>
    </row>
    <row r="119" spans="2:16" ht="30" customHeight="1" x14ac:dyDescent="0.2">
      <c r="B119" s="45"/>
      <c r="C119" s="43"/>
      <c r="D119" s="260"/>
      <c r="E119" s="261"/>
      <c r="F119" s="186"/>
      <c r="G119" s="186"/>
      <c r="H119" s="80"/>
      <c r="I119" s="89"/>
      <c r="J119" s="92"/>
      <c r="K119" s="105"/>
      <c r="L119" s="76"/>
      <c r="M119" s="176"/>
      <c r="N119" s="176"/>
      <c r="O119" s="176"/>
      <c r="P119" s="137" t="str">
        <f t="shared" si="27"/>
        <v>-</v>
      </c>
    </row>
    <row r="120" spans="2:16" ht="30" customHeight="1" x14ac:dyDescent="0.2">
      <c r="B120" s="45"/>
      <c r="C120" s="43"/>
      <c r="D120" s="260"/>
      <c r="E120" s="261"/>
      <c r="F120" s="186"/>
      <c r="G120" s="186"/>
      <c r="H120" s="80"/>
      <c r="I120" s="89"/>
      <c r="J120" s="92"/>
      <c r="K120" s="105"/>
      <c r="L120" s="76"/>
      <c r="M120" s="176"/>
      <c r="N120" s="176"/>
      <c r="O120" s="176"/>
      <c r="P120" s="137" t="str">
        <f t="shared" si="27"/>
        <v>-</v>
      </c>
    </row>
    <row r="121" spans="2:16" ht="30" customHeight="1" x14ac:dyDescent="0.2">
      <c r="B121" s="97"/>
      <c r="C121" s="96"/>
      <c r="D121" s="264"/>
      <c r="E121" s="277"/>
      <c r="F121" s="277"/>
      <c r="G121" s="277"/>
      <c r="H121" s="97"/>
      <c r="I121" s="88"/>
      <c r="J121" s="88"/>
      <c r="K121" s="105"/>
      <c r="L121" s="76"/>
      <c r="M121" s="176"/>
      <c r="N121" s="176"/>
      <c r="O121" s="176"/>
      <c r="P121" s="137" t="str">
        <f t="shared" si="27"/>
        <v>-</v>
      </c>
    </row>
    <row r="122" spans="2:16" ht="30" customHeight="1" x14ac:dyDescent="0.2">
      <c r="B122" s="45"/>
      <c r="C122" s="43"/>
      <c r="D122" s="275"/>
      <c r="E122" s="276"/>
      <c r="F122" s="191"/>
      <c r="G122" s="191"/>
      <c r="H122" s="80"/>
      <c r="I122" s="89"/>
      <c r="J122" s="92"/>
      <c r="K122" s="105"/>
      <c r="L122" s="76"/>
      <c r="M122" s="176"/>
      <c r="N122" s="176"/>
      <c r="O122" s="176"/>
      <c r="P122" s="137" t="str">
        <f t="shared" si="27"/>
        <v>-</v>
      </c>
    </row>
    <row r="123" spans="2:16" ht="30" customHeight="1" x14ac:dyDescent="0.2">
      <c r="B123" s="45"/>
      <c r="C123" s="43"/>
      <c r="D123" s="260"/>
      <c r="E123" s="261"/>
      <c r="F123" s="186"/>
      <c r="G123" s="186"/>
      <c r="H123" s="80"/>
      <c r="I123" s="89"/>
      <c r="J123" s="92"/>
      <c r="K123" s="105"/>
      <c r="L123" s="76"/>
      <c r="M123" s="176"/>
      <c r="N123" s="176"/>
      <c r="O123" s="176"/>
      <c r="P123" s="137" t="str">
        <f t="shared" si="27"/>
        <v>-</v>
      </c>
    </row>
    <row r="124" spans="2:16" ht="30" customHeight="1" x14ac:dyDescent="0.2">
      <c r="B124" s="45"/>
      <c r="C124" s="43"/>
      <c r="D124" s="260"/>
      <c r="E124" s="261"/>
      <c r="F124" s="186"/>
      <c r="G124" s="186"/>
      <c r="H124" s="80"/>
      <c r="I124" s="89"/>
      <c r="J124" s="92"/>
      <c r="K124" s="105"/>
      <c r="L124" s="76"/>
      <c r="M124" s="176"/>
      <c r="N124" s="176"/>
      <c r="O124" s="176"/>
      <c r="P124" s="137" t="str">
        <f t="shared" si="27"/>
        <v>-</v>
      </c>
    </row>
    <row r="125" spans="2:16" ht="30" customHeight="1" x14ac:dyDescent="0.2">
      <c r="B125" s="45"/>
      <c r="C125" s="42"/>
      <c r="D125" s="260"/>
      <c r="E125" s="261"/>
      <c r="F125" s="186"/>
      <c r="G125" s="186"/>
      <c r="H125" s="80"/>
      <c r="I125" s="89"/>
      <c r="J125" s="92"/>
      <c r="K125" s="105"/>
      <c r="L125" s="76"/>
      <c r="M125" s="176"/>
      <c r="N125" s="176"/>
      <c r="O125" s="176"/>
      <c r="P125" s="137" t="str">
        <f t="shared" si="27"/>
        <v>-</v>
      </c>
    </row>
    <row r="126" spans="2:16" ht="30" customHeight="1" x14ac:dyDescent="0.2">
      <c r="B126" s="45"/>
      <c r="C126" s="43"/>
      <c r="D126" s="260"/>
      <c r="E126" s="261"/>
      <c r="F126" s="186"/>
      <c r="G126" s="186"/>
      <c r="H126" s="80"/>
      <c r="I126" s="89"/>
      <c r="J126" s="92"/>
      <c r="K126" s="105"/>
      <c r="L126" s="76"/>
      <c r="M126" s="176"/>
      <c r="N126" s="176"/>
      <c r="O126" s="176"/>
      <c r="P126" s="137" t="str">
        <f t="shared" si="27"/>
        <v>-</v>
      </c>
    </row>
    <row r="127" spans="2:16" ht="30" customHeight="1" x14ac:dyDescent="0.2">
      <c r="B127" s="45"/>
      <c r="C127" s="43"/>
      <c r="D127" s="260"/>
      <c r="E127" s="261"/>
      <c r="F127" s="186"/>
      <c r="G127" s="186"/>
      <c r="H127" s="80"/>
      <c r="I127" s="89"/>
      <c r="J127" s="92"/>
      <c r="K127" s="105"/>
      <c r="L127" s="76"/>
      <c r="M127" s="176"/>
      <c r="N127" s="176"/>
      <c r="O127" s="176"/>
      <c r="P127" s="137" t="str">
        <f t="shared" si="27"/>
        <v>-</v>
      </c>
    </row>
    <row r="128" spans="2:16" ht="30" customHeight="1" x14ac:dyDescent="0.2">
      <c r="B128" s="45"/>
      <c r="C128" s="43"/>
      <c r="D128" s="260"/>
      <c r="E128" s="261"/>
      <c r="F128" s="186"/>
      <c r="G128" s="186"/>
      <c r="H128" s="80"/>
      <c r="I128" s="89"/>
      <c r="J128" s="92"/>
      <c r="K128" s="105"/>
      <c r="L128" s="76"/>
      <c r="M128" s="176"/>
      <c r="N128" s="176"/>
      <c r="O128" s="176"/>
      <c r="P128" s="137" t="str">
        <f t="shared" si="27"/>
        <v>-</v>
      </c>
    </row>
    <row r="129" spans="1:16" ht="30" customHeight="1" x14ac:dyDescent="0.2">
      <c r="B129" s="45"/>
      <c r="C129" s="43"/>
      <c r="D129" s="260"/>
      <c r="E129" s="261"/>
      <c r="F129" s="186"/>
      <c r="G129" s="186"/>
      <c r="H129" s="80"/>
      <c r="I129" s="89"/>
      <c r="J129" s="92"/>
      <c r="K129" s="105"/>
      <c r="L129" s="76"/>
      <c r="M129" s="176"/>
      <c r="N129" s="176"/>
      <c r="O129" s="176"/>
      <c r="P129" s="137" t="str">
        <f t="shared" si="27"/>
        <v>-</v>
      </c>
    </row>
    <row r="130" spans="1:16" ht="30" customHeight="1" x14ac:dyDescent="0.2">
      <c r="B130" s="45"/>
      <c r="C130" s="43"/>
      <c r="D130" s="260"/>
      <c r="E130" s="261"/>
      <c r="F130" s="186"/>
      <c r="G130" s="186"/>
      <c r="H130" s="80"/>
      <c r="I130" s="89"/>
      <c r="J130" s="92"/>
      <c r="K130" s="105"/>
      <c r="L130" s="76"/>
      <c r="M130" s="176"/>
      <c r="N130" s="176"/>
      <c r="O130" s="176"/>
      <c r="P130" s="137" t="str">
        <f t="shared" si="27"/>
        <v>-</v>
      </c>
    </row>
    <row r="131" spans="1:16" ht="30" customHeight="1" x14ac:dyDescent="0.2">
      <c r="B131" s="45"/>
      <c r="C131" s="43"/>
      <c r="D131" s="260"/>
      <c r="E131" s="261"/>
      <c r="F131" s="186"/>
      <c r="G131" s="186"/>
      <c r="H131" s="80"/>
      <c r="I131" s="89"/>
      <c r="J131" s="92"/>
      <c r="K131" s="105"/>
      <c r="L131" s="76"/>
      <c r="M131" s="176"/>
      <c r="N131" s="176"/>
      <c r="O131" s="176"/>
      <c r="P131" s="137" t="str">
        <f t="shared" si="27"/>
        <v>-</v>
      </c>
    </row>
    <row r="132" spans="1:16" ht="30" customHeight="1" x14ac:dyDescent="0.2">
      <c r="B132" s="45"/>
      <c r="C132" s="43"/>
      <c r="D132" s="260"/>
      <c r="E132" s="261"/>
      <c r="F132" s="186"/>
      <c r="G132" s="186"/>
      <c r="H132" s="80"/>
      <c r="I132" s="89"/>
      <c r="J132" s="92"/>
      <c r="K132" s="105"/>
      <c r="L132" s="76"/>
      <c r="M132" s="176"/>
      <c r="N132" s="176"/>
      <c r="O132" s="176"/>
      <c r="P132" s="137" t="str">
        <f t="shared" si="27"/>
        <v>-</v>
      </c>
    </row>
    <row r="133" spans="1:16" ht="30" customHeight="1" x14ac:dyDescent="0.2">
      <c r="B133" s="45"/>
      <c r="C133" s="43"/>
      <c r="D133" s="260"/>
      <c r="E133" s="261"/>
      <c r="F133" s="186"/>
      <c r="G133" s="186"/>
      <c r="H133" s="80"/>
      <c r="I133" s="89"/>
      <c r="J133" s="92"/>
      <c r="K133" s="105"/>
      <c r="L133" s="76"/>
      <c r="M133" s="176"/>
      <c r="N133" s="176"/>
      <c r="O133" s="176"/>
      <c r="P133" s="137" t="str">
        <f t="shared" si="27"/>
        <v>-</v>
      </c>
    </row>
    <row r="134" spans="1:16" ht="30" customHeight="1" thickBot="1" x14ac:dyDescent="0.25">
      <c r="B134" s="100"/>
      <c r="C134" s="96"/>
      <c r="D134" s="292"/>
      <c r="E134" s="293"/>
      <c r="F134" s="293"/>
      <c r="G134" s="293"/>
      <c r="H134" s="79"/>
      <c r="I134" s="87"/>
      <c r="J134" s="87"/>
      <c r="K134" s="105"/>
      <c r="L134" s="76"/>
      <c r="M134" s="176"/>
      <c r="N134" s="176"/>
      <c r="O134" s="176"/>
      <c r="P134" s="137" t="str">
        <f t="shared" si="27"/>
        <v>-</v>
      </c>
    </row>
    <row r="135" spans="1:16" ht="30" customHeight="1" thickBot="1" x14ac:dyDescent="0.25">
      <c r="A135" s="41"/>
      <c r="B135" s="62"/>
      <c r="C135" s="45"/>
      <c r="D135" s="290"/>
      <c r="E135" s="294"/>
      <c r="F135" s="201"/>
      <c r="G135" s="201"/>
      <c r="H135" s="46"/>
      <c r="I135" s="46"/>
      <c r="J135" s="46"/>
      <c r="K135" s="91"/>
      <c r="L135" s="98"/>
      <c r="M135" s="177"/>
      <c r="N135" s="177"/>
      <c r="O135" s="177"/>
      <c r="P135" s="137" t="str">
        <f t="shared" si="27"/>
        <v>-</v>
      </c>
    </row>
    <row r="136" spans="1:16" ht="30" customHeight="1" x14ac:dyDescent="0.2">
      <c r="B136" s="62"/>
      <c r="C136" s="45"/>
      <c r="D136" s="297"/>
      <c r="E136" s="297"/>
      <c r="F136" s="82"/>
      <c r="G136" s="82"/>
      <c r="H136" s="46"/>
      <c r="I136" s="46"/>
      <c r="J136" s="46"/>
      <c r="K136" s="91"/>
      <c r="L136" s="98"/>
      <c r="M136" s="177"/>
      <c r="N136" s="177"/>
      <c r="O136" s="177"/>
      <c r="P136" s="137" t="str">
        <f t="shared" si="27"/>
        <v>-</v>
      </c>
    </row>
    <row r="137" spans="1:16" ht="30" customHeight="1" x14ac:dyDescent="0.2">
      <c r="B137" s="63"/>
      <c r="C137" s="118"/>
      <c r="D137" s="290"/>
      <c r="E137" s="294"/>
      <c r="F137" s="223"/>
      <c r="G137" s="71"/>
      <c r="H137" s="53"/>
      <c r="I137" s="53"/>
      <c r="J137" s="53"/>
      <c r="K137" s="106"/>
      <c r="L137" s="77"/>
      <c r="M137" s="178"/>
      <c r="N137" s="178"/>
      <c r="O137" s="178"/>
      <c r="P137" s="137" t="str">
        <f t="shared" si="27"/>
        <v>-</v>
      </c>
    </row>
    <row r="138" spans="1:16" ht="30" customHeight="1" x14ac:dyDescent="0.2">
      <c r="B138" s="97"/>
      <c r="C138" s="96"/>
      <c r="D138" s="289"/>
      <c r="E138" s="289"/>
      <c r="F138" s="199"/>
      <c r="G138" s="199"/>
      <c r="H138" s="199"/>
      <c r="I138" s="60"/>
      <c r="J138" s="188"/>
      <c r="K138" s="107"/>
      <c r="L138" s="98"/>
      <c r="M138" s="177"/>
      <c r="N138" s="177"/>
      <c r="O138" s="177"/>
      <c r="P138" s="137" t="str">
        <f t="shared" si="27"/>
        <v>-</v>
      </c>
    </row>
    <row r="139" spans="1:16" ht="30" customHeight="1" x14ac:dyDescent="0.2">
      <c r="B139" s="101"/>
      <c r="C139" s="50"/>
      <c r="D139" s="298"/>
      <c r="E139" s="299"/>
      <c r="F139" s="204"/>
      <c r="G139" s="204"/>
      <c r="H139" s="51"/>
      <c r="I139" s="61"/>
      <c r="J139" s="108"/>
      <c r="K139" s="107"/>
      <c r="L139" s="98"/>
      <c r="M139" s="177"/>
      <c r="N139" s="177"/>
      <c r="O139" s="177"/>
      <c r="P139" s="137" t="str">
        <f t="shared" si="27"/>
        <v>-</v>
      </c>
    </row>
    <row r="140" spans="1:16" ht="30" customHeight="1" x14ac:dyDescent="0.2">
      <c r="B140" s="81"/>
      <c r="C140" s="43"/>
      <c r="D140" s="287"/>
      <c r="E140" s="288"/>
      <c r="F140" s="198"/>
      <c r="G140" s="198"/>
      <c r="H140" s="81"/>
      <c r="I140" s="81"/>
      <c r="J140" s="45"/>
      <c r="K140" s="91"/>
      <c r="L140" s="98"/>
      <c r="M140" s="177"/>
      <c r="N140" s="177"/>
      <c r="O140" s="177"/>
      <c r="P140" s="137" t="str">
        <f t="shared" si="27"/>
        <v>-</v>
      </c>
    </row>
    <row r="141" spans="1:16" ht="30" customHeight="1" x14ac:dyDescent="0.2">
      <c r="B141" s="81"/>
      <c r="C141" s="42"/>
      <c r="D141" s="290"/>
      <c r="E141" s="294"/>
      <c r="F141" s="201"/>
      <c r="G141" s="201"/>
      <c r="H141" s="82"/>
      <c r="I141" s="82"/>
      <c r="J141" s="45"/>
      <c r="K141" s="91"/>
      <c r="L141" s="98"/>
      <c r="M141" s="177"/>
      <c r="N141" s="177"/>
      <c r="O141" s="177"/>
      <c r="P141" s="137" t="str">
        <f t="shared" si="27"/>
        <v>-</v>
      </c>
    </row>
    <row r="142" spans="1:16" ht="30" customHeight="1" x14ac:dyDescent="0.2">
      <c r="B142" s="81"/>
      <c r="C142" s="43"/>
      <c r="D142" s="287"/>
      <c r="E142" s="288"/>
      <c r="F142" s="198"/>
      <c r="G142" s="198"/>
      <c r="H142" s="81"/>
      <c r="I142" s="81"/>
      <c r="J142" s="45"/>
      <c r="K142" s="91"/>
      <c r="L142" s="98"/>
      <c r="M142" s="177"/>
      <c r="N142" s="177"/>
      <c r="O142" s="177"/>
      <c r="P142" s="137" t="str">
        <f t="shared" si="27"/>
        <v>-</v>
      </c>
    </row>
    <row r="143" spans="1:16" ht="30" customHeight="1" x14ac:dyDescent="0.2">
      <c r="B143" s="81"/>
      <c r="C143" s="43"/>
      <c r="D143" s="287"/>
      <c r="E143" s="288"/>
      <c r="F143" s="198"/>
      <c r="G143" s="198"/>
      <c r="H143" s="82"/>
      <c r="I143" s="82"/>
      <c r="J143" s="45"/>
      <c r="K143" s="91"/>
      <c r="L143" s="98"/>
      <c r="M143" s="177"/>
      <c r="N143" s="177"/>
      <c r="O143" s="177"/>
      <c r="P143" s="137" t="str">
        <f t="shared" si="27"/>
        <v>-</v>
      </c>
    </row>
    <row r="144" spans="1:16" ht="30" customHeight="1" x14ac:dyDescent="0.2">
      <c r="B144" s="81"/>
      <c r="C144" s="43"/>
      <c r="D144" s="275"/>
      <c r="E144" s="276"/>
      <c r="F144" s="191"/>
      <c r="G144" s="191"/>
      <c r="H144" s="81"/>
      <c r="I144" s="81"/>
      <c r="J144" s="45"/>
      <c r="K144" s="91"/>
      <c r="L144" s="98"/>
      <c r="M144" s="177"/>
      <c r="N144" s="177"/>
      <c r="O144" s="177"/>
      <c r="P144" s="137" t="str">
        <f t="shared" si="27"/>
        <v>-</v>
      </c>
    </row>
    <row r="145" spans="2:16" ht="30" customHeight="1" x14ac:dyDescent="0.2">
      <c r="B145" s="81"/>
      <c r="C145" s="43"/>
      <c r="D145" s="287"/>
      <c r="E145" s="288"/>
      <c r="F145" s="198"/>
      <c r="G145" s="198"/>
      <c r="H145" s="82"/>
      <c r="I145" s="82"/>
      <c r="J145" s="45"/>
      <c r="K145" s="91"/>
      <c r="L145" s="98"/>
      <c r="M145" s="177"/>
      <c r="N145" s="177"/>
      <c r="O145" s="177"/>
      <c r="P145" s="137" t="str">
        <f t="shared" si="27"/>
        <v>-</v>
      </c>
    </row>
    <row r="146" spans="2:16" ht="30" customHeight="1" x14ac:dyDescent="0.2">
      <c r="B146" s="81"/>
      <c r="C146" s="43"/>
      <c r="D146" s="275"/>
      <c r="E146" s="276"/>
      <c r="F146" s="191"/>
      <c r="G146" s="191"/>
      <c r="H146" s="81"/>
      <c r="I146" s="81"/>
      <c r="J146" s="45"/>
      <c r="K146" s="91"/>
      <c r="L146" s="98"/>
      <c r="M146" s="177"/>
      <c r="N146" s="177"/>
      <c r="O146" s="177"/>
      <c r="P146" s="137" t="str">
        <f t="shared" si="27"/>
        <v>-</v>
      </c>
    </row>
    <row r="147" spans="2:16" ht="30" customHeight="1" x14ac:dyDescent="0.2">
      <c r="B147" s="81"/>
      <c r="C147" s="43"/>
      <c r="D147" s="287"/>
      <c r="E147" s="288"/>
      <c r="F147" s="198"/>
      <c r="G147" s="198"/>
      <c r="H147" s="82"/>
      <c r="I147" s="82"/>
      <c r="J147" s="45"/>
      <c r="K147" s="91"/>
      <c r="L147" s="98"/>
      <c r="M147" s="177"/>
      <c r="N147" s="177"/>
      <c r="O147" s="177"/>
      <c r="P147" s="137" t="str">
        <f t="shared" si="27"/>
        <v>-</v>
      </c>
    </row>
    <row r="148" spans="2:16" ht="30" customHeight="1" x14ac:dyDescent="0.2">
      <c r="B148" s="81"/>
      <c r="C148" s="43"/>
      <c r="D148" s="287"/>
      <c r="E148" s="288"/>
      <c r="F148" s="198"/>
      <c r="G148" s="198"/>
      <c r="H148" s="81"/>
      <c r="I148" s="81"/>
      <c r="J148" s="45"/>
      <c r="K148" s="91"/>
      <c r="L148" s="98"/>
      <c r="M148" s="177"/>
      <c r="N148" s="177"/>
      <c r="O148" s="177"/>
      <c r="P148" s="137" t="str">
        <f t="shared" si="27"/>
        <v>-</v>
      </c>
    </row>
    <row r="149" spans="2:16" ht="30" customHeight="1" x14ac:dyDescent="0.2">
      <c r="B149" s="81"/>
      <c r="C149" s="43"/>
      <c r="D149" s="287"/>
      <c r="E149" s="288"/>
      <c r="F149" s="198"/>
      <c r="G149" s="198"/>
      <c r="H149" s="81"/>
      <c r="I149" s="81"/>
      <c r="J149" s="45"/>
      <c r="K149" s="91"/>
      <c r="L149" s="98"/>
      <c r="M149" s="177"/>
      <c r="N149" s="177"/>
      <c r="O149" s="177"/>
      <c r="P149" s="137" t="str">
        <f t="shared" si="27"/>
        <v>-</v>
      </c>
    </row>
    <row r="150" spans="2:16" ht="30" customHeight="1" x14ac:dyDescent="0.2">
      <c r="B150" s="81"/>
      <c r="C150" s="43"/>
      <c r="D150" s="287"/>
      <c r="E150" s="288"/>
      <c r="F150" s="198"/>
      <c r="G150" s="198"/>
      <c r="H150" s="81"/>
      <c r="I150" s="81"/>
      <c r="J150" s="45"/>
      <c r="K150" s="91"/>
      <c r="L150" s="98"/>
      <c r="M150" s="177"/>
      <c r="N150" s="177"/>
      <c r="O150" s="177"/>
      <c r="P150" s="137" t="str">
        <f t="shared" si="27"/>
        <v>-</v>
      </c>
    </row>
    <row r="151" spans="2:16" ht="30" customHeight="1" x14ac:dyDescent="0.2">
      <c r="B151" s="81"/>
      <c r="C151" s="43"/>
      <c r="D151" s="287"/>
      <c r="E151" s="288"/>
      <c r="F151" s="198"/>
      <c r="G151" s="198"/>
      <c r="H151" s="81"/>
      <c r="I151" s="81"/>
      <c r="J151" s="45"/>
      <c r="K151" s="91"/>
      <c r="L151" s="98"/>
      <c r="M151" s="177"/>
      <c r="N151" s="177"/>
      <c r="O151" s="177"/>
      <c r="P151" s="137" t="str">
        <f t="shared" si="27"/>
        <v>-</v>
      </c>
    </row>
    <row r="152" spans="2:16" ht="30" customHeight="1" x14ac:dyDescent="0.2">
      <c r="B152" s="81"/>
      <c r="C152" s="43"/>
      <c r="D152" s="287"/>
      <c r="E152" s="288"/>
      <c r="F152" s="198"/>
      <c r="G152" s="198"/>
      <c r="H152" s="81"/>
      <c r="I152" s="81"/>
      <c r="J152" s="45"/>
      <c r="K152" s="91"/>
      <c r="L152" s="98"/>
      <c r="M152" s="177"/>
      <c r="N152" s="177"/>
      <c r="O152" s="177"/>
      <c r="P152" s="137" t="str">
        <f t="shared" si="27"/>
        <v>-</v>
      </c>
    </row>
    <row r="153" spans="2:16" ht="30" customHeight="1" x14ac:dyDescent="0.2">
      <c r="B153" s="81"/>
      <c r="C153" s="43"/>
      <c r="D153" s="287"/>
      <c r="E153" s="288"/>
      <c r="F153" s="198"/>
      <c r="G153" s="198"/>
      <c r="H153" s="81"/>
      <c r="I153" s="81"/>
      <c r="J153" s="45"/>
      <c r="K153" s="91"/>
      <c r="L153" s="98"/>
      <c r="M153" s="177"/>
      <c r="N153" s="177"/>
      <c r="O153" s="177"/>
      <c r="P153" s="137" t="str">
        <f t="shared" si="27"/>
        <v>-</v>
      </c>
    </row>
    <row r="154" spans="2:16" ht="30" customHeight="1" x14ac:dyDescent="0.2">
      <c r="B154" s="81"/>
      <c r="C154" s="43"/>
      <c r="D154" s="287"/>
      <c r="E154" s="288"/>
      <c r="F154" s="198"/>
      <c r="G154" s="198"/>
      <c r="H154" s="81"/>
      <c r="I154" s="81"/>
      <c r="J154" s="45"/>
      <c r="K154" s="91"/>
      <c r="L154" s="98"/>
      <c r="M154" s="177"/>
      <c r="N154" s="177"/>
      <c r="O154" s="177"/>
      <c r="P154" s="137" t="str">
        <f t="shared" si="27"/>
        <v>-</v>
      </c>
    </row>
    <row r="155" spans="2:16" ht="30" customHeight="1" x14ac:dyDescent="0.2">
      <c r="B155" s="81"/>
      <c r="C155" s="43"/>
      <c r="D155" s="287"/>
      <c r="E155" s="288"/>
      <c r="F155" s="198"/>
      <c r="G155" s="198"/>
      <c r="H155" s="81"/>
      <c r="I155" s="81"/>
      <c r="J155" s="45"/>
      <c r="K155" s="91"/>
      <c r="L155" s="98"/>
      <c r="M155" s="177"/>
      <c r="N155" s="177"/>
      <c r="O155" s="177"/>
      <c r="P155" s="137" t="str">
        <f t="shared" si="27"/>
        <v>-</v>
      </c>
    </row>
    <row r="156" spans="2:16" ht="30" customHeight="1" x14ac:dyDescent="0.2">
      <c r="B156" s="81"/>
      <c r="C156" s="44"/>
      <c r="D156" s="287"/>
      <c r="E156" s="288"/>
      <c r="F156" s="198"/>
      <c r="G156" s="198"/>
      <c r="H156" s="81"/>
      <c r="I156" s="81"/>
      <c r="J156" s="45"/>
      <c r="K156" s="91"/>
      <c r="L156" s="98"/>
      <c r="M156" s="177"/>
      <c r="N156" s="177"/>
      <c r="O156" s="177"/>
      <c r="P156" s="137" t="str">
        <f t="shared" si="27"/>
        <v>-</v>
      </c>
    </row>
    <row r="157" spans="2:16" ht="30" customHeight="1" x14ac:dyDescent="0.2">
      <c r="B157" s="97"/>
      <c r="C157" s="96"/>
      <c r="D157" s="289"/>
      <c r="E157" s="289"/>
      <c r="F157" s="199"/>
      <c r="G157" s="199"/>
      <c r="H157" s="199"/>
      <c r="I157" s="199"/>
      <c r="J157" s="70"/>
      <c r="K157" s="91"/>
      <c r="L157" s="98"/>
      <c r="M157" s="177"/>
      <c r="N157" s="177"/>
      <c r="O157" s="177"/>
      <c r="P157" s="137" t="str">
        <f t="shared" si="27"/>
        <v>-</v>
      </c>
    </row>
    <row r="158" spans="2:16" ht="30" customHeight="1" x14ac:dyDescent="0.2">
      <c r="B158" s="81"/>
      <c r="C158" s="42"/>
      <c r="D158" s="260"/>
      <c r="E158" s="300"/>
      <c r="F158" s="205"/>
      <c r="G158" s="205"/>
      <c r="H158" s="81"/>
      <c r="I158" s="81"/>
      <c r="J158" s="45"/>
      <c r="K158" s="91"/>
      <c r="L158" s="98"/>
      <c r="M158" s="177"/>
      <c r="N158" s="177"/>
      <c r="O158" s="177"/>
      <c r="P158" s="137" t="str">
        <f t="shared" ref="P158:P192" si="28">IF(H158="","-",IF(K158="","",K158))</f>
        <v>-</v>
      </c>
    </row>
    <row r="159" spans="2:16" ht="30" customHeight="1" x14ac:dyDescent="0.2">
      <c r="B159" s="81"/>
      <c r="C159" s="43"/>
      <c r="D159" s="260"/>
      <c r="E159" s="261"/>
      <c r="F159" s="186"/>
      <c r="G159" s="186"/>
      <c r="H159" s="81"/>
      <c r="I159" s="81"/>
      <c r="J159" s="45"/>
      <c r="K159" s="91"/>
      <c r="L159" s="98"/>
      <c r="M159" s="177"/>
      <c r="N159" s="177"/>
      <c r="O159" s="177"/>
      <c r="P159" s="137" t="str">
        <f t="shared" si="28"/>
        <v>-</v>
      </c>
    </row>
    <row r="160" spans="2:16" ht="30" customHeight="1" x14ac:dyDescent="0.2">
      <c r="B160" s="81"/>
      <c r="C160" s="43"/>
      <c r="D160" s="287"/>
      <c r="E160" s="288"/>
      <c r="F160" s="198"/>
      <c r="G160" s="198"/>
      <c r="H160" s="82"/>
      <c r="I160" s="82"/>
      <c r="J160" s="45"/>
      <c r="K160" s="91"/>
      <c r="L160" s="98"/>
      <c r="M160" s="177"/>
      <c r="N160" s="177"/>
      <c r="O160" s="177"/>
      <c r="P160" s="137" t="str">
        <f t="shared" si="28"/>
        <v>-</v>
      </c>
    </row>
    <row r="161" spans="2:16" ht="30" customHeight="1" x14ac:dyDescent="0.2">
      <c r="B161" s="81"/>
      <c r="C161" s="43"/>
      <c r="D161" s="275"/>
      <c r="E161" s="276"/>
      <c r="F161" s="191"/>
      <c r="G161" s="191"/>
      <c r="H161" s="81"/>
      <c r="I161" s="81"/>
      <c r="J161" s="45"/>
      <c r="K161" s="91"/>
      <c r="L161" s="98"/>
      <c r="M161" s="177"/>
      <c r="N161" s="177"/>
      <c r="O161" s="177"/>
      <c r="P161" s="137" t="str">
        <f t="shared" si="28"/>
        <v>-</v>
      </c>
    </row>
    <row r="162" spans="2:16" ht="30" customHeight="1" x14ac:dyDescent="0.2">
      <c r="B162" s="81"/>
      <c r="C162" s="43"/>
      <c r="D162" s="287"/>
      <c r="E162" s="288"/>
      <c r="F162" s="198"/>
      <c r="G162" s="198"/>
      <c r="H162" s="82"/>
      <c r="I162" s="82"/>
      <c r="J162" s="45"/>
      <c r="K162" s="91"/>
      <c r="L162" s="98"/>
      <c r="M162" s="177"/>
      <c r="N162" s="177"/>
      <c r="O162" s="177"/>
      <c r="P162" s="137" t="str">
        <f t="shared" si="28"/>
        <v>-</v>
      </c>
    </row>
    <row r="163" spans="2:16" ht="30" customHeight="1" x14ac:dyDescent="0.2">
      <c r="B163" s="81"/>
      <c r="C163" s="43"/>
      <c r="D163" s="275"/>
      <c r="E163" s="276"/>
      <c r="F163" s="191"/>
      <c r="G163" s="191"/>
      <c r="H163" s="81"/>
      <c r="I163" s="81"/>
      <c r="J163" s="45"/>
      <c r="K163" s="91"/>
      <c r="L163" s="98"/>
      <c r="M163" s="177"/>
      <c r="N163" s="177"/>
      <c r="O163" s="177"/>
      <c r="P163" s="137" t="str">
        <f t="shared" si="28"/>
        <v>-</v>
      </c>
    </row>
    <row r="164" spans="2:16" ht="30" customHeight="1" x14ac:dyDescent="0.2">
      <c r="B164" s="81"/>
      <c r="C164" s="43"/>
      <c r="D164" s="287"/>
      <c r="E164" s="288"/>
      <c r="F164" s="198"/>
      <c r="G164" s="198"/>
      <c r="H164" s="82"/>
      <c r="I164" s="82"/>
      <c r="J164" s="45"/>
      <c r="K164" s="91"/>
      <c r="L164" s="98"/>
      <c r="M164" s="177"/>
      <c r="N164" s="177"/>
      <c r="O164" s="177"/>
      <c r="P164" s="137" t="str">
        <f t="shared" si="28"/>
        <v>-</v>
      </c>
    </row>
    <row r="165" spans="2:16" ht="30" customHeight="1" x14ac:dyDescent="0.2">
      <c r="B165" s="81"/>
      <c r="C165" s="43"/>
      <c r="D165" s="275"/>
      <c r="E165" s="276"/>
      <c r="F165" s="191"/>
      <c r="G165" s="191"/>
      <c r="H165" s="81"/>
      <c r="I165" s="81"/>
      <c r="J165" s="45"/>
      <c r="K165" s="91"/>
      <c r="L165" s="98"/>
      <c r="M165" s="177"/>
      <c r="N165" s="177"/>
      <c r="O165" s="177"/>
      <c r="P165" s="137" t="str">
        <f t="shared" si="28"/>
        <v>-</v>
      </c>
    </row>
    <row r="166" spans="2:16" ht="30" customHeight="1" x14ac:dyDescent="0.2">
      <c r="B166" s="81"/>
      <c r="C166" s="43"/>
      <c r="D166" s="287"/>
      <c r="E166" s="288"/>
      <c r="F166" s="198"/>
      <c r="G166" s="198"/>
      <c r="H166" s="82"/>
      <c r="I166" s="82"/>
      <c r="J166" s="45"/>
      <c r="K166" s="91"/>
      <c r="L166" s="98"/>
      <c r="M166" s="177"/>
      <c r="N166" s="177"/>
      <c r="O166" s="177"/>
      <c r="P166" s="137" t="str">
        <f t="shared" si="28"/>
        <v>-</v>
      </c>
    </row>
    <row r="167" spans="2:16" ht="30" customHeight="1" x14ac:dyDescent="0.2">
      <c r="B167" s="81"/>
      <c r="C167" s="43"/>
      <c r="D167" s="287"/>
      <c r="E167" s="288"/>
      <c r="F167" s="198"/>
      <c r="G167" s="198"/>
      <c r="H167" s="81"/>
      <c r="I167" s="81"/>
      <c r="J167" s="45"/>
      <c r="K167" s="91"/>
      <c r="L167" s="98"/>
      <c r="M167" s="177"/>
      <c r="N167" s="177"/>
      <c r="O167" s="177"/>
      <c r="P167" s="137" t="str">
        <f t="shared" si="28"/>
        <v>-</v>
      </c>
    </row>
    <row r="168" spans="2:16" ht="30" customHeight="1" x14ac:dyDescent="0.2">
      <c r="B168" s="81"/>
      <c r="C168" s="43"/>
      <c r="D168" s="287"/>
      <c r="E168" s="288"/>
      <c r="F168" s="198"/>
      <c r="G168" s="198"/>
      <c r="H168" s="82"/>
      <c r="I168" s="82"/>
      <c r="J168" s="45"/>
      <c r="K168" s="91"/>
      <c r="L168" s="98"/>
      <c r="M168" s="177"/>
      <c r="N168" s="177"/>
      <c r="O168" s="177"/>
      <c r="P168" s="137" t="str">
        <f t="shared" si="28"/>
        <v>-</v>
      </c>
    </row>
    <row r="169" spans="2:16" ht="30" customHeight="1" x14ac:dyDescent="0.2">
      <c r="B169" s="81"/>
      <c r="C169" s="43"/>
      <c r="D169" s="287"/>
      <c r="E169" s="288"/>
      <c r="F169" s="198"/>
      <c r="G169" s="198"/>
      <c r="H169" s="81"/>
      <c r="I169" s="81"/>
      <c r="J169" s="45"/>
      <c r="K169" s="91"/>
      <c r="L169" s="98"/>
      <c r="M169" s="177"/>
      <c r="N169" s="177"/>
      <c r="O169" s="177"/>
      <c r="P169" s="137" t="str">
        <f t="shared" si="28"/>
        <v>-</v>
      </c>
    </row>
    <row r="170" spans="2:16" ht="30" customHeight="1" x14ac:dyDescent="0.2">
      <c r="B170" s="81"/>
      <c r="C170" s="43"/>
      <c r="D170" s="287"/>
      <c r="E170" s="288"/>
      <c r="F170" s="198"/>
      <c r="G170" s="198"/>
      <c r="H170" s="82"/>
      <c r="I170" s="82"/>
      <c r="J170" s="45"/>
      <c r="K170" s="91"/>
      <c r="L170" s="98"/>
      <c r="M170" s="177"/>
      <c r="N170" s="177"/>
      <c r="O170" s="177"/>
      <c r="P170" s="137" t="str">
        <f t="shared" si="28"/>
        <v>-</v>
      </c>
    </row>
    <row r="171" spans="2:16" ht="30" customHeight="1" x14ac:dyDescent="0.2">
      <c r="B171" s="81"/>
      <c r="C171" s="43"/>
      <c r="D171" s="287"/>
      <c r="E171" s="288"/>
      <c r="F171" s="198"/>
      <c r="G171" s="198"/>
      <c r="H171" s="81"/>
      <c r="I171" s="81"/>
      <c r="J171" s="45"/>
      <c r="K171" s="91"/>
      <c r="L171" s="98"/>
      <c r="M171" s="177"/>
      <c r="N171" s="177"/>
      <c r="O171" s="177"/>
      <c r="P171" s="137" t="str">
        <f t="shared" si="28"/>
        <v>-</v>
      </c>
    </row>
    <row r="172" spans="2:16" ht="30" customHeight="1" x14ac:dyDescent="0.2">
      <c r="B172" s="81"/>
      <c r="C172" s="43"/>
      <c r="D172" s="287"/>
      <c r="E172" s="288"/>
      <c r="F172" s="198"/>
      <c r="G172" s="198"/>
      <c r="H172" s="82"/>
      <c r="I172" s="82"/>
      <c r="J172" s="45"/>
      <c r="K172" s="91"/>
      <c r="L172" s="98"/>
      <c r="M172" s="177"/>
      <c r="N172" s="177"/>
      <c r="O172" s="177"/>
      <c r="P172" s="137" t="str">
        <f t="shared" si="28"/>
        <v>-</v>
      </c>
    </row>
    <row r="173" spans="2:16" ht="30" customHeight="1" x14ac:dyDescent="0.2">
      <c r="B173" s="81"/>
      <c r="C173" s="43"/>
      <c r="D173" s="287"/>
      <c r="E173" s="288"/>
      <c r="F173" s="198"/>
      <c r="G173" s="198"/>
      <c r="H173" s="81"/>
      <c r="I173" s="81"/>
      <c r="J173" s="45"/>
      <c r="K173" s="91"/>
      <c r="L173" s="98"/>
      <c r="M173" s="177"/>
      <c r="N173" s="177"/>
      <c r="O173" s="177"/>
      <c r="P173" s="137" t="str">
        <f t="shared" si="28"/>
        <v>-</v>
      </c>
    </row>
    <row r="174" spans="2:16" ht="30" customHeight="1" x14ac:dyDescent="0.2">
      <c r="B174" s="81"/>
      <c r="C174" s="43"/>
      <c r="D174" s="287"/>
      <c r="E174" s="288"/>
      <c r="F174" s="198"/>
      <c r="G174" s="198"/>
      <c r="H174" s="82"/>
      <c r="I174" s="82"/>
      <c r="J174" s="45"/>
      <c r="K174" s="91"/>
      <c r="L174" s="98"/>
      <c r="M174" s="177"/>
      <c r="N174" s="177"/>
      <c r="O174" s="177"/>
      <c r="P174" s="137" t="str">
        <f t="shared" si="28"/>
        <v>-</v>
      </c>
    </row>
    <row r="175" spans="2:16" ht="30" customHeight="1" x14ac:dyDescent="0.2">
      <c r="B175" s="81"/>
      <c r="C175" s="43"/>
      <c r="D175" s="287"/>
      <c r="E175" s="288"/>
      <c r="F175" s="198"/>
      <c r="G175" s="198"/>
      <c r="H175" s="81"/>
      <c r="I175" s="81"/>
      <c r="J175" s="45"/>
      <c r="K175" s="91"/>
      <c r="L175" s="98"/>
      <c r="M175" s="177"/>
      <c r="N175" s="177"/>
      <c r="O175" s="177"/>
      <c r="P175" s="137" t="str">
        <f t="shared" si="28"/>
        <v>-</v>
      </c>
    </row>
    <row r="176" spans="2:16" ht="30" customHeight="1" x14ac:dyDescent="0.2">
      <c r="B176" s="81"/>
      <c r="C176" s="43"/>
      <c r="D176" s="287"/>
      <c r="E176" s="288"/>
      <c r="F176" s="198"/>
      <c r="G176" s="198"/>
      <c r="H176" s="82"/>
      <c r="I176" s="82"/>
      <c r="J176" s="45"/>
      <c r="K176" s="91"/>
      <c r="L176" s="98"/>
      <c r="M176" s="177"/>
      <c r="N176" s="177"/>
      <c r="O176" s="177"/>
      <c r="P176" s="137" t="str">
        <f t="shared" si="28"/>
        <v>-</v>
      </c>
    </row>
    <row r="177" spans="2:16" ht="30" customHeight="1" x14ac:dyDescent="0.2">
      <c r="B177" s="100"/>
      <c r="C177" s="96"/>
      <c r="D177" s="292"/>
      <c r="E177" s="293"/>
      <c r="F177" s="293"/>
      <c r="G177" s="293"/>
      <c r="H177" s="79"/>
      <c r="I177" s="79"/>
      <c r="J177" s="79"/>
      <c r="K177" s="91"/>
      <c r="L177" s="98"/>
      <c r="M177" s="177"/>
      <c r="N177" s="177"/>
      <c r="O177" s="177"/>
      <c r="P177" s="137" t="str">
        <f t="shared" si="28"/>
        <v>-</v>
      </c>
    </row>
    <row r="178" spans="2:16" ht="30" customHeight="1" x14ac:dyDescent="0.2">
      <c r="B178" s="81"/>
      <c r="C178" s="43"/>
      <c r="D178" s="290"/>
      <c r="E178" s="291"/>
      <c r="F178" s="200"/>
      <c r="G178" s="200"/>
      <c r="H178" s="81"/>
      <c r="I178" s="81"/>
      <c r="J178" s="45"/>
      <c r="K178" s="91"/>
      <c r="L178" s="98"/>
      <c r="M178" s="177"/>
      <c r="N178" s="177"/>
      <c r="O178" s="177"/>
      <c r="P178" s="137" t="str">
        <f t="shared" si="28"/>
        <v>-</v>
      </c>
    </row>
    <row r="179" spans="2:16" ht="30" customHeight="1" x14ac:dyDescent="0.2">
      <c r="B179" s="81"/>
      <c r="C179" s="42"/>
      <c r="D179" s="290"/>
      <c r="E179" s="291"/>
      <c r="F179" s="200"/>
      <c r="G179" s="200"/>
      <c r="H179" s="81"/>
      <c r="I179" s="81"/>
      <c r="J179" s="45"/>
      <c r="K179" s="91"/>
      <c r="L179" s="98"/>
      <c r="M179" s="177"/>
      <c r="N179" s="177"/>
      <c r="O179" s="177"/>
      <c r="P179" s="137" t="str">
        <f t="shared" si="28"/>
        <v>-</v>
      </c>
    </row>
    <row r="180" spans="2:16" ht="30" customHeight="1" x14ac:dyDescent="0.2">
      <c r="B180" s="81"/>
      <c r="C180" s="42"/>
      <c r="D180" s="287"/>
      <c r="E180" s="288"/>
      <c r="F180" s="198"/>
      <c r="G180" s="198"/>
      <c r="H180" s="81"/>
      <c r="I180" s="81"/>
      <c r="J180" s="45"/>
      <c r="K180" s="91"/>
      <c r="L180" s="98"/>
      <c r="M180" s="177"/>
      <c r="N180" s="177"/>
      <c r="O180" s="177"/>
      <c r="P180" s="137" t="str">
        <f t="shared" si="28"/>
        <v>-</v>
      </c>
    </row>
    <row r="181" spans="2:16" ht="30" customHeight="1" x14ac:dyDescent="0.2">
      <c r="B181" s="199"/>
      <c r="C181" s="49"/>
      <c r="D181" s="202"/>
      <c r="E181" s="203"/>
      <c r="F181" s="203"/>
      <c r="G181" s="203"/>
      <c r="H181" s="199"/>
      <c r="I181" s="199"/>
      <c r="J181" s="70"/>
      <c r="K181" s="91"/>
      <c r="L181" s="98"/>
      <c r="M181" s="177"/>
      <c r="N181" s="177"/>
      <c r="O181" s="177"/>
      <c r="P181" s="137" t="str">
        <f t="shared" si="28"/>
        <v>-</v>
      </c>
    </row>
    <row r="182" spans="2:16" ht="30" customHeight="1" x14ac:dyDescent="0.2">
      <c r="B182" s="199"/>
      <c r="C182" s="49"/>
      <c r="D182" s="202"/>
      <c r="E182" s="203"/>
      <c r="F182" s="203"/>
      <c r="G182" s="203"/>
      <c r="H182" s="199"/>
      <c r="I182" s="199"/>
      <c r="J182" s="70"/>
      <c r="K182" s="91"/>
      <c r="L182" s="98"/>
      <c r="M182" s="177"/>
      <c r="N182" s="177"/>
      <c r="O182" s="177"/>
      <c r="P182" s="137" t="str">
        <f t="shared" si="28"/>
        <v>-</v>
      </c>
    </row>
    <row r="183" spans="2:16" ht="30" customHeight="1" x14ac:dyDescent="0.2">
      <c r="B183" s="81"/>
      <c r="C183" s="42"/>
      <c r="D183" s="287"/>
      <c r="E183" s="288"/>
      <c r="F183" s="198"/>
      <c r="G183" s="198"/>
      <c r="H183" s="81"/>
      <c r="I183" s="81"/>
      <c r="J183" s="45"/>
      <c r="K183" s="91"/>
      <c r="L183" s="98"/>
      <c r="M183" s="177"/>
      <c r="N183" s="177"/>
      <c r="O183" s="177"/>
      <c r="P183" s="137" t="str">
        <f t="shared" si="28"/>
        <v>-</v>
      </c>
    </row>
    <row r="184" spans="2:16" ht="30" customHeight="1" x14ac:dyDescent="0.2">
      <c r="B184" s="81"/>
      <c r="C184" s="42"/>
      <c r="D184" s="287"/>
      <c r="E184" s="288"/>
      <c r="F184" s="198"/>
      <c r="G184" s="198"/>
      <c r="H184" s="81"/>
      <c r="I184" s="81"/>
      <c r="J184" s="45"/>
      <c r="K184" s="91"/>
      <c r="L184" s="98"/>
      <c r="M184" s="177"/>
      <c r="N184" s="177"/>
      <c r="O184" s="177"/>
      <c r="P184" s="137" t="str">
        <f t="shared" si="28"/>
        <v>-</v>
      </c>
    </row>
    <row r="185" spans="2:16" ht="30" customHeight="1" x14ac:dyDescent="0.2">
      <c r="B185" s="81"/>
      <c r="C185" s="42"/>
      <c r="D185" s="287"/>
      <c r="E185" s="288"/>
      <c r="F185" s="198"/>
      <c r="G185" s="198"/>
      <c r="H185" s="81"/>
      <c r="I185" s="81"/>
      <c r="J185" s="45"/>
      <c r="K185" s="91"/>
      <c r="L185" s="98"/>
      <c r="M185" s="177"/>
      <c r="N185" s="177"/>
      <c r="O185" s="177"/>
      <c r="P185" s="137" t="str">
        <f t="shared" si="28"/>
        <v>-</v>
      </c>
    </row>
    <row r="186" spans="2:16" ht="30" customHeight="1" x14ac:dyDescent="0.2">
      <c r="B186" s="81"/>
      <c r="C186" s="42"/>
      <c r="D186" s="287"/>
      <c r="E186" s="288"/>
      <c r="F186" s="198"/>
      <c r="G186" s="198"/>
      <c r="H186" s="81"/>
      <c r="I186" s="81"/>
      <c r="J186" s="45"/>
      <c r="K186" s="91"/>
      <c r="L186" s="98"/>
      <c r="M186" s="177"/>
      <c r="N186" s="177"/>
      <c r="O186" s="177"/>
      <c r="P186" s="137" t="str">
        <f t="shared" si="28"/>
        <v>-</v>
      </c>
    </row>
    <row r="187" spans="2:16" ht="30" customHeight="1" x14ac:dyDescent="0.2">
      <c r="B187" s="81"/>
      <c r="C187" s="42"/>
      <c r="D187" s="287"/>
      <c r="E187" s="288"/>
      <c r="F187" s="198"/>
      <c r="G187" s="198"/>
      <c r="H187" s="81"/>
      <c r="I187" s="81"/>
      <c r="J187" s="45"/>
      <c r="K187" s="91"/>
      <c r="L187" s="98"/>
      <c r="M187" s="177"/>
      <c r="N187" s="177"/>
      <c r="O187" s="177"/>
      <c r="P187" s="137" t="str">
        <f t="shared" si="28"/>
        <v>-</v>
      </c>
    </row>
    <row r="188" spans="2:16" x14ac:dyDescent="0.2">
      <c r="B188" s="81"/>
      <c r="C188" s="42"/>
      <c r="D188" s="287"/>
      <c r="E188" s="288"/>
      <c r="F188" s="198"/>
      <c r="G188" s="198"/>
      <c r="H188" s="81"/>
      <c r="I188" s="81"/>
      <c r="J188" s="45"/>
      <c r="K188" s="91"/>
      <c r="L188" s="98"/>
      <c r="M188" s="177"/>
      <c r="N188" s="177"/>
      <c r="O188" s="177"/>
      <c r="P188" s="137" t="str">
        <f t="shared" si="28"/>
        <v>-</v>
      </c>
    </row>
    <row r="189" spans="2:16" x14ac:dyDescent="0.2">
      <c r="B189" s="81"/>
      <c r="C189" s="42"/>
      <c r="D189" s="287"/>
      <c r="E189" s="288"/>
      <c r="F189" s="198"/>
      <c r="G189" s="198"/>
      <c r="H189" s="81"/>
      <c r="I189" s="81"/>
      <c r="J189" s="45"/>
      <c r="K189" s="91"/>
      <c r="L189" s="98"/>
      <c r="M189" s="177"/>
      <c r="N189" s="177"/>
      <c r="O189" s="177"/>
      <c r="P189" s="137" t="str">
        <f t="shared" si="28"/>
        <v>-</v>
      </c>
    </row>
    <row r="190" spans="2:16" x14ac:dyDescent="0.2">
      <c r="B190" s="81"/>
      <c r="C190" s="42"/>
      <c r="D190" s="287"/>
      <c r="E190" s="288"/>
      <c r="F190" s="198"/>
      <c r="G190" s="198"/>
      <c r="H190" s="81"/>
      <c r="I190" s="81"/>
      <c r="J190" s="45"/>
      <c r="K190" s="91"/>
      <c r="L190" s="98"/>
      <c r="M190" s="177"/>
      <c r="N190" s="177"/>
      <c r="O190" s="177"/>
      <c r="P190" s="137" t="str">
        <f t="shared" si="28"/>
        <v>-</v>
      </c>
    </row>
    <row r="191" spans="2:16" x14ac:dyDescent="0.2">
      <c r="B191" s="81"/>
      <c r="C191" s="42"/>
      <c r="D191" s="287"/>
      <c r="E191" s="288"/>
      <c r="F191" s="198"/>
      <c r="G191" s="198"/>
      <c r="H191" s="81"/>
      <c r="I191" s="81"/>
      <c r="J191" s="45"/>
      <c r="K191" s="91"/>
      <c r="L191" s="98"/>
      <c r="M191" s="177"/>
      <c r="N191" s="177"/>
      <c r="O191" s="177"/>
      <c r="P191" s="137" t="str">
        <f t="shared" si="28"/>
        <v>-</v>
      </c>
    </row>
    <row r="192" spans="2:16" x14ac:dyDescent="0.2">
      <c r="B192" s="81"/>
      <c r="C192" s="42"/>
      <c r="D192" s="287"/>
      <c r="E192" s="288"/>
      <c r="F192" s="198"/>
      <c r="G192" s="198"/>
      <c r="H192" s="81"/>
      <c r="I192" s="81"/>
      <c r="J192" s="45"/>
      <c r="K192" s="91"/>
      <c r="L192" s="98"/>
      <c r="M192" s="177"/>
      <c r="N192" s="177"/>
      <c r="O192" s="177"/>
      <c r="P192" s="137" t="str">
        <f t="shared" si="28"/>
        <v>-</v>
      </c>
    </row>
    <row r="193" spans="2:16" x14ac:dyDescent="0.2">
      <c r="B193" s="81"/>
      <c r="C193" s="42"/>
      <c r="D193" s="287"/>
      <c r="E193" s="288"/>
      <c r="F193" s="198"/>
      <c r="G193" s="198"/>
      <c r="H193" s="81"/>
      <c r="I193" s="81"/>
      <c r="J193" s="45"/>
      <c r="K193" s="91"/>
      <c r="L193" s="98"/>
      <c r="M193" s="177"/>
      <c r="N193" s="177"/>
      <c r="O193" s="177"/>
      <c r="P193" s="137" t="str">
        <f t="shared" ref="P193:P225" si="29">IF(H192="","-",IF(K192="","",K192))</f>
        <v>-</v>
      </c>
    </row>
    <row r="194" spans="2:16" x14ac:dyDescent="0.2">
      <c r="B194" s="81"/>
      <c r="C194" s="42"/>
      <c r="D194" s="287"/>
      <c r="E194" s="288"/>
      <c r="F194" s="198"/>
      <c r="G194" s="198"/>
      <c r="H194" s="81"/>
      <c r="I194" s="81"/>
      <c r="J194" s="45"/>
      <c r="K194" s="91"/>
      <c r="L194" s="98"/>
      <c r="M194" s="177"/>
      <c r="N194" s="177"/>
      <c r="O194" s="177"/>
      <c r="P194" s="137" t="str">
        <f t="shared" si="29"/>
        <v>-</v>
      </c>
    </row>
    <row r="195" spans="2:16" x14ac:dyDescent="0.2">
      <c r="B195" s="81"/>
      <c r="C195" s="42"/>
      <c r="D195" s="287"/>
      <c r="E195" s="288"/>
      <c r="F195" s="198"/>
      <c r="G195" s="198"/>
      <c r="H195" s="81"/>
      <c r="I195" s="81"/>
      <c r="J195" s="45"/>
      <c r="K195" s="91"/>
      <c r="L195" s="98"/>
      <c r="M195" s="177"/>
      <c r="N195" s="177"/>
      <c r="O195" s="177"/>
      <c r="P195" s="137" t="str">
        <f t="shared" si="29"/>
        <v>-</v>
      </c>
    </row>
    <row r="196" spans="2:16" x14ac:dyDescent="0.2">
      <c r="B196" s="81"/>
      <c r="C196" s="42"/>
      <c r="D196" s="287"/>
      <c r="E196" s="288"/>
      <c r="F196" s="198"/>
      <c r="G196" s="198"/>
      <c r="H196" s="81"/>
      <c r="I196" s="81"/>
      <c r="J196" s="45"/>
      <c r="K196" s="91"/>
      <c r="L196" s="98"/>
      <c r="M196" s="177"/>
      <c r="N196" s="177"/>
      <c r="O196" s="177"/>
      <c r="P196" s="137" t="str">
        <f t="shared" si="29"/>
        <v>-</v>
      </c>
    </row>
    <row r="197" spans="2:16" x14ac:dyDescent="0.2">
      <c r="B197" s="81"/>
      <c r="C197" s="42"/>
      <c r="D197" s="287"/>
      <c r="E197" s="288"/>
      <c r="F197" s="198"/>
      <c r="G197" s="198"/>
      <c r="H197" s="81"/>
      <c r="I197" s="81"/>
      <c r="J197" s="45"/>
      <c r="K197" s="91"/>
      <c r="L197" s="98"/>
      <c r="M197" s="177"/>
      <c r="N197" s="177"/>
      <c r="O197" s="177"/>
      <c r="P197" s="137" t="str">
        <f t="shared" si="29"/>
        <v>-</v>
      </c>
    </row>
    <row r="198" spans="2:16" x14ac:dyDescent="0.2">
      <c r="B198" s="81"/>
      <c r="C198" s="42"/>
      <c r="D198" s="287"/>
      <c r="E198" s="288"/>
      <c r="F198" s="198"/>
      <c r="G198" s="198"/>
      <c r="H198" s="81"/>
      <c r="I198" s="81"/>
      <c r="J198" s="45"/>
      <c r="K198" s="91"/>
      <c r="L198" s="98"/>
      <c r="M198" s="177"/>
      <c r="N198" s="177"/>
      <c r="O198" s="177"/>
      <c r="P198" s="137" t="str">
        <f t="shared" si="29"/>
        <v>-</v>
      </c>
    </row>
    <row r="199" spans="2:16" x14ac:dyDescent="0.2">
      <c r="B199" s="81"/>
      <c r="C199" s="42"/>
      <c r="D199" s="287"/>
      <c r="E199" s="288"/>
      <c r="F199" s="198"/>
      <c r="G199" s="198"/>
      <c r="H199" s="81"/>
      <c r="I199" s="81"/>
      <c r="J199" s="45"/>
      <c r="K199" s="91"/>
      <c r="L199" s="98"/>
      <c r="M199" s="177"/>
      <c r="N199" s="177"/>
      <c r="O199" s="177"/>
      <c r="P199" s="137" t="str">
        <f t="shared" si="29"/>
        <v>-</v>
      </c>
    </row>
    <row r="200" spans="2:16" x14ac:dyDescent="0.2">
      <c r="B200" s="81"/>
      <c r="C200" s="42"/>
      <c r="D200" s="287"/>
      <c r="E200" s="288"/>
      <c r="F200" s="198"/>
      <c r="G200" s="198"/>
      <c r="H200" s="81"/>
      <c r="I200" s="81"/>
      <c r="J200" s="45"/>
      <c r="K200" s="91"/>
      <c r="L200" s="98"/>
      <c r="M200" s="177"/>
      <c r="N200" s="177"/>
      <c r="O200" s="177"/>
      <c r="P200" s="137" t="str">
        <f t="shared" si="29"/>
        <v>-</v>
      </c>
    </row>
    <row r="201" spans="2:16" x14ac:dyDescent="0.2">
      <c r="B201" s="81"/>
      <c r="C201" s="42"/>
      <c r="D201" s="287"/>
      <c r="E201" s="288"/>
      <c r="F201" s="198"/>
      <c r="G201" s="198"/>
      <c r="H201" s="81"/>
      <c r="I201" s="81"/>
      <c r="J201" s="45"/>
      <c r="K201" s="91"/>
      <c r="L201" s="98"/>
      <c r="M201" s="177"/>
      <c r="N201" s="177"/>
      <c r="O201" s="177"/>
      <c r="P201" s="137" t="str">
        <f t="shared" si="29"/>
        <v>-</v>
      </c>
    </row>
    <row r="202" spans="2:16" x14ac:dyDescent="0.2">
      <c r="B202" s="81"/>
      <c r="C202" s="42"/>
      <c r="D202" s="287"/>
      <c r="E202" s="288"/>
      <c r="F202" s="198"/>
      <c r="G202" s="198"/>
      <c r="H202" s="81"/>
      <c r="I202" s="81"/>
      <c r="J202" s="45"/>
      <c r="K202" s="91"/>
      <c r="L202" s="98"/>
      <c r="M202" s="177"/>
      <c r="N202" s="177"/>
      <c r="O202" s="177"/>
      <c r="P202" s="137" t="str">
        <f t="shared" si="29"/>
        <v>-</v>
      </c>
    </row>
    <row r="203" spans="2:16" x14ac:dyDescent="0.2">
      <c r="B203" s="81"/>
      <c r="C203" s="42"/>
      <c r="D203" s="287"/>
      <c r="E203" s="288"/>
      <c r="F203" s="198"/>
      <c r="G203" s="198"/>
      <c r="H203" s="81"/>
      <c r="I203" s="81"/>
      <c r="J203" s="45"/>
      <c r="K203" s="91"/>
      <c r="L203" s="98"/>
      <c r="M203" s="177"/>
      <c r="N203" s="177"/>
      <c r="O203" s="177"/>
      <c r="P203" s="137" t="str">
        <f t="shared" si="29"/>
        <v>-</v>
      </c>
    </row>
    <row r="204" spans="2:16" x14ac:dyDescent="0.2">
      <c r="B204" s="81"/>
      <c r="C204" s="42"/>
      <c r="D204" s="287"/>
      <c r="E204" s="288"/>
      <c r="F204" s="198"/>
      <c r="G204" s="198"/>
      <c r="H204" s="81"/>
      <c r="I204" s="81"/>
      <c r="J204" s="45"/>
      <c r="K204" s="91"/>
      <c r="L204" s="98"/>
      <c r="M204" s="177"/>
      <c r="N204" s="177"/>
      <c r="O204" s="177"/>
      <c r="P204" s="137" t="str">
        <f t="shared" si="29"/>
        <v>-</v>
      </c>
    </row>
    <row r="205" spans="2:16" x14ac:dyDescent="0.2">
      <c r="B205" s="81"/>
      <c r="C205" s="42"/>
      <c r="D205" s="287"/>
      <c r="E205" s="288"/>
      <c r="F205" s="198"/>
      <c r="G205" s="198"/>
      <c r="H205" s="81"/>
      <c r="I205" s="81"/>
      <c r="J205" s="45"/>
      <c r="K205" s="91"/>
      <c r="L205" s="98"/>
      <c r="M205" s="177"/>
      <c r="N205" s="177"/>
      <c r="O205" s="177"/>
      <c r="P205" s="137" t="str">
        <f t="shared" si="29"/>
        <v>-</v>
      </c>
    </row>
    <row r="206" spans="2:16" x14ac:dyDescent="0.2">
      <c r="B206" s="81"/>
      <c r="C206" s="42"/>
      <c r="D206" s="287"/>
      <c r="E206" s="288"/>
      <c r="F206" s="198"/>
      <c r="G206" s="198"/>
      <c r="H206" s="81"/>
      <c r="I206" s="81"/>
      <c r="J206" s="45"/>
      <c r="K206" s="91"/>
      <c r="L206" s="98"/>
      <c r="M206" s="177"/>
      <c r="N206" s="177"/>
      <c r="O206" s="177"/>
      <c r="P206" s="137" t="str">
        <f t="shared" si="29"/>
        <v>-</v>
      </c>
    </row>
    <row r="207" spans="2:16" x14ac:dyDescent="0.2">
      <c r="B207" s="81"/>
      <c r="C207" s="42"/>
      <c r="D207" s="287"/>
      <c r="E207" s="288"/>
      <c r="F207" s="198"/>
      <c r="G207" s="198"/>
      <c r="H207" s="81"/>
      <c r="I207" s="81"/>
      <c r="J207" s="45"/>
      <c r="K207" s="91"/>
      <c r="L207" s="98"/>
      <c r="M207" s="177"/>
      <c r="N207" s="177"/>
      <c r="O207" s="177"/>
      <c r="P207" s="137" t="str">
        <f t="shared" si="29"/>
        <v>-</v>
      </c>
    </row>
    <row r="208" spans="2:16" x14ac:dyDescent="0.2">
      <c r="B208" s="199"/>
      <c r="C208" s="49"/>
      <c r="D208" s="295"/>
      <c r="E208" s="296"/>
      <c r="F208" s="203"/>
      <c r="G208" s="203"/>
      <c r="H208" s="199"/>
      <c r="I208" s="199"/>
      <c r="J208" s="70"/>
      <c r="K208" s="91"/>
      <c r="L208" s="98"/>
      <c r="M208" s="177"/>
      <c r="N208" s="177"/>
      <c r="O208" s="177"/>
      <c r="P208" s="137" t="str">
        <f t="shared" si="29"/>
        <v>-</v>
      </c>
    </row>
    <row r="209" spans="2:16" x14ac:dyDescent="0.2">
      <c r="B209" s="81"/>
      <c r="C209" s="42"/>
      <c r="D209" s="287"/>
      <c r="E209" s="288"/>
      <c r="F209" s="198"/>
      <c r="G209" s="198"/>
      <c r="H209" s="81"/>
      <c r="I209" s="81"/>
      <c r="J209" s="45"/>
      <c r="K209" s="91"/>
      <c r="L209" s="98"/>
      <c r="M209" s="177"/>
      <c r="N209" s="177"/>
      <c r="O209" s="177"/>
      <c r="P209" s="137" t="str">
        <f t="shared" si="29"/>
        <v>-</v>
      </c>
    </row>
    <row r="210" spans="2:16" x14ac:dyDescent="0.2">
      <c r="B210" s="81"/>
      <c r="C210" s="42"/>
      <c r="D210" s="287"/>
      <c r="E210" s="288"/>
      <c r="F210" s="198"/>
      <c r="G210" s="198"/>
      <c r="H210" s="81"/>
      <c r="I210" s="81"/>
      <c r="J210" s="45"/>
      <c r="K210" s="91"/>
      <c r="L210" s="98"/>
      <c r="M210" s="177"/>
      <c r="N210" s="177"/>
      <c r="O210" s="177"/>
      <c r="P210" s="137" t="str">
        <f t="shared" si="29"/>
        <v>-</v>
      </c>
    </row>
    <row r="211" spans="2:16" x14ac:dyDescent="0.2">
      <c r="B211" s="81"/>
      <c r="C211" s="42"/>
      <c r="D211" s="287"/>
      <c r="E211" s="288"/>
      <c r="F211" s="198"/>
      <c r="G211" s="198"/>
      <c r="H211" s="81"/>
      <c r="I211" s="81"/>
      <c r="J211" s="45"/>
      <c r="K211" s="91"/>
      <c r="L211" s="98"/>
      <c r="M211" s="177"/>
      <c r="N211" s="177"/>
      <c r="O211" s="177"/>
      <c r="P211" s="137" t="str">
        <f t="shared" si="29"/>
        <v>-</v>
      </c>
    </row>
    <row r="212" spans="2:16" x14ac:dyDescent="0.2">
      <c r="B212" s="81"/>
      <c r="C212" s="42"/>
      <c r="D212" s="287"/>
      <c r="E212" s="288"/>
      <c r="F212" s="198"/>
      <c r="G212" s="198"/>
      <c r="H212" s="81"/>
      <c r="I212" s="81"/>
      <c r="J212" s="45"/>
      <c r="K212" s="91"/>
      <c r="L212" s="98"/>
      <c r="M212" s="177"/>
      <c r="N212" s="177"/>
      <c r="O212" s="177"/>
      <c r="P212" s="137" t="str">
        <f t="shared" si="29"/>
        <v>-</v>
      </c>
    </row>
    <row r="213" spans="2:16" x14ac:dyDescent="0.2">
      <c r="B213" s="81"/>
      <c r="C213" s="42"/>
      <c r="D213" s="287"/>
      <c r="E213" s="288"/>
      <c r="F213" s="198"/>
      <c r="G213" s="198"/>
      <c r="H213" s="81"/>
      <c r="I213" s="81"/>
      <c r="J213" s="45"/>
      <c r="K213" s="91"/>
      <c r="L213" s="98"/>
      <c r="M213" s="177"/>
      <c r="N213" s="177"/>
      <c r="O213" s="177"/>
      <c r="P213" s="137" t="str">
        <f t="shared" si="29"/>
        <v>-</v>
      </c>
    </row>
    <row r="214" spans="2:16" x14ac:dyDescent="0.2">
      <c r="B214" s="81"/>
      <c r="C214" s="42"/>
      <c r="D214" s="287"/>
      <c r="E214" s="288"/>
      <c r="F214" s="198"/>
      <c r="G214" s="198"/>
      <c r="H214" s="81"/>
      <c r="I214" s="81"/>
      <c r="J214" s="45"/>
      <c r="K214" s="91"/>
      <c r="L214" s="98"/>
      <c r="M214" s="177"/>
      <c r="N214" s="177"/>
      <c r="O214" s="177"/>
      <c r="P214" s="137" t="str">
        <f t="shared" si="29"/>
        <v>-</v>
      </c>
    </row>
    <row r="215" spans="2:16" x14ac:dyDescent="0.2">
      <c r="B215" s="81"/>
      <c r="C215" s="42"/>
      <c r="D215" s="287"/>
      <c r="E215" s="288"/>
      <c r="F215" s="198"/>
      <c r="G215" s="198"/>
      <c r="H215" s="81"/>
      <c r="I215" s="81"/>
      <c r="J215" s="45"/>
      <c r="K215" s="91"/>
      <c r="L215" s="98"/>
      <c r="M215" s="177"/>
      <c r="N215" s="177"/>
      <c r="O215" s="177"/>
      <c r="P215" s="137" t="str">
        <f t="shared" si="29"/>
        <v>-</v>
      </c>
    </row>
    <row r="216" spans="2:16" x14ac:dyDescent="0.2">
      <c r="B216" s="81"/>
      <c r="C216" s="42"/>
      <c r="D216" s="287"/>
      <c r="E216" s="288"/>
      <c r="F216" s="198"/>
      <c r="G216" s="198"/>
      <c r="H216" s="81"/>
      <c r="I216" s="81"/>
      <c r="J216" s="45"/>
      <c r="K216" s="91"/>
      <c r="L216" s="98"/>
      <c r="M216" s="177"/>
      <c r="N216" s="177"/>
      <c r="O216" s="177"/>
      <c r="P216" s="137" t="str">
        <f t="shared" si="29"/>
        <v>-</v>
      </c>
    </row>
    <row r="217" spans="2:16" x14ac:dyDescent="0.2">
      <c r="B217" s="81"/>
      <c r="C217" s="42"/>
      <c r="D217" s="287"/>
      <c r="E217" s="288"/>
      <c r="F217" s="198"/>
      <c r="G217" s="198"/>
      <c r="H217" s="81"/>
      <c r="I217" s="81"/>
      <c r="J217" s="45"/>
      <c r="K217" s="91"/>
      <c r="L217" s="98"/>
      <c r="M217" s="177"/>
      <c r="N217" s="177"/>
      <c r="O217" s="177"/>
      <c r="P217" s="137" t="str">
        <f t="shared" si="29"/>
        <v>-</v>
      </c>
    </row>
    <row r="218" spans="2:16" x14ac:dyDescent="0.2">
      <c r="B218" s="81"/>
      <c r="C218" s="42"/>
      <c r="D218" s="287"/>
      <c r="E218" s="288"/>
      <c r="F218" s="198"/>
      <c r="G218" s="198"/>
      <c r="H218" s="81"/>
      <c r="I218" s="81"/>
      <c r="J218" s="45"/>
      <c r="K218" s="91"/>
      <c r="L218" s="98"/>
      <c r="M218" s="177"/>
      <c r="N218" s="177"/>
      <c r="O218" s="177"/>
      <c r="P218" s="137" t="str">
        <f t="shared" si="29"/>
        <v>-</v>
      </c>
    </row>
    <row r="219" spans="2:16" x14ac:dyDescent="0.2">
      <c r="B219" s="81"/>
      <c r="C219" s="42"/>
      <c r="D219" s="287"/>
      <c r="E219" s="288"/>
      <c r="F219" s="198"/>
      <c r="G219" s="198"/>
      <c r="H219" s="81"/>
      <c r="I219" s="81"/>
      <c r="J219" s="45"/>
      <c r="K219" s="91"/>
      <c r="L219" s="98"/>
      <c r="M219" s="177"/>
      <c r="N219" s="177"/>
      <c r="O219" s="177"/>
      <c r="P219" s="137" t="str">
        <f t="shared" si="29"/>
        <v>-</v>
      </c>
    </row>
    <row r="220" spans="2:16" x14ac:dyDescent="0.2">
      <c r="B220" s="81"/>
      <c r="C220" s="42"/>
      <c r="D220" s="287"/>
      <c r="E220" s="288"/>
      <c r="F220" s="198"/>
      <c r="G220" s="198"/>
      <c r="H220" s="81"/>
      <c r="I220" s="81"/>
      <c r="J220" s="45"/>
      <c r="K220" s="91"/>
      <c r="L220" s="98"/>
      <c r="M220" s="177"/>
      <c r="N220" s="177"/>
      <c r="O220" s="177"/>
      <c r="P220" s="137" t="str">
        <f t="shared" si="29"/>
        <v>-</v>
      </c>
    </row>
    <row r="221" spans="2:16" x14ac:dyDescent="0.2">
      <c r="B221" s="81"/>
      <c r="C221" s="42"/>
      <c r="D221" s="287"/>
      <c r="E221" s="288"/>
      <c r="F221" s="198"/>
      <c r="G221" s="198"/>
      <c r="H221" s="81"/>
      <c r="I221" s="81"/>
      <c r="J221" s="45"/>
      <c r="K221" s="91"/>
      <c r="L221" s="98"/>
      <c r="M221" s="177"/>
      <c r="N221" s="177"/>
      <c r="O221" s="177"/>
      <c r="P221" s="137" t="str">
        <f t="shared" si="29"/>
        <v>-</v>
      </c>
    </row>
    <row r="222" spans="2:16" x14ac:dyDescent="0.2">
      <c r="B222" s="81"/>
      <c r="C222" s="42"/>
      <c r="D222" s="287"/>
      <c r="E222" s="288"/>
      <c r="F222" s="198"/>
      <c r="G222" s="198"/>
      <c r="H222" s="81"/>
      <c r="I222" s="81"/>
      <c r="J222" s="45"/>
      <c r="K222" s="91"/>
      <c r="L222" s="98"/>
      <c r="M222" s="177"/>
      <c r="N222" s="177"/>
      <c r="O222" s="177"/>
      <c r="P222" s="137" t="str">
        <f t="shared" si="29"/>
        <v>-</v>
      </c>
    </row>
    <row r="223" spans="2:16" x14ac:dyDescent="0.2">
      <c r="B223" s="81"/>
      <c r="C223" s="42"/>
      <c r="D223" s="287"/>
      <c r="E223" s="288"/>
      <c r="F223" s="198"/>
      <c r="G223" s="198"/>
      <c r="H223" s="81"/>
      <c r="I223" s="81"/>
      <c r="J223" s="45"/>
      <c r="K223" s="91"/>
      <c r="L223" s="98"/>
      <c r="M223" s="177"/>
      <c r="N223" s="177"/>
      <c r="O223" s="177"/>
      <c r="P223" s="137" t="str">
        <f t="shared" si="29"/>
        <v>-</v>
      </c>
    </row>
    <row r="224" spans="2:16" x14ac:dyDescent="0.2">
      <c r="B224" s="81"/>
      <c r="C224" s="42"/>
      <c r="D224" s="287"/>
      <c r="E224" s="288"/>
      <c r="F224" s="198"/>
      <c r="G224" s="198"/>
      <c r="H224" s="81"/>
      <c r="I224" s="81"/>
      <c r="J224" s="45"/>
      <c r="K224" s="91"/>
      <c r="L224" s="98"/>
      <c r="M224" s="177"/>
      <c r="N224" s="177"/>
      <c r="O224" s="177"/>
      <c r="P224" s="137" t="str">
        <f t="shared" si="29"/>
        <v>-</v>
      </c>
    </row>
    <row r="225" spans="2:16" x14ac:dyDescent="0.2">
      <c r="B225" s="81"/>
      <c r="C225" s="42"/>
      <c r="D225" s="287"/>
      <c r="E225" s="288"/>
      <c r="F225" s="198"/>
      <c r="G225" s="198"/>
      <c r="H225" s="81"/>
      <c r="I225" s="81"/>
      <c r="J225" s="45"/>
      <c r="K225" s="91"/>
      <c r="L225" s="98"/>
      <c r="M225" s="177"/>
      <c r="N225" s="177"/>
      <c r="O225" s="177"/>
      <c r="P225" s="137" t="str">
        <f t="shared" si="29"/>
        <v>-</v>
      </c>
    </row>
    <row r="226" spans="2:16" x14ac:dyDescent="0.2">
      <c r="B226" s="81"/>
      <c r="C226" s="42"/>
      <c r="D226" s="287"/>
      <c r="E226" s="288"/>
      <c r="F226" s="198"/>
      <c r="G226" s="198"/>
      <c r="H226" s="81"/>
      <c r="I226" s="81"/>
      <c r="J226" s="45"/>
      <c r="K226" s="91"/>
      <c r="L226" s="98"/>
      <c r="M226" s="177"/>
      <c r="N226" s="177"/>
      <c r="O226" s="177"/>
      <c r="P226" s="137" t="str">
        <f t="shared" ref="P226:P279" si="30">IF(H225="","-",IF(K225="","",K225))</f>
        <v>-</v>
      </c>
    </row>
    <row r="227" spans="2:16" x14ac:dyDescent="0.2">
      <c r="B227" s="81"/>
      <c r="C227" s="42"/>
      <c r="D227" s="287"/>
      <c r="E227" s="288"/>
      <c r="F227" s="198"/>
      <c r="G227" s="198"/>
      <c r="H227" s="81"/>
      <c r="I227" s="81"/>
      <c r="J227" s="45"/>
      <c r="K227" s="91"/>
      <c r="L227" s="98"/>
      <c r="M227" s="177"/>
      <c r="N227" s="177"/>
      <c r="O227" s="177"/>
      <c r="P227" s="137" t="str">
        <f t="shared" si="30"/>
        <v>-</v>
      </c>
    </row>
    <row r="228" spans="2:16" x14ac:dyDescent="0.2">
      <c r="B228" s="81"/>
      <c r="C228" s="42"/>
      <c r="D228" s="287"/>
      <c r="E228" s="288"/>
      <c r="F228" s="198"/>
      <c r="G228" s="198"/>
      <c r="H228" s="81"/>
      <c r="I228" s="81"/>
      <c r="J228" s="45"/>
      <c r="K228" s="91"/>
      <c r="L228" s="98"/>
      <c r="M228" s="177"/>
      <c r="N228" s="177"/>
      <c r="O228" s="177"/>
      <c r="P228" s="137" t="str">
        <f t="shared" si="30"/>
        <v>-</v>
      </c>
    </row>
    <row r="229" spans="2:16" x14ac:dyDescent="0.2">
      <c r="B229" s="81"/>
      <c r="C229" s="42"/>
      <c r="D229" s="287"/>
      <c r="E229" s="288"/>
      <c r="F229" s="198"/>
      <c r="G229" s="198"/>
      <c r="H229" s="81"/>
      <c r="I229" s="81"/>
      <c r="J229" s="45"/>
      <c r="K229" s="91"/>
      <c r="L229" s="98"/>
      <c r="M229" s="177"/>
      <c r="N229" s="177"/>
      <c r="O229" s="177"/>
      <c r="P229" s="137" t="str">
        <f t="shared" si="30"/>
        <v>-</v>
      </c>
    </row>
    <row r="230" spans="2:16" x14ac:dyDescent="0.2">
      <c r="B230" s="81"/>
      <c r="C230" s="42"/>
      <c r="D230" s="287"/>
      <c r="E230" s="288"/>
      <c r="F230" s="198"/>
      <c r="G230" s="198"/>
      <c r="H230" s="81"/>
      <c r="I230" s="81"/>
      <c r="J230" s="45"/>
      <c r="K230" s="91"/>
      <c r="L230" s="98"/>
      <c r="M230" s="177"/>
      <c r="N230" s="177"/>
      <c r="O230" s="177"/>
      <c r="P230" s="137" t="str">
        <f t="shared" si="30"/>
        <v>-</v>
      </c>
    </row>
    <row r="231" spans="2:16" x14ac:dyDescent="0.2">
      <c r="B231" s="81"/>
      <c r="C231" s="42"/>
      <c r="D231" s="287"/>
      <c r="E231" s="288"/>
      <c r="F231" s="198"/>
      <c r="G231" s="198"/>
      <c r="H231" s="81"/>
      <c r="I231" s="81"/>
      <c r="J231" s="45"/>
      <c r="K231" s="91"/>
      <c r="L231" s="98"/>
      <c r="M231" s="177"/>
      <c r="N231" s="177"/>
      <c r="O231" s="177"/>
      <c r="P231" s="137" t="str">
        <f t="shared" si="30"/>
        <v>-</v>
      </c>
    </row>
    <row r="232" spans="2:16" x14ac:dyDescent="0.2">
      <c r="B232" s="81"/>
      <c r="C232" s="42"/>
      <c r="D232" s="287"/>
      <c r="E232" s="288"/>
      <c r="F232" s="198"/>
      <c r="G232" s="198"/>
      <c r="H232" s="81"/>
      <c r="I232" s="81"/>
      <c r="J232" s="45"/>
      <c r="K232" s="91"/>
      <c r="L232" s="98"/>
      <c r="M232" s="177"/>
      <c r="N232" s="177"/>
      <c r="O232" s="177"/>
      <c r="P232" s="137" t="str">
        <f t="shared" si="30"/>
        <v>-</v>
      </c>
    </row>
    <row r="233" spans="2:16" x14ac:dyDescent="0.2">
      <c r="B233" s="81"/>
      <c r="C233" s="42"/>
      <c r="D233" s="287"/>
      <c r="E233" s="288"/>
      <c r="F233" s="198"/>
      <c r="G233" s="198"/>
      <c r="H233" s="81"/>
      <c r="I233" s="81"/>
      <c r="J233" s="45"/>
      <c r="K233" s="91"/>
      <c r="L233" s="98"/>
      <c r="M233" s="177"/>
      <c r="N233" s="177"/>
      <c r="O233" s="177"/>
      <c r="P233" s="137" t="str">
        <f t="shared" si="30"/>
        <v>-</v>
      </c>
    </row>
    <row r="234" spans="2:16" x14ac:dyDescent="0.2">
      <c r="B234" s="199"/>
      <c r="C234" s="49"/>
      <c r="D234" s="202"/>
      <c r="E234" s="203"/>
      <c r="F234" s="203"/>
      <c r="G234" s="203"/>
      <c r="H234" s="199"/>
      <c r="I234" s="199"/>
      <c r="J234" s="70"/>
      <c r="K234" s="91"/>
      <c r="L234" s="98"/>
      <c r="M234" s="177"/>
      <c r="N234" s="177"/>
      <c r="O234" s="177"/>
      <c r="P234" s="137" t="str">
        <f t="shared" si="30"/>
        <v>-</v>
      </c>
    </row>
    <row r="235" spans="2:16" x14ac:dyDescent="0.2">
      <c r="B235" s="81"/>
      <c r="C235" s="42"/>
      <c r="D235" s="287"/>
      <c r="E235" s="288"/>
      <c r="F235" s="198"/>
      <c r="G235" s="198"/>
      <c r="H235" s="81"/>
      <c r="I235" s="81"/>
      <c r="J235" s="45"/>
      <c r="K235" s="91"/>
      <c r="L235" s="98"/>
      <c r="M235" s="177"/>
      <c r="N235" s="177"/>
      <c r="O235" s="177"/>
      <c r="P235" s="137" t="str">
        <f t="shared" si="30"/>
        <v>-</v>
      </c>
    </row>
    <row r="236" spans="2:16" x14ac:dyDescent="0.2">
      <c r="B236" s="81"/>
      <c r="C236" s="42"/>
      <c r="D236" s="287"/>
      <c r="E236" s="288"/>
      <c r="F236" s="198"/>
      <c r="G236" s="198"/>
      <c r="H236" s="81"/>
      <c r="I236" s="81"/>
      <c r="J236" s="45"/>
      <c r="K236" s="91"/>
      <c r="L236" s="98"/>
      <c r="M236" s="177"/>
      <c r="N236" s="177"/>
      <c r="O236" s="177"/>
      <c r="P236" s="137" t="str">
        <f t="shared" si="30"/>
        <v>-</v>
      </c>
    </row>
    <row r="237" spans="2:16" x14ac:dyDescent="0.2">
      <c r="B237" s="81"/>
      <c r="C237" s="42"/>
      <c r="D237" s="287"/>
      <c r="E237" s="288"/>
      <c r="F237" s="198"/>
      <c r="G237" s="198"/>
      <c r="H237" s="81"/>
      <c r="I237" s="81"/>
      <c r="J237" s="45"/>
      <c r="K237" s="91"/>
      <c r="L237" s="98"/>
      <c r="M237" s="177"/>
      <c r="N237" s="177"/>
      <c r="O237" s="177"/>
      <c r="P237" s="137" t="str">
        <f t="shared" si="30"/>
        <v>-</v>
      </c>
    </row>
    <row r="238" spans="2:16" x14ac:dyDescent="0.2">
      <c r="B238" s="81"/>
      <c r="C238" s="42"/>
      <c r="D238" s="287"/>
      <c r="E238" s="288"/>
      <c r="F238" s="198"/>
      <c r="G238" s="198"/>
      <c r="H238" s="81"/>
      <c r="I238" s="81"/>
      <c r="J238" s="45"/>
      <c r="K238" s="91"/>
      <c r="L238" s="98"/>
      <c r="M238" s="177"/>
      <c r="N238" s="177"/>
      <c r="O238" s="177"/>
      <c r="P238" s="137" t="str">
        <f t="shared" si="30"/>
        <v>-</v>
      </c>
    </row>
    <row r="239" spans="2:16" x14ac:dyDescent="0.2">
      <c r="B239" s="81"/>
      <c r="C239" s="42"/>
      <c r="D239" s="287"/>
      <c r="E239" s="288"/>
      <c r="F239" s="198"/>
      <c r="G239" s="198"/>
      <c r="H239" s="81"/>
      <c r="I239" s="81"/>
      <c r="J239" s="45"/>
      <c r="K239" s="91"/>
      <c r="L239" s="98"/>
      <c r="M239" s="177"/>
      <c r="N239" s="177"/>
      <c r="O239" s="177"/>
      <c r="P239" s="137" t="str">
        <f t="shared" si="30"/>
        <v>-</v>
      </c>
    </row>
    <row r="240" spans="2:16" x14ac:dyDescent="0.2">
      <c r="B240" s="81"/>
      <c r="C240" s="42"/>
      <c r="D240" s="287"/>
      <c r="E240" s="288"/>
      <c r="F240" s="198"/>
      <c r="G240" s="198"/>
      <c r="H240" s="81"/>
      <c r="I240" s="81"/>
      <c r="J240" s="45"/>
      <c r="K240" s="91"/>
      <c r="L240" s="98"/>
      <c r="M240" s="177"/>
      <c r="N240" s="177"/>
      <c r="O240" s="177"/>
      <c r="P240" s="137" t="str">
        <f t="shared" si="30"/>
        <v>-</v>
      </c>
    </row>
    <row r="241" spans="2:16" x14ac:dyDescent="0.2">
      <c r="B241" s="81"/>
      <c r="C241" s="42"/>
      <c r="D241" s="287"/>
      <c r="E241" s="288"/>
      <c r="F241" s="198"/>
      <c r="G241" s="198"/>
      <c r="H241" s="81"/>
      <c r="I241" s="81"/>
      <c r="J241" s="45"/>
      <c r="K241" s="91"/>
      <c r="L241" s="98"/>
      <c r="M241" s="177"/>
      <c r="N241" s="177"/>
      <c r="O241" s="177"/>
      <c r="P241" s="137" t="str">
        <f t="shared" si="30"/>
        <v>-</v>
      </c>
    </row>
    <row r="242" spans="2:16" x14ac:dyDescent="0.2">
      <c r="B242" s="81"/>
      <c r="C242" s="42"/>
      <c r="D242" s="287"/>
      <c r="E242" s="288"/>
      <c r="F242" s="198"/>
      <c r="G242" s="198"/>
      <c r="H242" s="81"/>
      <c r="I242" s="81"/>
      <c r="J242" s="45"/>
      <c r="K242" s="91"/>
      <c r="L242" s="98"/>
      <c r="M242" s="177"/>
      <c r="N242" s="177"/>
      <c r="O242" s="177"/>
      <c r="P242" s="137" t="str">
        <f t="shared" si="30"/>
        <v>-</v>
      </c>
    </row>
    <row r="243" spans="2:16" x14ac:dyDescent="0.2">
      <c r="B243" s="81"/>
      <c r="C243" s="42"/>
      <c r="D243" s="287"/>
      <c r="E243" s="288"/>
      <c r="F243" s="198"/>
      <c r="G243" s="198"/>
      <c r="H243" s="81"/>
      <c r="I243" s="81"/>
      <c r="J243" s="45"/>
      <c r="K243" s="91"/>
      <c r="L243" s="98"/>
      <c r="M243" s="177"/>
      <c r="N243" s="177"/>
      <c r="O243" s="177"/>
      <c r="P243" s="137" t="str">
        <f t="shared" si="30"/>
        <v>-</v>
      </c>
    </row>
    <row r="244" spans="2:16" x14ac:dyDescent="0.2">
      <c r="B244" s="81"/>
      <c r="C244" s="42"/>
      <c r="D244" s="287"/>
      <c r="E244" s="288"/>
      <c r="F244" s="198"/>
      <c r="G244" s="198"/>
      <c r="H244" s="81"/>
      <c r="I244" s="81"/>
      <c r="J244" s="45"/>
      <c r="K244" s="91"/>
      <c r="L244" s="98"/>
      <c r="M244" s="177"/>
      <c r="N244" s="177"/>
      <c r="O244" s="177"/>
      <c r="P244" s="137" t="str">
        <f t="shared" si="30"/>
        <v>-</v>
      </c>
    </row>
    <row r="245" spans="2:16" x14ac:dyDescent="0.2">
      <c r="B245" s="81"/>
      <c r="C245" s="42"/>
      <c r="D245" s="287"/>
      <c r="E245" s="288"/>
      <c r="F245" s="198"/>
      <c r="G245" s="198"/>
      <c r="H245" s="81"/>
      <c r="I245" s="81"/>
      <c r="J245" s="45"/>
      <c r="K245" s="91"/>
      <c r="L245" s="98"/>
      <c r="M245" s="177"/>
      <c r="N245" s="177"/>
      <c r="O245" s="177"/>
      <c r="P245" s="137" t="str">
        <f t="shared" si="30"/>
        <v>-</v>
      </c>
    </row>
    <row r="246" spans="2:16" ht="15.75" x14ac:dyDescent="0.2">
      <c r="B246" s="102"/>
      <c r="C246" s="42"/>
      <c r="D246" s="287"/>
      <c r="E246" s="288"/>
      <c r="F246" s="198"/>
      <c r="G246" s="198"/>
      <c r="H246" s="81"/>
      <c r="I246" s="81"/>
      <c r="J246" s="45"/>
      <c r="K246" s="91"/>
      <c r="L246" s="98"/>
      <c r="M246" s="177"/>
      <c r="N246" s="177"/>
      <c r="O246" s="177"/>
      <c r="P246" s="137" t="str">
        <f t="shared" si="30"/>
        <v>-</v>
      </c>
    </row>
    <row r="247" spans="2:16" x14ac:dyDescent="0.2">
      <c r="B247" s="81"/>
      <c r="C247" s="42"/>
      <c r="D247" s="287"/>
      <c r="E247" s="288"/>
      <c r="F247" s="198"/>
      <c r="G247" s="198"/>
      <c r="H247" s="81"/>
      <c r="I247" s="81"/>
      <c r="J247" s="45"/>
      <c r="K247" s="91"/>
      <c r="L247" s="98"/>
      <c r="M247" s="177"/>
      <c r="N247" s="177"/>
      <c r="O247" s="177"/>
      <c r="P247" s="137" t="str">
        <f t="shared" si="30"/>
        <v>-</v>
      </c>
    </row>
    <row r="248" spans="2:16" x14ac:dyDescent="0.2">
      <c r="B248" s="81"/>
      <c r="C248" s="42"/>
      <c r="D248" s="287"/>
      <c r="E248" s="288"/>
      <c r="F248" s="198"/>
      <c r="G248" s="198"/>
      <c r="H248" s="81"/>
      <c r="I248" s="81"/>
      <c r="J248" s="45"/>
      <c r="K248" s="91"/>
      <c r="L248" s="98"/>
      <c r="M248" s="177"/>
      <c r="N248" s="177"/>
      <c r="O248" s="177"/>
      <c r="P248" s="137" t="str">
        <f t="shared" si="30"/>
        <v>-</v>
      </c>
    </row>
    <row r="249" spans="2:16" x14ac:dyDescent="0.2">
      <c r="B249" s="81"/>
      <c r="C249" s="42"/>
      <c r="D249" s="287"/>
      <c r="E249" s="288"/>
      <c r="F249" s="198"/>
      <c r="G249" s="198"/>
      <c r="H249" s="81"/>
      <c r="I249" s="81"/>
      <c r="J249" s="45"/>
      <c r="K249" s="91"/>
      <c r="L249" s="98"/>
      <c r="M249" s="177"/>
      <c r="N249" s="177"/>
      <c r="O249" s="177"/>
      <c r="P249" s="137" t="str">
        <f t="shared" si="30"/>
        <v>-</v>
      </c>
    </row>
    <row r="250" spans="2:16" x14ac:dyDescent="0.2">
      <c r="B250" s="81"/>
      <c r="C250" s="42"/>
      <c r="D250" s="287"/>
      <c r="E250" s="288"/>
      <c r="F250" s="198"/>
      <c r="G250" s="198"/>
      <c r="H250" s="81"/>
      <c r="I250" s="81"/>
      <c r="J250" s="45"/>
      <c r="K250" s="91"/>
      <c r="L250" s="98"/>
      <c r="M250" s="177"/>
      <c r="N250" s="177"/>
      <c r="O250" s="177"/>
      <c r="P250" s="137" t="str">
        <f t="shared" si="30"/>
        <v>-</v>
      </c>
    </row>
    <row r="251" spans="2:16" x14ac:dyDescent="0.2">
      <c r="B251" s="81"/>
      <c r="C251" s="42"/>
      <c r="D251" s="287"/>
      <c r="E251" s="288"/>
      <c r="F251" s="198"/>
      <c r="G251" s="198"/>
      <c r="H251" s="81"/>
      <c r="I251" s="81"/>
      <c r="J251" s="45"/>
      <c r="K251" s="91"/>
      <c r="L251" s="98"/>
      <c r="M251" s="177"/>
      <c r="N251" s="177"/>
      <c r="O251" s="177"/>
      <c r="P251" s="137" t="str">
        <f t="shared" si="30"/>
        <v>-</v>
      </c>
    </row>
    <row r="252" spans="2:16" x14ac:dyDescent="0.2">
      <c r="B252" s="81"/>
      <c r="C252" s="42"/>
      <c r="D252" s="287"/>
      <c r="E252" s="288"/>
      <c r="F252" s="198"/>
      <c r="G252" s="198"/>
      <c r="H252" s="81"/>
      <c r="I252" s="81"/>
      <c r="J252" s="45"/>
      <c r="K252" s="91"/>
      <c r="L252" s="98"/>
      <c r="M252" s="177"/>
      <c r="N252" s="177"/>
      <c r="O252" s="177"/>
      <c r="P252" s="137" t="str">
        <f t="shared" si="30"/>
        <v>-</v>
      </c>
    </row>
    <row r="253" spans="2:16" x14ac:dyDescent="0.2">
      <c r="B253" s="81"/>
      <c r="C253" s="42"/>
      <c r="D253" s="287"/>
      <c r="E253" s="288"/>
      <c r="F253" s="198"/>
      <c r="G253" s="198"/>
      <c r="H253" s="81"/>
      <c r="I253" s="81"/>
      <c r="J253" s="45"/>
      <c r="K253" s="91"/>
      <c r="L253" s="98"/>
      <c r="M253" s="177"/>
      <c r="N253" s="177"/>
      <c r="O253" s="177"/>
      <c r="P253" s="137" t="str">
        <f t="shared" si="30"/>
        <v>-</v>
      </c>
    </row>
    <row r="254" spans="2:16" x14ac:dyDescent="0.2">
      <c r="B254" s="81"/>
      <c r="C254" s="42"/>
      <c r="D254" s="287"/>
      <c r="E254" s="288"/>
      <c r="F254" s="198"/>
      <c r="G254" s="198"/>
      <c r="H254" s="81"/>
      <c r="I254" s="81"/>
      <c r="J254" s="45"/>
      <c r="K254" s="91"/>
      <c r="L254" s="98"/>
      <c r="M254" s="177"/>
      <c r="N254" s="177"/>
      <c r="O254" s="177"/>
      <c r="P254" s="137" t="str">
        <f t="shared" si="30"/>
        <v>-</v>
      </c>
    </row>
    <row r="255" spans="2:16" x14ac:dyDescent="0.2">
      <c r="B255" s="81"/>
      <c r="C255" s="42"/>
      <c r="D255" s="287"/>
      <c r="E255" s="288"/>
      <c r="F255" s="198"/>
      <c r="G255" s="198"/>
      <c r="H255" s="81"/>
      <c r="I255" s="81"/>
      <c r="J255" s="45"/>
      <c r="K255" s="91"/>
      <c r="L255" s="98"/>
      <c r="M255" s="177"/>
      <c r="N255" s="177"/>
      <c r="O255" s="177"/>
      <c r="P255" s="137" t="str">
        <f t="shared" si="30"/>
        <v>-</v>
      </c>
    </row>
    <row r="256" spans="2:16" ht="15.75" x14ac:dyDescent="0.2">
      <c r="B256" s="103"/>
      <c r="C256" s="42"/>
      <c r="D256" s="287"/>
      <c r="E256" s="288"/>
      <c r="F256" s="198"/>
      <c r="G256" s="198"/>
      <c r="H256" s="81"/>
      <c r="I256" s="81"/>
      <c r="J256" s="45"/>
      <c r="K256" s="91"/>
      <c r="L256" s="98"/>
      <c r="M256" s="177"/>
      <c r="N256" s="177"/>
      <c r="O256" s="177"/>
      <c r="P256" s="137" t="str">
        <f t="shared" si="30"/>
        <v>-</v>
      </c>
    </row>
    <row r="257" spans="2:16" ht="15.75" x14ac:dyDescent="0.2">
      <c r="B257" s="103"/>
      <c r="C257" s="42"/>
      <c r="D257" s="197"/>
      <c r="E257" s="198"/>
      <c r="F257" s="198"/>
      <c r="G257" s="198"/>
      <c r="H257" s="81"/>
      <c r="I257" s="81"/>
      <c r="J257" s="45"/>
      <c r="K257" s="91"/>
      <c r="L257" s="98"/>
      <c r="M257" s="177"/>
      <c r="N257" s="177"/>
      <c r="O257" s="177"/>
      <c r="P257" s="137" t="str">
        <f t="shared" si="30"/>
        <v>-</v>
      </c>
    </row>
    <row r="258" spans="2:16" ht="15.75" x14ac:dyDescent="0.2">
      <c r="B258" s="103"/>
      <c r="C258" s="42"/>
      <c r="D258" s="197"/>
      <c r="E258" s="198"/>
      <c r="F258" s="198"/>
      <c r="G258" s="198"/>
      <c r="H258" s="81"/>
      <c r="I258" s="81"/>
      <c r="J258" s="45"/>
      <c r="K258" s="91"/>
      <c r="L258" s="98"/>
      <c r="M258" s="177"/>
      <c r="N258" s="177"/>
      <c r="O258" s="177"/>
      <c r="P258" s="137" t="str">
        <f t="shared" si="30"/>
        <v>-</v>
      </c>
    </row>
    <row r="259" spans="2:16" ht="15.75" x14ac:dyDescent="0.2">
      <c r="B259" s="103"/>
      <c r="C259" s="42"/>
      <c r="D259" s="197"/>
      <c r="E259" s="198"/>
      <c r="F259" s="198"/>
      <c r="G259" s="198"/>
      <c r="H259" s="81"/>
      <c r="I259" s="81"/>
      <c r="J259" s="45"/>
      <c r="K259" s="91"/>
      <c r="L259" s="98"/>
      <c r="M259" s="177"/>
      <c r="N259" s="177"/>
      <c r="O259" s="177"/>
      <c r="P259" s="137" t="str">
        <f t="shared" si="30"/>
        <v>-</v>
      </c>
    </row>
    <row r="260" spans="2:16" x14ac:dyDescent="0.2">
      <c r="B260" s="199"/>
      <c r="C260" s="49"/>
      <c r="D260" s="202"/>
      <c r="E260" s="203"/>
      <c r="F260" s="203"/>
      <c r="G260" s="203"/>
      <c r="H260" s="199"/>
      <c r="I260" s="199"/>
      <c r="J260" s="70"/>
      <c r="K260" s="91"/>
      <c r="L260" s="98"/>
      <c r="M260" s="177"/>
      <c r="N260" s="177"/>
      <c r="O260" s="177"/>
      <c r="P260" s="137" t="str">
        <f t="shared" si="30"/>
        <v>-</v>
      </c>
    </row>
    <row r="261" spans="2:16" x14ac:dyDescent="0.2">
      <c r="B261" s="81"/>
      <c r="C261" s="42"/>
      <c r="D261" s="287"/>
      <c r="E261" s="288"/>
      <c r="F261" s="198"/>
      <c r="G261" s="198"/>
      <c r="H261" s="81"/>
      <c r="I261" s="81"/>
      <c r="J261" s="45"/>
      <c r="K261" s="91"/>
      <c r="L261" s="98"/>
      <c r="M261" s="177"/>
      <c r="N261" s="177"/>
      <c r="O261" s="177"/>
      <c r="P261" s="137" t="str">
        <f t="shared" si="30"/>
        <v>-</v>
      </c>
    </row>
    <row r="262" spans="2:16" x14ac:dyDescent="0.2">
      <c r="B262" s="81"/>
      <c r="C262" s="42"/>
      <c r="D262" s="287"/>
      <c r="E262" s="288"/>
      <c r="F262" s="198"/>
      <c r="G262" s="198"/>
      <c r="H262" s="81"/>
      <c r="I262" s="81"/>
      <c r="J262" s="45"/>
      <c r="K262" s="91"/>
      <c r="L262" s="98"/>
      <c r="M262" s="177"/>
      <c r="N262" s="177"/>
      <c r="O262" s="177"/>
      <c r="P262" s="137" t="str">
        <f t="shared" si="30"/>
        <v>-</v>
      </c>
    </row>
    <row r="263" spans="2:16" x14ac:dyDescent="0.2">
      <c r="B263" s="81"/>
      <c r="C263" s="42"/>
      <c r="D263" s="287"/>
      <c r="E263" s="288"/>
      <c r="F263" s="198"/>
      <c r="G263" s="198"/>
      <c r="H263" s="81"/>
      <c r="I263" s="81"/>
      <c r="J263" s="45"/>
      <c r="K263" s="91"/>
      <c r="L263" s="98"/>
      <c r="M263" s="177"/>
      <c r="N263" s="177"/>
      <c r="O263" s="177"/>
      <c r="P263" s="137" t="str">
        <f t="shared" si="30"/>
        <v>-</v>
      </c>
    </row>
    <row r="264" spans="2:16" x14ac:dyDescent="0.2">
      <c r="B264" s="81"/>
      <c r="C264" s="42"/>
      <c r="D264" s="287"/>
      <c r="E264" s="288"/>
      <c r="F264" s="198"/>
      <c r="G264" s="198"/>
      <c r="H264" s="81"/>
      <c r="I264" s="81"/>
      <c r="J264" s="45"/>
      <c r="K264" s="91"/>
      <c r="L264" s="98"/>
      <c r="M264" s="177"/>
      <c r="N264" s="177"/>
      <c r="O264" s="177"/>
      <c r="P264" s="137" t="str">
        <f t="shared" si="30"/>
        <v>-</v>
      </c>
    </row>
    <row r="265" spans="2:16" x14ac:dyDescent="0.2">
      <c r="B265" s="81"/>
      <c r="C265" s="42"/>
      <c r="D265" s="287"/>
      <c r="E265" s="288"/>
      <c r="F265" s="198"/>
      <c r="G265" s="198"/>
      <c r="H265" s="81"/>
      <c r="I265" s="81"/>
      <c r="J265" s="45"/>
      <c r="K265" s="91"/>
      <c r="L265" s="98"/>
      <c r="M265" s="177"/>
      <c r="N265" s="177"/>
      <c r="O265" s="177"/>
      <c r="P265" s="137" t="str">
        <f t="shared" si="30"/>
        <v>-</v>
      </c>
    </row>
    <row r="266" spans="2:16" x14ac:dyDescent="0.2">
      <c r="B266" s="81"/>
      <c r="C266" s="42"/>
      <c r="D266" s="287"/>
      <c r="E266" s="288"/>
      <c r="F266" s="198"/>
      <c r="G266" s="198"/>
      <c r="H266" s="81"/>
      <c r="I266" s="81"/>
      <c r="J266" s="45"/>
      <c r="K266" s="91"/>
      <c r="L266" s="98"/>
      <c r="M266" s="177"/>
      <c r="N266" s="177"/>
      <c r="O266" s="177"/>
      <c r="P266" s="137" t="str">
        <f t="shared" si="30"/>
        <v>-</v>
      </c>
    </row>
    <row r="267" spans="2:16" x14ac:dyDescent="0.2">
      <c r="B267" s="81"/>
      <c r="C267" s="42"/>
      <c r="D267" s="287"/>
      <c r="E267" s="288"/>
      <c r="F267" s="198"/>
      <c r="G267" s="198"/>
      <c r="H267" s="81"/>
      <c r="I267" s="81"/>
      <c r="J267" s="45"/>
      <c r="K267" s="91"/>
      <c r="L267" s="98"/>
      <c r="M267" s="177"/>
      <c r="N267" s="177"/>
      <c r="O267" s="177"/>
      <c r="P267" s="137" t="str">
        <f t="shared" si="30"/>
        <v>-</v>
      </c>
    </row>
    <row r="268" spans="2:16" x14ac:dyDescent="0.2">
      <c r="B268" s="81"/>
      <c r="C268" s="42"/>
      <c r="D268" s="287"/>
      <c r="E268" s="288"/>
      <c r="F268" s="198"/>
      <c r="G268" s="198"/>
      <c r="H268" s="81"/>
      <c r="I268" s="81"/>
      <c r="J268" s="45"/>
      <c r="K268" s="91"/>
      <c r="L268" s="98"/>
      <c r="M268" s="177"/>
      <c r="N268" s="177"/>
      <c r="O268" s="177"/>
      <c r="P268" s="137" t="str">
        <f t="shared" si="30"/>
        <v>-</v>
      </c>
    </row>
    <row r="269" spans="2:16" x14ac:dyDescent="0.2">
      <c r="B269" s="81"/>
      <c r="C269" s="42"/>
      <c r="D269" s="287"/>
      <c r="E269" s="288"/>
      <c r="F269" s="198"/>
      <c r="G269" s="198"/>
      <c r="H269" s="81"/>
      <c r="I269" s="81"/>
      <c r="J269" s="45"/>
      <c r="K269" s="91"/>
      <c r="L269" s="98"/>
      <c r="M269" s="177"/>
      <c r="N269" s="177"/>
      <c r="O269" s="177"/>
      <c r="P269" s="137" t="str">
        <f t="shared" si="30"/>
        <v>-</v>
      </c>
    </row>
    <row r="270" spans="2:16" x14ac:dyDescent="0.2">
      <c r="B270" s="81"/>
      <c r="C270" s="42"/>
      <c r="D270" s="287"/>
      <c r="E270" s="288"/>
      <c r="F270" s="198"/>
      <c r="G270" s="198"/>
      <c r="H270" s="81"/>
      <c r="I270" s="81"/>
      <c r="J270" s="45"/>
      <c r="K270" s="91"/>
      <c r="L270" s="98"/>
      <c r="M270" s="177"/>
      <c r="N270" s="177"/>
      <c r="O270" s="177"/>
      <c r="P270" s="137" t="str">
        <f t="shared" si="30"/>
        <v>-</v>
      </c>
    </row>
    <row r="271" spans="2:16" x14ac:dyDescent="0.2">
      <c r="B271" s="81"/>
      <c r="C271" s="42"/>
      <c r="D271" s="287"/>
      <c r="E271" s="288"/>
      <c r="F271" s="198"/>
      <c r="G271" s="198"/>
      <c r="H271" s="81"/>
      <c r="I271" s="81"/>
      <c r="J271" s="45"/>
      <c r="K271" s="91"/>
      <c r="L271" s="98"/>
      <c r="M271" s="177"/>
      <c r="N271" s="177"/>
      <c r="O271" s="177"/>
      <c r="P271" s="137" t="str">
        <f t="shared" si="30"/>
        <v>-</v>
      </c>
    </row>
    <row r="272" spans="2:16" ht="15.75" x14ac:dyDescent="0.2">
      <c r="B272" s="102"/>
      <c r="C272" s="42"/>
      <c r="D272" s="287"/>
      <c r="E272" s="288"/>
      <c r="F272" s="198"/>
      <c r="G272" s="198"/>
      <c r="H272" s="81"/>
      <c r="I272" s="81"/>
      <c r="J272" s="45"/>
      <c r="K272" s="91"/>
      <c r="L272" s="98"/>
      <c r="M272" s="177"/>
      <c r="N272" s="177"/>
      <c r="O272" s="177"/>
      <c r="P272" s="137" t="str">
        <f t="shared" si="30"/>
        <v>-</v>
      </c>
    </row>
    <row r="273" spans="2:16" x14ac:dyDescent="0.2">
      <c r="B273" s="81"/>
      <c r="C273" s="42"/>
      <c r="D273" s="287"/>
      <c r="E273" s="288"/>
      <c r="F273" s="198"/>
      <c r="G273" s="198"/>
      <c r="H273" s="81"/>
      <c r="I273" s="81"/>
      <c r="J273" s="45"/>
      <c r="K273" s="91"/>
      <c r="L273" s="98"/>
      <c r="M273" s="177"/>
      <c r="N273" s="177"/>
      <c r="O273" s="177"/>
      <c r="P273" s="137" t="str">
        <f t="shared" si="30"/>
        <v>-</v>
      </c>
    </row>
    <row r="274" spans="2:16" x14ac:dyDescent="0.2">
      <c r="B274" s="81"/>
      <c r="C274" s="42"/>
      <c r="D274" s="287"/>
      <c r="E274" s="288"/>
      <c r="F274" s="198"/>
      <c r="G274" s="198"/>
      <c r="H274" s="81"/>
      <c r="I274" s="81"/>
      <c r="J274" s="45"/>
      <c r="K274" s="91"/>
      <c r="L274" s="98"/>
      <c r="M274" s="177"/>
      <c r="N274" s="177"/>
      <c r="O274" s="177"/>
      <c r="P274" s="137" t="str">
        <f t="shared" si="30"/>
        <v>-</v>
      </c>
    </row>
    <row r="275" spans="2:16" x14ac:dyDescent="0.2">
      <c r="B275" s="81"/>
      <c r="C275" s="42"/>
      <c r="D275" s="287"/>
      <c r="E275" s="288"/>
      <c r="F275" s="198"/>
      <c r="G275" s="198"/>
      <c r="H275" s="81"/>
      <c r="I275" s="81"/>
      <c r="J275" s="45"/>
      <c r="K275" s="91"/>
      <c r="L275" s="98"/>
      <c r="M275" s="177"/>
      <c r="N275" s="177"/>
      <c r="O275" s="177"/>
      <c r="P275" s="137" t="str">
        <f t="shared" si="30"/>
        <v>-</v>
      </c>
    </row>
    <row r="276" spans="2:16" x14ac:dyDescent="0.2">
      <c r="B276" s="81"/>
      <c r="C276" s="42"/>
      <c r="D276" s="287"/>
      <c r="E276" s="288"/>
      <c r="F276" s="198"/>
      <c r="G276" s="198"/>
      <c r="H276" s="81"/>
      <c r="I276" s="81"/>
      <c r="J276" s="45"/>
      <c r="K276" s="91"/>
      <c r="L276" s="98"/>
      <c r="M276" s="177"/>
      <c r="N276" s="177"/>
      <c r="O276" s="177"/>
      <c r="P276" s="137" t="str">
        <f t="shared" si="30"/>
        <v>-</v>
      </c>
    </row>
    <row r="277" spans="2:16" x14ac:dyDescent="0.2">
      <c r="B277" s="81"/>
      <c r="C277" s="42"/>
      <c r="D277" s="287"/>
      <c r="E277" s="288"/>
      <c r="F277" s="198"/>
      <c r="G277" s="198"/>
      <c r="H277" s="81"/>
      <c r="I277" s="81"/>
      <c r="J277" s="45"/>
      <c r="K277" s="91"/>
      <c r="L277" s="98"/>
      <c r="M277" s="177"/>
      <c r="N277" s="177"/>
      <c r="O277" s="177"/>
      <c r="P277" s="137" t="str">
        <f t="shared" si="30"/>
        <v>-</v>
      </c>
    </row>
    <row r="278" spans="2:16" x14ac:dyDescent="0.2">
      <c r="B278" s="81"/>
      <c r="C278" s="42"/>
      <c r="D278" s="287"/>
      <c r="E278" s="288"/>
      <c r="F278" s="198"/>
      <c r="G278" s="198"/>
      <c r="H278" s="81"/>
      <c r="I278" s="81"/>
      <c r="J278" s="45"/>
      <c r="K278" s="91"/>
      <c r="L278" s="98"/>
      <c r="M278" s="177"/>
      <c r="N278" s="177"/>
      <c r="O278" s="177"/>
      <c r="P278" s="137" t="str">
        <f t="shared" si="30"/>
        <v>-</v>
      </c>
    </row>
    <row r="279" spans="2:16" x14ac:dyDescent="0.2">
      <c r="B279" s="81"/>
      <c r="C279" s="42"/>
      <c r="D279" s="287"/>
      <c r="E279" s="288"/>
      <c r="F279" s="198"/>
      <c r="G279" s="198"/>
      <c r="H279" s="81"/>
      <c r="I279" s="81"/>
      <c r="J279" s="45"/>
      <c r="K279" s="91"/>
      <c r="L279" s="98"/>
      <c r="M279" s="177"/>
      <c r="N279" s="177"/>
      <c r="O279" s="177"/>
      <c r="P279" s="137" t="str">
        <f t="shared" si="30"/>
        <v>-</v>
      </c>
    </row>
    <row r="280" spans="2:16" x14ac:dyDescent="0.2">
      <c r="B280" s="81"/>
      <c r="C280" s="42"/>
      <c r="D280" s="287"/>
      <c r="E280" s="288"/>
      <c r="F280" s="198"/>
      <c r="G280" s="198"/>
      <c r="H280" s="81"/>
      <c r="I280" s="81"/>
      <c r="J280" s="45"/>
      <c r="K280" s="91"/>
      <c r="L280" s="98"/>
      <c r="M280" s="177"/>
      <c r="N280" s="177"/>
      <c r="O280" s="177"/>
      <c r="P280" s="137" t="str">
        <f t="shared" ref="P280:P291" si="31">IF(H279="","-",IF(K279="","",K279))</f>
        <v>-</v>
      </c>
    </row>
    <row r="281" spans="2:16" x14ac:dyDescent="0.2">
      <c r="B281" s="81"/>
      <c r="C281" s="42"/>
      <c r="D281" s="287"/>
      <c r="E281" s="288"/>
      <c r="F281" s="198"/>
      <c r="G281" s="198"/>
      <c r="H281" s="81"/>
      <c r="I281" s="81"/>
      <c r="J281" s="45"/>
      <c r="K281" s="91"/>
      <c r="L281" s="98"/>
      <c r="M281" s="177"/>
      <c r="N281" s="177"/>
      <c r="O281" s="177"/>
      <c r="P281" s="137" t="str">
        <f t="shared" si="31"/>
        <v>-</v>
      </c>
    </row>
    <row r="282" spans="2:16" ht="15.75" x14ac:dyDescent="0.2">
      <c r="B282" s="103"/>
      <c r="C282" s="42"/>
      <c r="D282" s="287"/>
      <c r="E282" s="288"/>
      <c r="F282" s="198"/>
      <c r="G282" s="198"/>
      <c r="H282" s="81"/>
      <c r="I282" s="81"/>
      <c r="J282" s="45"/>
      <c r="K282" s="91"/>
      <c r="L282" s="98"/>
      <c r="M282" s="177"/>
      <c r="N282" s="177"/>
      <c r="O282" s="177"/>
      <c r="P282" s="137" t="str">
        <f t="shared" si="31"/>
        <v>-</v>
      </c>
    </row>
    <row r="283" spans="2:16" ht="15.75" x14ac:dyDescent="0.2">
      <c r="B283" s="103"/>
      <c r="C283" s="42"/>
      <c r="D283" s="287"/>
      <c r="E283" s="288"/>
      <c r="F283" s="198"/>
      <c r="G283" s="198"/>
      <c r="H283" s="81"/>
      <c r="I283" s="81"/>
      <c r="J283" s="45"/>
      <c r="K283" s="91"/>
      <c r="L283" s="98"/>
      <c r="M283" s="177"/>
      <c r="N283" s="177"/>
      <c r="O283" s="177"/>
      <c r="P283" s="137" t="str">
        <f t="shared" si="31"/>
        <v>-</v>
      </c>
    </row>
    <row r="284" spans="2:16" ht="15.75" x14ac:dyDescent="0.2">
      <c r="B284" s="103"/>
      <c r="C284" s="42"/>
      <c r="D284" s="287"/>
      <c r="E284" s="288"/>
      <c r="F284" s="198"/>
      <c r="G284" s="198"/>
      <c r="H284" s="81"/>
      <c r="I284" s="81"/>
      <c r="J284" s="45"/>
      <c r="K284" s="91"/>
      <c r="L284" s="98"/>
      <c r="M284" s="177"/>
      <c r="N284" s="177"/>
      <c r="O284" s="177"/>
      <c r="P284" s="137" t="str">
        <f t="shared" si="31"/>
        <v>-</v>
      </c>
    </row>
    <row r="285" spans="2:16" ht="15.75" x14ac:dyDescent="0.2">
      <c r="B285" s="103"/>
      <c r="C285" s="42"/>
      <c r="D285" s="287"/>
      <c r="E285" s="288"/>
      <c r="F285" s="198"/>
      <c r="G285" s="198"/>
      <c r="H285" s="81"/>
      <c r="I285" s="81"/>
      <c r="J285" s="45"/>
      <c r="K285" s="91"/>
      <c r="L285" s="98"/>
      <c r="M285" s="177"/>
      <c r="N285" s="177"/>
      <c r="O285" s="177"/>
      <c r="P285" s="137" t="str">
        <f t="shared" si="31"/>
        <v>-</v>
      </c>
    </row>
    <row r="286" spans="2:16" ht="15.75" x14ac:dyDescent="0.2">
      <c r="B286" s="97"/>
      <c r="C286" s="96"/>
      <c r="D286" s="301"/>
      <c r="E286" s="302"/>
      <c r="F286" s="206"/>
      <c r="G286" s="206"/>
      <c r="H286" s="97"/>
      <c r="I286" s="97"/>
      <c r="J286" s="97"/>
      <c r="K286" s="91"/>
      <c r="L286" s="98"/>
      <c r="M286" s="177"/>
      <c r="N286" s="177"/>
      <c r="O286" s="177"/>
      <c r="P286" s="137" t="str">
        <f t="shared" si="31"/>
        <v>-</v>
      </c>
    </row>
    <row r="287" spans="2:16" x14ac:dyDescent="0.2">
      <c r="B287" s="81"/>
      <c r="C287" s="42"/>
      <c r="D287" s="287"/>
      <c r="E287" s="288"/>
      <c r="F287" s="198"/>
      <c r="G287" s="198"/>
      <c r="H287" s="81"/>
      <c r="I287" s="81"/>
      <c r="J287" s="45"/>
      <c r="K287" s="91"/>
      <c r="L287" s="98"/>
      <c r="M287" s="177"/>
      <c r="N287" s="177"/>
      <c r="O287" s="177"/>
      <c r="P287" s="137" t="str">
        <f t="shared" si="31"/>
        <v>-</v>
      </c>
    </row>
    <row r="288" spans="2:16" x14ac:dyDescent="0.2">
      <c r="B288" s="81"/>
      <c r="C288" s="42"/>
      <c r="D288" s="287"/>
      <c r="E288" s="288"/>
      <c r="F288" s="198"/>
      <c r="G288" s="198"/>
      <c r="H288" s="81"/>
      <c r="I288" s="81"/>
      <c r="J288" s="45"/>
      <c r="K288" s="91"/>
      <c r="L288" s="98"/>
      <c r="M288" s="177"/>
      <c r="N288" s="177"/>
      <c r="O288" s="177"/>
      <c r="P288" s="137" t="str">
        <f t="shared" si="31"/>
        <v>-</v>
      </c>
    </row>
    <row r="289" spans="2:16" x14ac:dyDescent="0.2">
      <c r="B289" s="81"/>
      <c r="C289" s="42"/>
      <c r="D289" s="287"/>
      <c r="E289" s="288"/>
      <c r="F289" s="198"/>
      <c r="G289" s="198"/>
      <c r="H289" s="81"/>
      <c r="I289" s="81"/>
      <c r="J289" s="45"/>
      <c r="K289" s="91"/>
      <c r="L289" s="98"/>
      <c r="M289" s="177"/>
      <c r="N289" s="177"/>
      <c r="O289" s="177"/>
      <c r="P289" s="137" t="str">
        <f t="shared" si="31"/>
        <v>-</v>
      </c>
    </row>
    <row r="290" spans="2:16" x14ac:dyDescent="0.2">
      <c r="B290" s="81"/>
      <c r="C290" s="42"/>
      <c r="D290" s="287"/>
      <c r="E290" s="288"/>
      <c r="F290" s="198"/>
      <c r="G290" s="198"/>
      <c r="H290" s="81"/>
      <c r="I290" s="81"/>
      <c r="J290" s="45"/>
      <c r="K290" s="91"/>
      <c r="L290" s="98"/>
      <c r="M290" s="177"/>
      <c r="N290" s="177"/>
      <c r="O290" s="177"/>
      <c r="P290" s="137" t="str">
        <f t="shared" si="31"/>
        <v>-</v>
      </c>
    </row>
    <row r="291" spans="2:16" x14ac:dyDescent="0.2">
      <c r="B291" s="81"/>
      <c r="C291" s="42"/>
      <c r="D291" s="287"/>
      <c r="E291" s="288"/>
      <c r="F291" s="198"/>
      <c r="G291" s="198"/>
      <c r="H291" s="81"/>
      <c r="I291" s="81"/>
      <c r="J291" s="45"/>
      <c r="K291" s="91"/>
      <c r="L291" s="98"/>
      <c r="M291" s="177"/>
      <c r="N291" s="177"/>
      <c r="O291" s="177"/>
      <c r="P291" s="137" t="str">
        <f t="shared" si="31"/>
        <v>-</v>
      </c>
    </row>
    <row r="292" spans="2:16" x14ac:dyDescent="0.2">
      <c r="B292" s="81"/>
      <c r="C292" s="42"/>
      <c r="D292" s="287"/>
      <c r="E292" s="288"/>
      <c r="F292" s="198"/>
      <c r="G292" s="198"/>
      <c r="H292" s="81"/>
      <c r="I292" s="81"/>
      <c r="J292" s="45"/>
      <c r="K292" s="91"/>
      <c r="L292" s="98"/>
      <c r="M292" s="177"/>
      <c r="N292" s="177"/>
      <c r="O292" s="177"/>
      <c r="P292" s="137" t="str">
        <f t="shared" ref="P292:P355" si="32">IF(H291="","-",IF(K291="","",K291))</f>
        <v>-</v>
      </c>
    </row>
    <row r="293" spans="2:16" x14ac:dyDescent="0.2">
      <c r="B293" s="81"/>
      <c r="C293" s="42"/>
      <c r="D293" s="287"/>
      <c r="E293" s="288"/>
      <c r="F293" s="198"/>
      <c r="G293" s="198"/>
      <c r="H293" s="81"/>
      <c r="I293" s="81"/>
      <c r="J293" s="45"/>
      <c r="K293" s="91"/>
      <c r="L293" s="98"/>
      <c r="M293" s="177"/>
      <c r="N293" s="177"/>
      <c r="O293" s="177"/>
      <c r="P293" s="137" t="str">
        <f t="shared" si="32"/>
        <v>-</v>
      </c>
    </row>
    <row r="294" spans="2:16" x14ac:dyDescent="0.2">
      <c r="B294" s="81"/>
      <c r="C294" s="42"/>
      <c r="D294" s="287"/>
      <c r="E294" s="288"/>
      <c r="F294" s="198"/>
      <c r="G294" s="198"/>
      <c r="H294" s="81"/>
      <c r="I294" s="81"/>
      <c r="J294" s="45"/>
      <c r="K294" s="91"/>
      <c r="L294" s="98"/>
      <c r="M294" s="177"/>
      <c r="N294" s="177"/>
      <c r="O294" s="177"/>
      <c r="P294" s="137" t="str">
        <f t="shared" si="32"/>
        <v>-</v>
      </c>
    </row>
    <row r="295" spans="2:16" x14ac:dyDescent="0.2">
      <c r="B295" s="81"/>
      <c r="C295" s="42"/>
      <c r="D295" s="287"/>
      <c r="E295" s="288"/>
      <c r="F295" s="198"/>
      <c r="G295" s="198"/>
      <c r="H295" s="81"/>
      <c r="I295" s="81"/>
      <c r="J295" s="45"/>
      <c r="K295" s="91"/>
      <c r="L295" s="98"/>
      <c r="M295" s="177"/>
      <c r="N295" s="177"/>
      <c r="O295" s="177"/>
      <c r="P295" s="137" t="str">
        <f t="shared" si="32"/>
        <v>-</v>
      </c>
    </row>
    <row r="296" spans="2:16" x14ac:dyDescent="0.2">
      <c r="B296" s="81"/>
      <c r="C296" s="42"/>
      <c r="D296" s="287"/>
      <c r="E296" s="288"/>
      <c r="F296" s="198"/>
      <c r="G296" s="198"/>
      <c r="H296" s="81"/>
      <c r="I296" s="81"/>
      <c r="J296" s="45"/>
      <c r="K296" s="91"/>
      <c r="L296" s="98"/>
      <c r="M296" s="177"/>
      <c r="N296" s="177"/>
      <c r="O296" s="177"/>
      <c r="P296" s="137" t="str">
        <f t="shared" si="32"/>
        <v>-</v>
      </c>
    </row>
    <row r="297" spans="2:16" x14ac:dyDescent="0.2">
      <c r="B297" s="81"/>
      <c r="C297" s="42"/>
      <c r="D297" s="287"/>
      <c r="E297" s="288"/>
      <c r="F297" s="198"/>
      <c r="G297" s="198"/>
      <c r="H297" s="81"/>
      <c r="I297" s="81"/>
      <c r="J297" s="45"/>
      <c r="K297" s="91"/>
      <c r="L297" s="98"/>
      <c r="M297" s="177"/>
      <c r="N297" s="177"/>
      <c r="O297" s="177"/>
      <c r="P297" s="137" t="str">
        <f t="shared" si="32"/>
        <v>-</v>
      </c>
    </row>
    <row r="298" spans="2:16" x14ac:dyDescent="0.2">
      <c r="B298" s="81"/>
      <c r="C298" s="42"/>
      <c r="D298" s="287"/>
      <c r="E298" s="288"/>
      <c r="F298" s="198"/>
      <c r="G298" s="198"/>
      <c r="H298" s="81"/>
      <c r="I298" s="81"/>
      <c r="J298" s="45"/>
      <c r="K298" s="91"/>
      <c r="L298" s="98"/>
      <c r="M298" s="177"/>
      <c r="N298" s="177"/>
      <c r="O298" s="177"/>
      <c r="P298" s="137" t="str">
        <f t="shared" si="32"/>
        <v>-</v>
      </c>
    </row>
    <row r="299" spans="2:16" x14ac:dyDescent="0.2">
      <c r="B299" s="81"/>
      <c r="C299" s="42"/>
      <c r="D299" s="287"/>
      <c r="E299" s="288"/>
      <c r="F299" s="198"/>
      <c r="G299" s="198"/>
      <c r="H299" s="81"/>
      <c r="I299" s="81"/>
      <c r="J299" s="45"/>
      <c r="K299" s="91"/>
      <c r="L299" s="98"/>
      <c r="M299" s="177"/>
      <c r="N299" s="177"/>
      <c r="O299" s="177"/>
      <c r="P299" s="137" t="str">
        <f t="shared" si="32"/>
        <v>-</v>
      </c>
    </row>
    <row r="300" spans="2:16" x14ac:dyDescent="0.2">
      <c r="B300" s="81"/>
      <c r="C300" s="42"/>
      <c r="D300" s="287"/>
      <c r="E300" s="288"/>
      <c r="F300" s="198"/>
      <c r="G300" s="198"/>
      <c r="H300" s="81"/>
      <c r="I300" s="81"/>
      <c r="J300" s="45"/>
      <c r="K300" s="91"/>
      <c r="L300" s="98"/>
      <c r="M300" s="177"/>
      <c r="N300" s="177"/>
      <c r="O300" s="177"/>
      <c r="P300" s="137" t="str">
        <f t="shared" si="32"/>
        <v>-</v>
      </c>
    </row>
    <row r="301" spans="2:16" x14ac:dyDescent="0.2">
      <c r="B301" s="81"/>
      <c r="C301" s="42"/>
      <c r="D301" s="287"/>
      <c r="E301" s="288"/>
      <c r="F301" s="198"/>
      <c r="G301" s="198"/>
      <c r="H301" s="81"/>
      <c r="I301" s="81"/>
      <c r="J301" s="45"/>
      <c r="K301" s="91"/>
      <c r="L301" s="98"/>
      <c r="M301" s="177"/>
      <c r="N301" s="177"/>
      <c r="O301" s="177"/>
      <c r="P301" s="137" t="str">
        <f t="shared" si="32"/>
        <v>-</v>
      </c>
    </row>
    <row r="302" spans="2:16" x14ac:dyDescent="0.2">
      <c r="B302" s="81"/>
      <c r="C302" s="42"/>
      <c r="D302" s="287"/>
      <c r="E302" s="288"/>
      <c r="F302" s="198"/>
      <c r="G302" s="198"/>
      <c r="H302" s="81"/>
      <c r="I302" s="81"/>
      <c r="J302" s="45"/>
      <c r="K302" s="91"/>
      <c r="L302" s="98"/>
      <c r="M302" s="177"/>
      <c r="N302" s="177"/>
      <c r="O302" s="177"/>
      <c r="P302" s="137" t="str">
        <f t="shared" si="32"/>
        <v>-</v>
      </c>
    </row>
    <row r="303" spans="2:16" x14ac:dyDescent="0.2">
      <c r="B303" s="81"/>
      <c r="C303" s="42"/>
      <c r="D303" s="287"/>
      <c r="E303" s="288"/>
      <c r="F303" s="198"/>
      <c r="G303" s="198"/>
      <c r="H303" s="81"/>
      <c r="I303" s="81"/>
      <c r="J303" s="45"/>
      <c r="K303" s="91"/>
      <c r="L303" s="98"/>
      <c r="M303" s="177"/>
      <c r="N303" s="177"/>
      <c r="O303" s="177"/>
      <c r="P303" s="137" t="str">
        <f t="shared" si="32"/>
        <v>-</v>
      </c>
    </row>
    <row r="304" spans="2:16" x14ac:dyDescent="0.2">
      <c r="B304" s="81"/>
      <c r="C304" s="42"/>
      <c r="D304" s="287"/>
      <c r="E304" s="288"/>
      <c r="F304" s="198"/>
      <c r="G304" s="198"/>
      <c r="H304" s="81"/>
      <c r="I304" s="81"/>
      <c r="J304" s="45"/>
      <c r="K304" s="91"/>
      <c r="L304" s="98"/>
      <c r="M304" s="177"/>
      <c r="N304" s="177"/>
      <c r="O304" s="177"/>
      <c r="P304" s="137" t="str">
        <f t="shared" si="32"/>
        <v>-</v>
      </c>
    </row>
    <row r="305" spans="2:16" x14ac:dyDescent="0.2">
      <c r="B305" s="81"/>
      <c r="C305" s="42"/>
      <c r="D305" s="287"/>
      <c r="E305" s="288"/>
      <c r="F305" s="198"/>
      <c r="G305" s="198"/>
      <c r="H305" s="81"/>
      <c r="I305" s="81"/>
      <c r="J305" s="45"/>
      <c r="K305" s="91"/>
      <c r="L305" s="98"/>
      <c r="M305" s="177"/>
      <c r="N305" s="177"/>
      <c r="O305" s="177"/>
      <c r="P305" s="137" t="str">
        <f t="shared" si="32"/>
        <v>-</v>
      </c>
    </row>
    <row r="306" spans="2:16" x14ac:dyDescent="0.2">
      <c r="B306" s="81"/>
      <c r="C306" s="42"/>
      <c r="D306" s="287"/>
      <c r="E306" s="288"/>
      <c r="F306" s="198"/>
      <c r="G306" s="198"/>
      <c r="H306" s="81"/>
      <c r="I306" s="81"/>
      <c r="J306" s="45"/>
      <c r="K306" s="91"/>
      <c r="L306" s="98"/>
      <c r="M306" s="177"/>
      <c r="N306" s="177"/>
      <c r="O306" s="177"/>
      <c r="P306" s="137" t="str">
        <f t="shared" si="32"/>
        <v>-</v>
      </c>
    </row>
    <row r="307" spans="2:16" x14ac:dyDescent="0.2">
      <c r="B307" s="81"/>
      <c r="C307" s="42"/>
      <c r="D307" s="287"/>
      <c r="E307" s="288"/>
      <c r="F307" s="198"/>
      <c r="G307" s="198"/>
      <c r="H307" s="81"/>
      <c r="I307" s="81"/>
      <c r="J307" s="45"/>
      <c r="K307" s="91"/>
      <c r="L307" s="98"/>
      <c r="M307" s="177"/>
      <c r="N307" s="177"/>
      <c r="O307" s="177"/>
      <c r="P307" s="137" t="str">
        <f t="shared" si="32"/>
        <v>-</v>
      </c>
    </row>
    <row r="308" spans="2:16" x14ac:dyDescent="0.2">
      <c r="B308" s="81"/>
      <c r="C308" s="42"/>
      <c r="D308" s="287"/>
      <c r="E308" s="288"/>
      <c r="F308" s="198"/>
      <c r="G308" s="198"/>
      <c r="H308" s="81"/>
      <c r="I308" s="81"/>
      <c r="J308" s="45"/>
      <c r="K308" s="91"/>
      <c r="L308" s="98"/>
      <c r="M308" s="177"/>
      <c r="N308" s="177"/>
      <c r="O308" s="177"/>
      <c r="P308" s="137" t="str">
        <f t="shared" si="32"/>
        <v>-</v>
      </c>
    </row>
    <row r="309" spans="2:16" x14ac:dyDescent="0.2">
      <c r="B309" s="81"/>
      <c r="C309" s="42"/>
      <c r="D309" s="287"/>
      <c r="E309" s="288"/>
      <c r="F309" s="198"/>
      <c r="G309" s="198"/>
      <c r="H309" s="81"/>
      <c r="I309" s="81"/>
      <c r="J309" s="45"/>
      <c r="K309" s="91"/>
      <c r="L309" s="98"/>
      <c r="M309" s="177"/>
      <c r="N309" s="177"/>
      <c r="O309" s="177"/>
      <c r="P309" s="137" t="str">
        <f t="shared" si="32"/>
        <v>-</v>
      </c>
    </row>
    <row r="310" spans="2:16" x14ac:dyDescent="0.2">
      <c r="B310" s="81"/>
      <c r="C310" s="42"/>
      <c r="D310" s="287"/>
      <c r="E310" s="288"/>
      <c r="F310" s="198"/>
      <c r="G310" s="198"/>
      <c r="H310" s="81"/>
      <c r="I310" s="81"/>
      <c r="J310" s="45"/>
      <c r="K310" s="91"/>
      <c r="L310" s="98"/>
      <c r="M310" s="177"/>
      <c r="N310" s="177"/>
      <c r="O310" s="177"/>
      <c r="P310" s="137" t="str">
        <f t="shared" si="32"/>
        <v>-</v>
      </c>
    </row>
    <row r="311" spans="2:16" x14ac:dyDescent="0.2">
      <c r="B311" s="81"/>
      <c r="C311" s="42"/>
      <c r="D311" s="287"/>
      <c r="E311" s="288"/>
      <c r="F311" s="198"/>
      <c r="G311" s="198"/>
      <c r="H311" s="81"/>
      <c r="I311" s="81"/>
      <c r="J311" s="45"/>
      <c r="K311" s="91"/>
      <c r="L311" s="98"/>
      <c r="M311" s="177"/>
      <c r="N311" s="177"/>
      <c r="O311" s="177"/>
      <c r="P311" s="137" t="str">
        <f t="shared" si="32"/>
        <v>-</v>
      </c>
    </row>
    <row r="312" spans="2:16" x14ac:dyDescent="0.2">
      <c r="B312" s="81"/>
      <c r="C312" s="42"/>
      <c r="D312" s="287"/>
      <c r="E312" s="288"/>
      <c r="F312" s="198"/>
      <c r="G312" s="198"/>
      <c r="H312" s="81"/>
      <c r="I312" s="81"/>
      <c r="J312" s="45"/>
      <c r="K312" s="91"/>
      <c r="L312" s="98"/>
      <c r="M312" s="177"/>
      <c r="N312" s="177"/>
      <c r="O312" s="177"/>
      <c r="P312" s="137" t="str">
        <f t="shared" si="32"/>
        <v>-</v>
      </c>
    </row>
    <row r="313" spans="2:16" x14ac:dyDescent="0.2">
      <c r="B313" s="81"/>
      <c r="C313" s="42"/>
      <c r="D313" s="287"/>
      <c r="E313" s="288"/>
      <c r="F313" s="198"/>
      <c r="G313" s="198"/>
      <c r="H313" s="81"/>
      <c r="I313" s="81"/>
      <c r="J313" s="45"/>
      <c r="K313" s="91"/>
      <c r="L313" s="98"/>
      <c r="M313" s="177"/>
      <c r="N313" s="177"/>
      <c r="O313" s="177"/>
      <c r="P313" s="137" t="str">
        <f t="shared" si="32"/>
        <v>-</v>
      </c>
    </row>
    <row r="314" spans="2:16" x14ac:dyDescent="0.2">
      <c r="B314" s="81"/>
      <c r="C314" s="42"/>
      <c r="D314" s="287"/>
      <c r="E314" s="288"/>
      <c r="F314" s="198"/>
      <c r="G314" s="198"/>
      <c r="H314" s="81"/>
      <c r="I314" s="81"/>
      <c r="J314" s="45"/>
      <c r="K314" s="91"/>
      <c r="L314" s="98"/>
      <c r="M314" s="177"/>
      <c r="N314" s="177"/>
      <c r="O314" s="177"/>
      <c r="P314" s="137" t="str">
        <f t="shared" si="32"/>
        <v>-</v>
      </c>
    </row>
    <row r="315" spans="2:16" x14ac:dyDescent="0.2">
      <c r="B315" s="81"/>
      <c r="C315" s="42"/>
      <c r="D315" s="287"/>
      <c r="E315" s="288"/>
      <c r="F315" s="198"/>
      <c r="G315" s="198"/>
      <c r="H315" s="81"/>
      <c r="I315" s="81"/>
      <c r="J315" s="45"/>
      <c r="K315" s="91"/>
      <c r="L315" s="98"/>
      <c r="M315" s="177"/>
      <c r="N315" s="177"/>
      <c r="O315" s="177"/>
      <c r="P315" s="137" t="str">
        <f t="shared" si="32"/>
        <v>-</v>
      </c>
    </row>
    <row r="316" spans="2:16" x14ac:dyDescent="0.2">
      <c r="B316" s="81"/>
      <c r="C316" s="42"/>
      <c r="D316" s="287"/>
      <c r="E316" s="288"/>
      <c r="F316" s="198"/>
      <c r="G316" s="198"/>
      <c r="H316" s="81"/>
      <c r="I316" s="81"/>
      <c r="J316" s="45"/>
      <c r="K316" s="91"/>
      <c r="L316" s="98"/>
      <c r="M316" s="177"/>
      <c r="N316" s="177"/>
      <c r="O316" s="177"/>
      <c r="P316" s="137" t="str">
        <f t="shared" si="32"/>
        <v>-</v>
      </c>
    </row>
    <row r="317" spans="2:16" x14ac:dyDescent="0.2">
      <c r="B317" s="81"/>
      <c r="C317" s="42"/>
      <c r="D317" s="197"/>
      <c r="E317" s="198"/>
      <c r="F317" s="198"/>
      <c r="G317" s="198"/>
      <c r="H317" s="81"/>
      <c r="I317" s="81"/>
      <c r="J317" s="45"/>
      <c r="K317" s="91"/>
      <c r="L317" s="98"/>
      <c r="M317" s="177"/>
      <c r="N317" s="177"/>
      <c r="O317" s="177"/>
      <c r="P317" s="137" t="str">
        <f t="shared" si="32"/>
        <v>-</v>
      </c>
    </row>
    <row r="318" spans="2:16" ht="15.75" x14ac:dyDescent="0.2">
      <c r="B318" s="97"/>
      <c r="C318" s="96"/>
      <c r="D318" s="301"/>
      <c r="E318" s="302"/>
      <c r="F318" s="206"/>
      <c r="G318" s="206"/>
      <c r="H318" s="97"/>
      <c r="I318" s="97"/>
      <c r="J318" s="97"/>
      <c r="K318" s="91"/>
      <c r="L318" s="98"/>
      <c r="M318" s="177"/>
      <c r="N318" s="177"/>
      <c r="O318" s="177"/>
      <c r="P318" s="137" t="str">
        <f t="shared" si="32"/>
        <v>-</v>
      </c>
    </row>
    <row r="319" spans="2:16" x14ac:dyDescent="0.2">
      <c r="B319" s="81"/>
      <c r="C319" s="42"/>
      <c r="D319" s="287"/>
      <c r="E319" s="288"/>
      <c r="F319" s="198"/>
      <c r="G319" s="198"/>
      <c r="H319" s="81"/>
      <c r="I319" s="81"/>
      <c r="J319" s="45"/>
      <c r="K319" s="91"/>
      <c r="L319" s="98"/>
      <c r="M319" s="177"/>
      <c r="N319" s="177"/>
      <c r="O319" s="177"/>
      <c r="P319" s="137" t="str">
        <f t="shared" si="32"/>
        <v>-</v>
      </c>
    </row>
    <row r="320" spans="2:16" x14ac:dyDescent="0.2">
      <c r="B320" s="81"/>
      <c r="C320" s="42"/>
      <c r="D320" s="287"/>
      <c r="E320" s="288"/>
      <c r="F320" s="198"/>
      <c r="G320" s="198"/>
      <c r="H320" s="81"/>
      <c r="I320" s="81"/>
      <c r="J320" s="45"/>
      <c r="K320" s="91"/>
      <c r="L320" s="98"/>
      <c r="M320" s="177"/>
      <c r="N320" s="177"/>
      <c r="O320" s="177"/>
      <c r="P320" s="137" t="str">
        <f t="shared" si="32"/>
        <v>-</v>
      </c>
    </row>
    <row r="321" spans="2:16" x14ac:dyDescent="0.2">
      <c r="B321" s="81"/>
      <c r="C321" s="42"/>
      <c r="D321" s="287"/>
      <c r="E321" s="288"/>
      <c r="F321" s="198"/>
      <c r="G321" s="198"/>
      <c r="H321" s="81"/>
      <c r="I321" s="81"/>
      <c r="J321" s="45"/>
      <c r="K321" s="91"/>
      <c r="L321" s="98"/>
      <c r="M321" s="177"/>
      <c r="N321" s="177"/>
      <c r="O321" s="177"/>
      <c r="P321" s="137" t="str">
        <f t="shared" si="32"/>
        <v>-</v>
      </c>
    </row>
    <row r="322" spans="2:16" x14ac:dyDescent="0.2">
      <c r="B322" s="81"/>
      <c r="C322" s="42"/>
      <c r="D322" s="287"/>
      <c r="E322" s="288"/>
      <c r="F322" s="198"/>
      <c r="G322" s="198"/>
      <c r="H322" s="81"/>
      <c r="I322" s="81"/>
      <c r="J322" s="45"/>
      <c r="K322" s="91"/>
      <c r="L322" s="98"/>
      <c r="M322" s="177"/>
      <c r="N322" s="177"/>
      <c r="O322" s="177"/>
      <c r="P322" s="137" t="str">
        <f t="shared" si="32"/>
        <v>-</v>
      </c>
    </row>
    <row r="323" spans="2:16" x14ac:dyDescent="0.2">
      <c r="B323" s="81"/>
      <c r="C323" s="42"/>
      <c r="D323" s="287"/>
      <c r="E323" s="288"/>
      <c r="F323" s="198"/>
      <c r="G323" s="198"/>
      <c r="H323" s="81"/>
      <c r="I323" s="81"/>
      <c r="J323" s="45"/>
      <c r="K323" s="91"/>
      <c r="L323" s="98"/>
      <c r="M323" s="177"/>
      <c r="N323" s="177"/>
      <c r="O323" s="177"/>
      <c r="P323" s="137" t="str">
        <f t="shared" si="32"/>
        <v>-</v>
      </c>
    </row>
    <row r="324" spans="2:16" x14ac:dyDescent="0.2">
      <c r="B324" s="81"/>
      <c r="C324" s="42"/>
      <c r="D324" s="287"/>
      <c r="E324" s="288"/>
      <c r="F324" s="198"/>
      <c r="G324" s="198"/>
      <c r="H324" s="81"/>
      <c r="I324" s="81"/>
      <c r="J324" s="45"/>
      <c r="K324" s="91"/>
      <c r="L324" s="98"/>
      <c r="M324" s="177"/>
      <c r="N324" s="177"/>
      <c r="O324" s="177"/>
      <c r="P324" s="137" t="str">
        <f t="shared" si="32"/>
        <v>-</v>
      </c>
    </row>
    <row r="325" spans="2:16" x14ac:dyDescent="0.2">
      <c r="B325" s="81"/>
      <c r="C325" s="42"/>
      <c r="D325" s="287"/>
      <c r="E325" s="288"/>
      <c r="F325" s="198"/>
      <c r="G325" s="198"/>
      <c r="H325" s="81"/>
      <c r="I325" s="81"/>
      <c r="J325" s="45"/>
      <c r="K325" s="91"/>
      <c r="L325" s="98"/>
      <c r="M325" s="177"/>
      <c r="N325" s="177"/>
      <c r="O325" s="177"/>
      <c r="P325" s="137" t="str">
        <f t="shared" si="32"/>
        <v>-</v>
      </c>
    </row>
    <row r="326" spans="2:16" x14ac:dyDescent="0.2">
      <c r="B326" s="81"/>
      <c r="C326" s="42"/>
      <c r="D326" s="287"/>
      <c r="E326" s="288"/>
      <c r="F326" s="198"/>
      <c r="G326" s="198"/>
      <c r="H326" s="81"/>
      <c r="I326" s="81"/>
      <c r="J326" s="45"/>
      <c r="K326" s="91"/>
      <c r="L326" s="98"/>
      <c r="M326" s="177"/>
      <c r="N326" s="177"/>
      <c r="O326" s="177"/>
      <c r="P326" s="137" t="str">
        <f t="shared" si="32"/>
        <v>-</v>
      </c>
    </row>
    <row r="327" spans="2:16" x14ac:dyDescent="0.2">
      <c r="B327" s="81"/>
      <c r="C327" s="42"/>
      <c r="D327" s="287"/>
      <c r="E327" s="288"/>
      <c r="F327" s="198"/>
      <c r="G327" s="198"/>
      <c r="H327" s="81"/>
      <c r="I327" s="81"/>
      <c r="J327" s="45"/>
      <c r="K327" s="91"/>
      <c r="L327" s="98"/>
      <c r="M327" s="177"/>
      <c r="N327" s="177"/>
      <c r="O327" s="177"/>
      <c r="P327" s="137" t="str">
        <f t="shared" si="32"/>
        <v>-</v>
      </c>
    </row>
    <row r="328" spans="2:16" x14ac:dyDescent="0.2">
      <c r="B328" s="81"/>
      <c r="C328" s="42"/>
      <c r="D328" s="287"/>
      <c r="E328" s="288"/>
      <c r="F328" s="198"/>
      <c r="G328" s="198"/>
      <c r="H328" s="81"/>
      <c r="I328" s="81"/>
      <c r="J328" s="45"/>
      <c r="K328" s="91"/>
      <c r="L328" s="98"/>
      <c r="M328" s="177"/>
      <c r="N328" s="177"/>
      <c r="O328" s="177"/>
      <c r="P328" s="137" t="str">
        <f t="shared" si="32"/>
        <v>-</v>
      </c>
    </row>
    <row r="329" spans="2:16" x14ac:dyDescent="0.2">
      <c r="B329" s="81"/>
      <c r="C329" s="42"/>
      <c r="D329" s="287"/>
      <c r="E329" s="288"/>
      <c r="F329" s="198"/>
      <c r="G329" s="198"/>
      <c r="H329" s="81"/>
      <c r="I329" s="81"/>
      <c r="J329" s="45"/>
      <c r="K329" s="91"/>
      <c r="L329" s="98"/>
      <c r="M329" s="177"/>
      <c r="N329" s="177"/>
      <c r="O329" s="177"/>
      <c r="P329" s="137" t="str">
        <f t="shared" si="32"/>
        <v>-</v>
      </c>
    </row>
    <row r="330" spans="2:16" x14ac:dyDescent="0.2">
      <c r="B330" s="81"/>
      <c r="C330" s="42"/>
      <c r="D330" s="287"/>
      <c r="E330" s="288"/>
      <c r="F330" s="198"/>
      <c r="G330" s="198"/>
      <c r="H330" s="81"/>
      <c r="I330" s="81"/>
      <c r="J330" s="45"/>
      <c r="K330" s="91"/>
      <c r="L330" s="98"/>
      <c r="M330" s="177"/>
      <c r="N330" s="177"/>
      <c r="O330" s="177"/>
      <c r="P330" s="137" t="str">
        <f t="shared" si="32"/>
        <v>-</v>
      </c>
    </row>
    <row r="331" spans="2:16" x14ac:dyDescent="0.2">
      <c r="B331" s="81"/>
      <c r="C331" s="42"/>
      <c r="D331" s="287"/>
      <c r="E331" s="288"/>
      <c r="F331" s="198"/>
      <c r="G331" s="198"/>
      <c r="H331" s="81"/>
      <c r="I331" s="81"/>
      <c r="J331" s="45"/>
      <c r="K331" s="91"/>
      <c r="L331" s="98"/>
      <c r="M331" s="177"/>
      <c r="N331" s="177"/>
      <c r="O331" s="177"/>
      <c r="P331" s="137" t="str">
        <f t="shared" si="32"/>
        <v>-</v>
      </c>
    </row>
    <row r="332" spans="2:16" x14ac:dyDescent="0.2">
      <c r="B332" s="81"/>
      <c r="C332" s="42"/>
      <c r="D332" s="287"/>
      <c r="E332" s="288"/>
      <c r="F332" s="198"/>
      <c r="G332" s="198"/>
      <c r="H332" s="81"/>
      <c r="I332" s="81"/>
      <c r="J332" s="45"/>
      <c r="K332" s="91"/>
      <c r="L332" s="98"/>
      <c r="M332" s="177"/>
      <c r="N332" s="177"/>
      <c r="O332" s="177"/>
      <c r="P332" s="137" t="str">
        <f t="shared" si="32"/>
        <v>-</v>
      </c>
    </row>
    <row r="333" spans="2:16" x14ac:dyDescent="0.2">
      <c r="B333" s="81"/>
      <c r="C333" s="42"/>
      <c r="D333" s="287"/>
      <c r="E333" s="288"/>
      <c r="F333" s="198"/>
      <c r="G333" s="198"/>
      <c r="H333" s="81"/>
      <c r="I333" s="81"/>
      <c r="J333" s="45"/>
      <c r="K333" s="91"/>
      <c r="L333" s="98"/>
      <c r="M333" s="177"/>
      <c r="N333" s="177"/>
      <c r="O333" s="177"/>
      <c r="P333" s="137" t="str">
        <f t="shared" si="32"/>
        <v>-</v>
      </c>
    </row>
    <row r="334" spans="2:16" x14ac:dyDescent="0.2">
      <c r="B334" s="81"/>
      <c r="C334" s="42"/>
      <c r="D334" s="287"/>
      <c r="E334" s="288"/>
      <c r="F334" s="198"/>
      <c r="G334" s="198"/>
      <c r="H334" s="81"/>
      <c r="I334" s="81"/>
      <c r="J334" s="45"/>
      <c r="K334" s="91"/>
      <c r="L334" s="98"/>
      <c r="M334" s="177"/>
      <c r="N334" s="177"/>
      <c r="O334" s="177"/>
      <c r="P334" s="137" t="str">
        <f t="shared" si="32"/>
        <v>-</v>
      </c>
    </row>
    <row r="335" spans="2:16" ht="15.75" x14ac:dyDescent="0.2">
      <c r="B335" s="97"/>
      <c r="C335" s="96"/>
      <c r="D335" s="301"/>
      <c r="E335" s="302"/>
      <c r="F335" s="206"/>
      <c r="G335" s="206"/>
      <c r="H335" s="97"/>
      <c r="I335" s="97"/>
      <c r="J335" s="97"/>
      <c r="K335" s="91"/>
      <c r="L335" s="98"/>
      <c r="M335" s="177"/>
      <c r="N335" s="177"/>
      <c r="O335" s="177"/>
      <c r="P335" s="137" t="str">
        <f t="shared" si="32"/>
        <v>-</v>
      </c>
    </row>
    <row r="336" spans="2:16" x14ac:dyDescent="0.2">
      <c r="B336" s="81"/>
      <c r="C336" s="42"/>
      <c r="D336" s="287"/>
      <c r="E336" s="288"/>
      <c r="F336" s="198"/>
      <c r="G336" s="198"/>
      <c r="H336" s="80"/>
      <c r="I336" s="80"/>
      <c r="J336" s="185"/>
      <c r="K336" s="91"/>
      <c r="L336" s="98"/>
      <c r="M336" s="177"/>
      <c r="N336" s="177"/>
      <c r="O336" s="177"/>
      <c r="P336" s="137" t="str">
        <f t="shared" si="32"/>
        <v>-</v>
      </c>
    </row>
    <row r="337" spans="2:16" x14ac:dyDescent="0.2">
      <c r="B337" s="81"/>
      <c r="C337" s="42"/>
      <c r="D337" s="287"/>
      <c r="E337" s="288"/>
      <c r="F337" s="198"/>
      <c r="G337" s="198"/>
      <c r="H337" s="80"/>
      <c r="I337" s="80"/>
      <c r="J337" s="185"/>
      <c r="K337" s="91"/>
      <c r="L337" s="98"/>
      <c r="M337" s="177"/>
      <c r="N337" s="177"/>
      <c r="O337" s="177"/>
      <c r="P337" s="137" t="str">
        <f t="shared" si="32"/>
        <v>-</v>
      </c>
    </row>
    <row r="338" spans="2:16" x14ac:dyDescent="0.2">
      <c r="B338" s="81"/>
      <c r="C338" s="42"/>
      <c r="D338" s="287"/>
      <c r="E338" s="288"/>
      <c r="F338" s="198"/>
      <c r="G338" s="198"/>
      <c r="H338" s="80"/>
      <c r="I338" s="80"/>
      <c r="J338" s="185"/>
      <c r="K338" s="91"/>
      <c r="L338" s="98"/>
      <c r="M338" s="177"/>
      <c r="N338" s="177"/>
      <c r="O338" s="177"/>
      <c r="P338" s="137" t="str">
        <f t="shared" si="32"/>
        <v>-</v>
      </c>
    </row>
    <row r="339" spans="2:16" x14ac:dyDescent="0.2">
      <c r="B339" s="81"/>
      <c r="C339" s="42"/>
      <c r="D339" s="287"/>
      <c r="E339" s="288"/>
      <c r="F339" s="198"/>
      <c r="G339" s="198"/>
      <c r="H339" s="80"/>
      <c r="I339" s="80"/>
      <c r="J339" s="185"/>
      <c r="K339" s="91"/>
      <c r="L339" s="98"/>
      <c r="M339" s="177"/>
      <c r="N339" s="177"/>
      <c r="O339" s="177"/>
      <c r="P339" s="137" t="str">
        <f t="shared" si="32"/>
        <v>-</v>
      </c>
    </row>
    <row r="340" spans="2:16" x14ac:dyDescent="0.2">
      <c r="B340" s="81"/>
      <c r="C340" s="42"/>
      <c r="D340" s="287"/>
      <c r="E340" s="288"/>
      <c r="F340" s="198"/>
      <c r="G340" s="198"/>
      <c r="H340" s="80"/>
      <c r="I340" s="80"/>
      <c r="J340" s="185"/>
      <c r="K340" s="91"/>
      <c r="L340" s="98"/>
      <c r="M340" s="177"/>
      <c r="N340" s="177"/>
      <c r="O340" s="177"/>
      <c r="P340" s="137" t="str">
        <f t="shared" si="32"/>
        <v>-</v>
      </c>
    </row>
    <row r="341" spans="2:16" x14ac:dyDescent="0.2">
      <c r="B341" s="81"/>
      <c r="C341" s="42"/>
      <c r="D341" s="287"/>
      <c r="E341" s="288"/>
      <c r="F341" s="198"/>
      <c r="G341" s="198"/>
      <c r="H341" s="80"/>
      <c r="I341" s="80"/>
      <c r="J341" s="185"/>
      <c r="K341" s="91"/>
      <c r="L341" s="98"/>
      <c r="M341" s="177"/>
      <c r="N341" s="177"/>
      <c r="O341" s="177"/>
      <c r="P341" s="137" t="str">
        <f t="shared" si="32"/>
        <v>-</v>
      </c>
    </row>
    <row r="342" spans="2:16" x14ac:dyDescent="0.2">
      <c r="B342" s="81"/>
      <c r="C342" s="42"/>
      <c r="D342" s="287"/>
      <c r="E342" s="288"/>
      <c r="F342" s="198"/>
      <c r="G342" s="198"/>
      <c r="H342" s="80"/>
      <c r="I342" s="80"/>
      <c r="J342" s="185"/>
      <c r="K342" s="91"/>
      <c r="L342" s="98"/>
      <c r="M342" s="177"/>
      <c r="N342" s="177"/>
      <c r="O342" s="177"/>
      <c r="P342" s="137" t="str">
        <f t="shared" si="32"/>
        <v>-</v>
      </c>
    </row>
    <row r="343" spans="2:16" x14ac:dyDescent="0.2">
      <c r="B343" s="81"/>
      <c r="C343" s="42"/>
      <c r="D343" s="287"/>
      <c r="E343" s="288"/>
      <c r="F343" s="198"/>
      <c r="G343" s="198"/>
      <c r="H343" s="81"/>
      <c r="I343" s="81"/>
      <c r="J343" s="45"/>
      <c r="K343" s="91"/>
      <c r="L343" s="98"/>
      <c r="M343" s="177"/>
      <c r="N343" s="177"/>
      <c r="O343" s="177"/>
      <c r="P343" s="137" t="str">
        <f t="shared" si="32"/>
        <v>-</v>
      </c>
    </row>
    <row r="344" spans="2:16" x14ac:dyDescent="0.2">
      <c r="B344" s="81"/>
      <c r="C344" s="42"/>
      <c r="D344" s="287"/>
      <c r="E344" s="288"/>
      <c r="F344" s="198"/>
      <c r="G344" s="198"/>
      <c r="H344" s="80"/>
      <c r="I344" s="80"/>
      <c r="J344" s="185"/>
      <c r="K344" s="91"/>
      <c r="L344" s="98"/>
      <c r="M344" s="177"/>
      <c r="N344" s="177"/>
      <c r="O344" s="177"/>
      <c r="P344" s="137" t="str">
        <f t="shared" si="32"/>
        <v>-</v>
      </c>
    </row>
    <row r="345" spans="2:16" x14ac:dyDescent="0.2">
      <c r="B345" s="81"/>
      <c r="C345" s="42"/>
      <c r="D345" s="287"/>
      <c r="E345" s="288"/>
      <c r="F345" s="198"/>
      <c r="G345" s="198"/>
      <c r="H345" s="80"/>
      <c r="I345" s="80"/>
      <c r="J345" s="185"/>
      <c r="K345" s="91"/>
      <c r="L345" s="98"/>
      <c r="M345" s="177"/>
      <c r="N345" s="177"/>
      <c r="O345" s="177"/>
      <c r="P345" s="137" t="str">
        <f t="shared" si="32"/>
        <v>-</v>
      </c>
    </row>
    <row r="346" spans="2:16" ht="15.75" x14ac:dyDescent="0.2">
      <c r="B346" s="100"/>
      <c r="C346" s="96"/>
      <c r="D346" s="292"/>
      <c r="E346" s="293"/>
      <c r="F346" s="293"/>
      <c r="G346" s="293"/>
      <c r="H346" s="79"/>
      <c r="I346" s="79"/>
      <c r="J346" s="79"/>
      <c r="K346" s="91"/>
      <c r="L346" s="98"/>
      <c r="M346" s="177"/>
      <c r="N346" s="177"/>
      <c r="O346" s="177"/>
      <c r="P346" s="137" t="str">
        <f t="shared" si="32"/>
        <v>-</v>
      </c>
    </row>
    <row r="347" spans="2:16" ht="15.75" x14ac:dyDescent="0.2">
      <c r="B347" s="102"/>
      <c r="C347" s="64"/>
      <c r="D347" s="290"/>
      <c r="E347" s="294"/>
      <c r="F347" s="201"/>
      <c r="G347" s="201"/>
      <c r="H347" s="81"/>
      <c r="I347" s="81"/>
      <c r="J347" s="45"/>
      <c r="K347" s="91"/>
      <c r="L347" s="98"/>
      <c r="M347" s="177"/>
      <c r="N347" s="177"/>
      <c r="O347" s="177"/>
      <c r="P347" s="137" t="str">
        <f t="shared" si="32"/>
        <v>-</v>
      </c>
    </row>
    <row r="348" spans="2:16" ht="15.75" x14ac:dyDescent="0.2">
      <c r="B348" s="102"/>
      <c r="C348" s="64"/>
      <c r="D348" s="290"/>
      <c r="E348" s="294"/>
      <c r="F348" s="201"/>
      <c r="G348" s="201"/>
      <c r="H348" s="81"/>
      <c r="I348" s="81"/>
      <c r="J348" s="45"/>
      <c r="K348" s="91"/>
      <c r="L348" s="98"/>
      <c r="M348" s="177"/>
      <c r="N348" s="177"/>
      <c r="O348" s="177"/>
      <c r="P348" s="137" t="str">
        <f t="shared" si="32"/>
        <v>-</v>
      </c>
    </row>
    <row r="349" spans="2:16" x14ac:dyDescent="0.2">
      <c r="B349" s="81"/>
      <c r="C349" s="42"/>
      <c r="D349" s="290"/>
      <c r="E349" s="294"/>
      <c r="F349" s="201"/>
      <c r="G349" s="201"/>
      <c r="H349" s="81"/>
      <c r="I349" s="81"/>
      <c r="J349" s="45"/>
      <c r="K349" s="91"/>
      <c r="L349" s="98"/>
      <c r="M349" s="177"/>
      <c r="N349" s="177"/>
      <c r="O349" s="177"/>
      <c r="P349" s="137" t="str">
        <f t="shared" si="32"/>
        <v>-</v>
      </c>
    </row>
    <row r="350" spans="2:16" x14ac:dyDescent="0.2">
      <c r="B350" s="104"/>
      <c r="C350" s="42"/>
      <c r="D350" s="290"/>
      <c r="E350" s="294"/>
      <c r="F350" s="201"/>
      <c r="G350" s="201"/>
      <c r="H350" s="81"/>
      <c r="I350" s="81"/>
      <c r="J350" s="45"/>
      <c r="K350" s="91"/>
      <c r="L350" s="98"/>
      <c r="M350" s="177"/>
      <c r="N350" s="177"/>
      <c r="O350" s="177"/>
      <c r="P350" s="137" t="str">
        <f t="shared" si="32"/>
        <v>-</v>
      </c>
    </row>
    <row r="351" spans="2:16" x14ac:dyDescent="0.2">
      <c r="B351" s="104"/>
      <c r="C351" s="42"/>
      <c r="D351" s="290"/>
      <c r="E351" s="294"/>
      <c r="F351" s="201"/>
      <c r="G351" s="201"/>
      <c r="H351" s="81"/>
      <c r="I351" s="81"/>
      <c r="J351" s="45"/>
      <c r="K351" s="91"/>
      <c r="L351" s="98"/>
      <c r="M351" s="177"/>
      <c r="N351" s="177"/>
      <c r="O351" s="177"/>
      <c r="P351" s="137" t="str">
        <f t="shared" si="32"/>
        <v>-</v>
      </c>
    </row>
    <row r="352" spans="2:16" x14ac:dyDescent="0.2">
      <c r="B352" s="104"/>
      <c r="C352" s="42"/>
      <c r="D352" s="290"/>
      <c r="E352" s="294"/>
      <c r="F352" s="201"/>
      <c r="G352" s="201"/>
      <c r="H352" s="81"/>
      <c r="I352" s="81"/>
      <c r="J352" s="45"/>
      <c r="K352" s="91"/>
      <c r="L352" s="98"/>
      <c r="M352" s="177"/>
      <c r="N352" s="177"/>
      <c r="O352" s="177"/>
      <c r="P352" s="137" t="str">
        <f t="shared" si="32"/>
        <v>-</v>
      </c>
    </row>
    <row r="353" spans="2:16" x14ac:dyDescent="0.2">
      <c r="B353" s="104"/>
      <c r="C353" s="42"/>
      <c r="D353" s="290"/>
      <c r="E353" s="294"/>
      <c r="F353" s="201"/>
      <c r="G353" s="201"/>
      <c r="H353" s="81"/>
      <c r="I353" s="81"/>
      <c r="J353" s="45"/>
      <c r="K353" s="91"/>
      <c r="L353" s="98"/>
      <c r="M353" s="177"/>
      <c r="N353" s="177"/>
      <c r="O353" s="177"/>
      <c r="P353" s="137" t="str">
        <f t="shared" si="32"/>
        <v>-</v>
      </c>
    </row>
    <row r="354" spans="2:16" ht="15.75" x14ac:dyDescent="0.2">
      <c r="B354" s="102"/>
      <c r="C354" s="42"/>
      <c r="D354" s="287"/>
      <c r="E354" s="288"/>
      <c r="F354" s="198"/>
      <c r="G354" s="198"/>
      <c r="H354" s="81"/>
      <c r="I354" s="81"/>
      <c r="J354" s="45"/>
      <c r="K354" s="91"/>
      <c r="L354" s="98"/>
      <c r="M354" s="177"/>
      <c r="N354" s="177"/>
      <c r="O354" s="177"/>
      <c r="P354" s="137" t="str">
        <f t="shared" si="32"/>
        <v>-</v>
      </c>
    </row>
    <row r="355" spans="2:16" ht="15.75" x14ac:dyDescent="0.2">
      <c r="B355" s="102"/>
      <c r="C355" s="42"/>
      <c r="D355" s="287"/>
      <c r="E355" s="288"/>
      <c r="F355" s="198"/>
      <c r="G355" s="198"/>
      <c r="H355" s="81"/>
      <c r="I355" s="81"/>
      <c r="J355" s="45"/>
      <c r="K355" s="91"/>
      <c r="L355" s="98"/>
      <c r="M355" s="177"/>
      <c r="N355" s="177"/>
      <c r="O355" s="177"/>
      <c r="P355" s="137" t="str">
        <f t="shared" si="32"/>
        <v>-</v>
      </c>
    </row>
    <row r="356" spans="2:16" ht="15.75" x14ac:dyDescent="0.2">
      <c r="B356" s="102"/>
      <c r="C356" s="42"/>
      <c r="D356" s="287"/>
      <c r="E356" s="288"/>
      <c r="F356" s="198"/>
      <c r="G356" s="198"/>
      <c r="H356" s="81"/>
      <c r="I356" s="81"/>
      <c r="J356" s="45"/>
      <c r="K356" s="91"/>
      <c r="L356" s="98"/>
      <c r="M356" s="177"/>
      <c r="N356" s="177"/>
      <c r="O356" s="177"/>
      <c r="P356" s="137" t="str">
        <f t="shared" ref="P356:P419" si="33">IF(H355="","-",IF(K355="","",K355))</f>
        <v>-</v>
      </c>
    </row>
    <row r="357" spans="2:16" ht="15.75" x14ac:dyDescent="0.2">
      <c r="B357" s="102"/>
      <c r="C357" s="42"/>
      <c r="D357" s="287"/>
      <c r="E357" s="288"/>
      <c r="F357" s="198"/>
      <c r="G357" s="198"/>
      <c r="H357" s="81"/>
      <c r="I357" s="81"/>
      <c r="J357" s="45"/>
      <c r="K357" s="91"/>
      <c r="L357" s="98"/>
      <c r="M357" s="177"/>
      <c r="N357" s="177"/>
      <c r="O357" s="177"/>
      <c r="P357" s="137" t="str">
        <f t="shared" si="33"/>
        <v>-</v>
      </c>
    </row>
    <row r="358" spans="2:16" ht="15.75" x14ac:dyDescent="0.2">
      <c r="B358" s="102"/>
      <c r="C358" s="42"/>
      <c r="D358" s="287"/>
      <c r="E358" s="288"/>
      <c r="F358" s="198"/>
      <c r="G358" s="198"/>
      <c r="H358" s="81"/>
      <c r="I358" s="81"/>
      <c r="J358" s="45"/>
      <c r="K358" s="91"/>
      <c r="L358" s="98"/>
      <c r="M358" s="177"/>
      <c r="N358" s="177"/>
      <c r="O358" s="177"/>
      <c r="P358" s="137" t="str">
        <f t="shared" si="33"/>
        <v>-</v>
      </c>
    </row>
    <row r="359" spans="2:16" ht="15.75" x14ac:dyDescent="0.2">
      <c r="B359" s="102"/>
      <c r="C359" s="42"/>
      <c r="D359" s="287"/>
      <c r="E359" s="288"/>
      <c r="F359" s="198"/>
      <c r="G359" s="198"/>
      <c r="H359" s="81"/>
      <c r="I359" s="81"/>
      <c r="J359" s="45"/>
      <c r="K359" s="91"/>
      <c r="L359" s="98"/>
      <c r="M359" s="177"/>
      <c r="N359" s="177"/>
      <c r="O359" s="177"/>
      <c r="P359" s="137" t="str">
        <f t="shared" si="33"/>
        <v>-</v>
      </c>
    </row>
    <row r="360" spans="2:16" x14ac:dyDescent="0.2">
      <c r="B360" s="45"/>
      <c r="C360" s="43"/>
      <c r="D360" s="260"/>
      <c r="E360" s="261"/>
      <c r="F360" s="186"/>
      <c r="G360" s="186"/>
      <c r="H360" s="80"/>
      <c r="I360" s="80"/>
      <c r="J360" s="185"/>
      <c r="K360" s="91"/>
      <c r="L360" s="98"/>
      <c r="M360" s="177"/>
      <c r="N360" s="177"/>
      <c r="O360" s="177"/>
      <c r="P360" s="137" t="str">
        <f t="shared" si="33"/>
        <v>-</v>
      </c>
    </row>
    <row r="361" spans="2:16" x14ac:dyDescent="0.2">
      <c r="B361" s="45"/>
      <c r="C361" s="42"/>
      <c r="D361" s="260"/>
      <c r="E361" s="261"/>
      <c r="F361" s="186"/>
      <c r="G361" s="186"/>
      <c r="H361" s="80"/>
      <c r="I361" s="80"/>
      <c r="J361" s="185"/>
      <c r="K361" s="91"/>
      <c r="L361" s="98"/>
      <c r="M361" s="177"/>
      <c r="N361" s="177"/>
      <c r="O361" s="177"/>
      <c r="P361" s="137" t="str">
        <f t="shared" si="33"/>
        <v>-</v>
      </c>
    </row>
    <row r="362" spans="2:16" x14ac:dyDescent="0.2">
      <c r="B362" s="45"/>
      <c r="C362" s="43"/>
      <c r="D362" s="260"/>
      <c r="E362" s="261"/>
      <c r="F362" s="186"/>
      <c r="G362" s="186"/>
      <c r="H362" s="80"/>
      <c r="I362" s="80"/>
      <c r="J362" s="185"/>
      <c r="K362" s="91"/>
      <c r="L362" s="98"/>
      <c r="M362" s="177"/>
      <c r="N362" s="177"/>
      <c r="O362" s="177"/>
      <c r="P362" s="137" t="str">
        <f t="shared" si="33"/>
        <v>-</v>
      </c>
    </row>
    <row r="363" spans="2:16" x14ac:dyDescent="0.2">
      <c r="B363" s="45"/>
      <c r="C363" s="43"/>
      <c r="D363" s="260"/>
      <c r="E363" s="261"/>
      <c r="F363" s="186"/>
      <c r="G363" s="186"/>
      <c r="H363" s="80"/>
      <c r="I363" s="80"/>
      <c r="J363" s="185"/>
      <c r="K363" s="91"/>
      <c r="L363" s="98"/>
      <c r="M363" s="177"/>
      <c r="N363" s="177"/>
      <c r="O363" s="177"/>
      <c r="P363" s="137" t="str">
        <f t="shared" si="33"/>
        <v>-</v>
      </c>
    </row>
    <row r="364" spans="2:16" x14ac:dyDescent="0.2">
      <c r="B364" s="45"/>
      <c r="C364" s="42"/>
      <c r="D364" s="260"/>
      <c r="E364" s="261"/>
      <c r="F364" s="186"/>
      <c r="G364" s="186"/>
      <c r="H364" s="80"/>
      <c r="I364" s="80"/>
      <c r="J364" s="185"/>
      <c r="K364" s="91"/>
      <c r="L364" s="98"/>
      <c r="M364" s="177"/>
      <c r="N364" s="177"/>
      <c r="O364" s="177"/>
      <c r="P364" s="137" t="str">
        <f t="shared" si="33"/>
        <v>-</v>
      </c>
    </row>
    <row r="365" spans="2:16" x14ac:dyDescent="0.2">
      <c r="B365" s="45"/>
      <c r="C365" s="43"/>
      <c r="D365" s="260"/>
      <c r="E365" s="261"/>
      <c r="F365" s="186"/>
      <c r="G365" s="186"/>
      <c r="H365" s="80"/>
      <c r="I365" s="80"/>
      <c r="J365" s="185"/>
      <c r="K365" s="91"/>
      <c r="L365" s="98"/>
      <c r="M365" s="177"/>
      <c r="N365" s="177"/>
      <c r="O365" s="177"/>
      <c r="P365" s="137" t="str">
        <f t="shared" si="33"/>
        <v>-</v>
      </c>
    </row>
    <row r="366" spans="2:16" x14ac:dyDescent="0.2">
      <c r="B366" s="45"/>
      <c r="C366" s="43"/>
      <c r="D366" s="260"/>
      <c r="E366" s="261"/>
      <c r="F366" s="186"/>
      <c r="G366" s="186"/>
      <c r="H366" s="80"/>
      <c r="I366" s="80"/>
      <c r="J366" s="185"/>
      <c r="K366" s="91"/>
      <c r="L366" s="98"/>
      <c r="M366" s="177"/>
      <c r="N366" s="177"/>
      <c r="O366" s="177"/>
      <c r="P366" s="137" t="str">
        <f t="shared" si="33"/>
        <v>-</v>
      </c>
    </row>
    <row r="367" spans="2:16" x14ac:dyDescent="0.2">
      <c r="B367" s="45"/>
      <c r="C367" s="42"/>
      <c r="D367" s="260"/>
      <c r="E367" s="261"/>
      <c r="F367" s="186"/>
      <c r="G367" s="186"/>
      <c r="H367" s="80"/>
      <c r="I367" s="80"/>
      <c r="J367" s="185"/>
      <c r="K367" s="91"/>
      <c r="L367" s="98"/>
      <c r="M367" s="177"/>
      <c r="N367" s="177"/>
      <c r="O367" s="177"/>
      <c r="P367" s="137" t="str">
        <f t="shared" si="33"/>
        <v>-</v>
      </c>
    </row>
    <row r="368" spans="2:16" x14ac:dyDescent="0.2">
      <c r="B368" s="45"/>
      <c r="C368" s="43"/>
      <c r="D368" s="260"/>
      <c r="E368" s="261"/>
      <c r="F368" s="186"/>
      <c r="G368" s="186"/>
      <c r="H368" s="80"/>
      <c r="I368" s="80"/>
      <c r="J368" s="185"/>
      <c r="K368" s="91"/>
      <c r="L368" s="98"/>
      <c r="M368" s="177"/>
      <c r="N368" s="177"/>
      <c r="O368" s="177"/>
      <c r="P368" s="137" t="str">
        <f t="shared" si="33"/>
        <v>-</v>
      </c>
    </row>
    <row r="369" spans="2:16" x14ac:dyDescent="0.2">
      <c r="B369" s="45"/>
      <c r="C369" s="43"/>
      <c r="D369" s="260"/>
      <c r="E369" s="261"/>
      <c r="F369" s="186"/>
      <c r="G369" s="186"/>
      <c r="H369" s="80"/>
      <c r="I369" s="80"/>
      <c r="J369" s="185"/>
      <c r="K369" s="91"/>
      <c r="L369" s="98"/>
      <c r="M369" s="177"/>
      <c r="N369" s="177"/>
      <c r="O369" s="177"/>
      <c r="P369" s="137" t="str">
        <f t="shared" si="33"/>
        <v>-</v>
      </c>
    </row>
    <row r="370" spans="2:16" x14ac:dyDescent="0.2">
      <c r="B370" s="45"/>
      <c r="C370" s="42"/>
      <c r="D370" s="260"/>
      <c r="E370" s="261"/>
      <c r="F370" s="186"/>
      <c r="G370" s="186"/>
      <c r="H370" s="80"/>
      <c r="I370" s="80"/>
      <c r="J370" s="185"/>
      <c r="K370" s="91"/>
      <c r="L370" s="98"/>
      <c r="M370" s="177"/>
      <c r="N370" s="177"/>
      <c r="O370" s="177"/>
      <c r="P370" s="137" t="str">
        <f t="shared" si="33"/>
        <v>-</v>
      </c>
    </row>
    <row r="371" spans="2:16" x14ac:dyDescent="0.2">
      <c r="B371" s="45"/>
      <c r="C371" s="43"/>
      <c r="D371" s="260"/>
      <c r="E371" s="261"/>
      <c r="F371" s="186"/>
      <c r="G371" s="186"/>
      <c r="H371" s="80"/>
      <c r="I371" s="80"/>
      <c r="J371" s="185"/>
      <c r="K371" s="91"/>
      <c r="L371" s="98"/>
      <c r="M371" s="177"/>
      <c r="N371" s="177"/>
      <c r="O371" s="177"/>
      <c r="P371" s="137" t="str">
        <f t="shared" si="33"/>
        <v>-</v>
      </c>
    </row>
    <row r="372" spans="2:16" x14ac:dyDescent="0.2">
      <c r="B372" s="45"/>
      <c r="C372" s="43"/>
      <c r="D372" s="260"/>
      <c r="E372" s="261"/>
      <c r="F372" s="186"/>
      <c r="G372" s="186"/>
      <c r="H372" s="80"/>
      <c r="I372" s="80"/>
      <c r="J372" s="185"/>
      <c r="K372" s="91"/>
      <c r="L372" s="98"/>
      <c r="M372" s="177"/>
      <c r="N372" s="177"/>
      <c r="O372" s="177"/>
      <c r="P372" s="137" t="str">
        <f t="shared" si="33"/>
        <v>-</v>
      </c>
    </row>
    <row r="373" spans="2:16" x14ac:dyDescent="0.2">
      <c r="B373" s="45"/>
      <c r="C373" s="42"/>
      <c r="D373" s="260"/>
      <c r="E373" s="261"/>
      <c r="F373" s="186"/>
      <c r="G373" s="186"/>
      <c r="H373" s="80"/>
      <c r="I373" s="80"/>
      <c r="J373" s="185"/>
      <c r="K373" s="91"/>
      <c r="L373" s="98"/>
      <c r="M373" s="177"/>
      <c r="N373" s="177"/>
      <c r="O373" s="177"/>
      <c r="P373" s="137" t="str">
        <f t="shared" si="33"/>
        <v>-</v>
      </c>
    </row>
    <row r="374" spans="2:16" x14ac:dyDescent="0.2">
      <c r="B374" s="45"/>
      <c r="C374" s="43"/>
      <c r="D374" s="260"/>
      <c r="E374" s="261"/>
      <c r="F374" s="186"/>
      <c r="G374" s="186"/>
      <c r="H374" s="80"/>
      <c r="I374" s="80"/>
      <c r="J374" s="185"/>
      <c r="K374" s="91"/>
      <c r="L374" s="98"/>
      <c r="M374" s="177"/>
      <c r="N374" s="177"/>
      <c r="O374" s="177"/>
      <c r="P374" s="137" t="str">
        <f t="shared" si="33"/>
        <v>-</v>
      </c>
    </row>
    <row r="375" spans="2:16" x14ac:dyDescent="0.2">
      <c r="B375" s="45"/>
      <c r="C375" s="43"/>
      <c r="D375" s="260"/>
      <c r="E375" s="261"/>
      <c r="F375" s="186"/>
      <c r="G375" s="186"/>
      <c r="H375" s="80"/>
      <c r="I375" s="80"/>
      <c r="J375" s="185"/>
      <c r="K375" s="91"/>
      <c r="L375" s="98"/>
      <c r="M375" s="177"/>
      <c r="N375" s="177"/>
      <c r="O375" s="177"/>
      <c r="P375" s="137" t="str">
        <f t="shared" si="33"/>
        <v>-</v>
      </c>
    </row>
    <row r="376" spans="2:16" x14ac:dyDescent="0.2">
      <c r="B376" s="45"/>
      <c r="C376" s="42"/>
      <c r="D376" s="260"/>
      <c r="E376" s="261"/>
      <c r="F376" s="186"/>
      <c r="G376" s="186"/>
      <c r="H376" s="80"/>
      <c r="I376" s="80"/>
      <c r="J376" s="185"/>
      <c r="K376" s="91"/>
      <c r="L376" s="98"/>
      <c r="M376" s="177"/>
      <c r="N376" s="177"/>
      <c r="O376" s="177"/>
      <c r="P376" s="137" t="str">
        <f t="shared" si="33"/>
        <v>-</v>
      </c>
    </row>
    <row r="377" spans="2:16" x14ac:dyDescent="0.2">
      <c r="B377" s="45"/>
      <c r="C377" s="43"/>
      <c r="D377" s="260"/>
      <c r="E377" s="261"/>
      <c r="F377" s="186"/>
      <c r="G377" s="186"/>
      <c r="H377" s="80"/>
      <c r="I377" s="80"/>
      <c r="J377" s="185"/>
      <c r="K377" s="91"/>
      <c r="L377" s="98"/>
      <c r="M377" s="177"/>
      <c r="N377" s="177"/>
      <c r="O377" s="177"/>
      <c r="P377" s="137" t="str">
        <f t="shared" si="33"/>
        <v>-</v>
      </c>
    </row>
    <row r="378" spans="2:16" x14ac:dyDescent="0.2">
      <c r="B378" s="45"/>
      <c r="C378" s="43"/>
      <c r="D378" s="260"/>
      <c r="E378" s="261"/>
      <c r="F378" s="186"/>
      <c r="G378" s="186"/>
      <c r="H378" s="80"/>
      <c r="I378" s="80"/>
      <c r="J378" s="185"/>
      <c r="K378" s="91"/>
      <c r="L378" s="98"/>
      <c r="M378" s="177"/>
      <c r="N378" s="177"/>
      <c r="O378" s="177"/>
      <c r="P378" s="137" t="str">
        <f t="shared" si="33"/>
        <v>-</v>
      </c>
    </row>
    <row r="379" spans="2:16" x14ac:dyDescent="0.2">
      <c r="B379" s="45"/>
      <c r="C379" s="42"/>
      <c r="D379" s="260"/>
      <c r="E379" s="261"/>
      <c r="F379" s="186"/>
      <c r="G379" s="186"/>
      <c r="H379" s="80"/>
      <c r="I379" s="80"/>
      <c r="J379" s="185"/>
      <c r="K379" s="91"/>
      <c r="L379" s="98"/>
      <c r="M379" s="177"/>
      <c r="N379" s="177"/>
      <c r="O379" s="177"/>
      <c r="P379" s="137" t="str">
        <f t="shared" si="33"/>
        <v>-</v>
      </c>
    </row>
    <row r="380" spans="2:16" x14ac:dyDescent="0.2">
      <c r="B380" s="45"/>
      <c r="C380" s="43"/>
      <c r="D380" s="260"/>
      <c r="E380" s="261"/>
      <c r="F380" s="186"/>
      <c r="G380" s="186"/>
      <c r="H380" s="80"/>
      <c r="I380" s="80"/>
      <c r="J380" s="185"/>
      <c r="K380" s="91"/>
      <c r="L380" s="98"/>
      <c r="M380" s="177"/>
      <c r="N380" s="177"/>
      <c r="O380" s="177"/>
      <c r="P380" s="137" t="str">
        <f t="shared" si="33"/>
        <v>-</v>
      </c>
    </row>
    <row r="381" spans="2:16" x14ac:dyDescent="0.2">
      <c r="B381" s="45"/>
      <c r="C381" s="43"/>
      <c r="D381" s="260"/>
      <c r="E381" s="261"/>
      <c r="F381" s="186"/>
      <c r="G381" s="186"/>
      <c r="H381" s="80"/>
      <c r="I381" s="80"/>
      <c r="J381" s="185"/>
      <c r="K381" s="91"/>
      <c r="L381" s="98"/>
      <c r="M381" s="177"/>
      <c r="N381" s="177"/>
      <c r="O381" s="177"/>
      <c r="P381" s="137" t="str">
        <f t="shared" si="33"/>
        <v>-</v>
      </c>
    </row>
    <row r="382" spans="2:16" x14ac:dyDescent="0.2">
      <c r="B382" s="45"/>
      <c r="C382" s="42"/>
      <c r="D382" s="260"/>
      <c r="E382" s="261"/>
      <c r="F382" s="186"/>
      <c r="G382" s="186"/>
      <c r="H382" s="80"/>
      <c r="I382" s="80"/>
      <c r="J382" s="185"/>
      <c r="K382" s="91"/>
      <c r="L382" s="98"/>
      <c r="M382" s="177"/>
      <c r="N382" s="177"/>
      <c r="O382" s="177"/>
      <c r="P382" s="137" t="str">
        <f t="shared" si="33"/>
        <v>-</v>
      </c>
    </row>
    <row r="383" spans="2:16" x14ac:dyDescent="0.2">
      <c r="B383" s="45"/>
      <c r="C383" s="43"/>
      <c r="D383" s="260"/>
      <c r="E383" s="261"/>
      <c r="F383" s="186"/>
      <c r="G383" s="186"/>
      <c r="H383" s="80"/>
      <c r="I383" s="80"/>
      <c r="J383" s="185"/>
      <c r="K383" s="91"/>
      <c r="L383" s="98"/>
      <c r="M383" s="177"/>
      <c r="N383" s="177"/>
      <c r="O383" s="177"/>
      <c r="P383" s="137" t="str">
        <f t="shared" si="33"/>
        <v>-</v>
      </c>
    </row>
    <row r="384" spans="2:16" x14ac:dyDescent="0.2">
      <c r="B384" s="45"/>
      <c r="C384" s="43"/>
      <c r="D384" s="260"/>
      <c r="E384" s="261"/>
      <c r="F384" s="186"/>
      <c r="G384" s="186"/>
      <c r="H384" s="80"/>
      <c r="I384" s="80"/>
      <c r="J384" s="185"/>
      <c r="K384" s="91"/>
      <c r="L384" s="98"/>
      <c r="M384" s="177"/>
      <c r="N384" s="177"/>
      <c r="O384" s="177"/>
      <c r="P384" s="137" t="str">
        <f t="shared" si="33"/>
        <v>-</v>
      </c>
    </row>
    <row r="385" spans="2:16" x14ac:dyDescent="0.2">
      <c r="B385" s="45"/>
      <c r="C385" s="42"/>
      <c r="D385" s="260"/>
      <c r="E385" s="261"/>
      <c r="F385" s="186"/>
      <c r="G385" s="186"/>
      <c r="H385" s="80"/>
      <c r="I385" s="80"/>
      <c r="J385" s="185"/>
      <c r="K385" s="91"/>
      <c r="L385" s="98"/>
      <c r="M385" s="177"/>
      <c r="N385" s="177"/>
      <c r="O385" s="177"/>
      <c r="P385" s="137" t="str">
        <f t="shared" si="33"/>
        <v>-</v>
      </c>
    </row>
    <row r="386" spans="2:16" x14ac:dyDescent="0.2">
      <c r="B386" s="45"/>
      <c r="C386" s="43"/>
      <c r="D386" s="260"/>
      <c r="E386" s="261"/>
      <c r="F386" s="186"/>
      <c r="G386" s="186"/>
      <c r="H386" s="80"/>
      <c r="I386" s="80"/>
      <c r="J386" s="185"/>
      <c r="K386" s="91"/>
      <c r="L386" s="98"/>
      <c r="M386" s="177"/>
      <c r="N386" s="177"/>
      <c r="O386" s="177"/>
      <c r="P386" s="137" t="str">
        <f t="shared" si="33"/>
        <v>-</v>
      </c>
    </row>
    <row r="387" spans="2:16" x14ac:dyDescent="0.2">
      <c r="B387" s="45"/>
      <c r="C387" s="43"/>
      <c r="D387" s="260"/>
      <c r="E387" s="261"/>
      <c r="F387" s="186"/>
      <c r="G387" s="186"/>
      <c r="H387" s="80"/>
      <c r="I387" s="80"/>
      <c r="J387" s="185"/>
      <c r="K387" s="91"/>
      <c r="L387" s="98"/>
      <c r="M387" s="177"/>
      <c r="N387" s="177"/>
      <c r="O387" s="177"/>
      <c r="P387" s="137" t="str">
        <f t="shared" si="33"/>
        <v>-</v>
      </c>
    </row>
    <row r="388" spans="2:16" x14ac:dyDescent="0.2">
      <c r="B388" s="45"/>
      <c r="C388" s="42"/>
      <c r="D388" s="260"/>
      <c r="E388" s="261"/>
      <c r="F388" s="186"/>
      <c r="G388" s="186"/>
      <c r="H388" s="80"/>
      <c r="I388" s="80"/>
      <c r="J388" s="185"/>
      <c r="K388" s="91"/>
      <c r="L388" s="98"/>
      <c r="M388" s="177"/>
      <c r="N388" s="177"/>
      <c r="O388" s="177"/>
      <c r="P388" s="137" t="str">
        <f t="shared" si="33"/>
        <v>-</v>
      </c>
    </row>
    <row r="389" spans="2:16" x14ac:dyDescent="0.2">
      <c r="B389" s="45"/>
      <c r="C389" s="43"/>
      <c r="D389" s="260"/>
      <c r="E389" s="261"/>
      <c r="F389" s="186"/>
      <c r="G389" s="186"/>
      <c r="H389" s="80"/>
      <c r="I389" s="80"/>
      <c r="J389" s="185"/>
      <c r="K389" s="91"/>
      <c r="L389" s="98"/>
      <c r="M389" s="177"/>
      <c r="N389" s="177"/>
      <c r="O389" s="177"/>
      <c r="P389" s="137" t="str">
        <f t="shared" si="33"/>
        <v>-</v>
      </c>
    </row>
    <row r="390" spans="2:16" x14ac:dyDescent="0.2">
      <c r="B390" s="45"/>
      <c r="C390" s="43"/>
      <c r="D390" s="260"/>
      <c r="E390" s="261"/>
      <c r="F390" s="186"/>
      <c r="G390" s="186"/>
      <c r="H390" s="80"/>
      <c r="I390" s="80"/>
      <c r="J390" s="185"/>
      <c r="K390" s="91"/>
      <c r="L390" s="98"/>
      <c r="M390" s="177"/>
      <c r="N390" s="177"/>
      <c r="O390" s="177"/>
      <c r="P390" s="137" t="str">
        <f t="shared" si="33"/>
        <v>-</v>
      </c>
    </row>
    <row r="391" spans="2:16" x14ac:dyDescent="0.2">
      <c r="B391" s="45"/>
      <c r="C391" s="42"/>
      <c r="D391" s="260"/>
      <c r="E391" s="261"/>
      <c r="F391" s="186"/>
      <c r="G391" s="186"/>
      <c r="H391" s="80"/>
      <c r="I391" s="80"/>
      <c r="J391" s="185"/>
      <c r="K391" s="91"/>
      <c r="L391" s="98"/>
      <c r="M391" s="177"/>
      <c r="N391" s="177"/>
      <c r="O391" s="177"/>
      <c r="P391" s="137" t="str">
        <f t="shared" si="33"/>
        <v>-</v>
      </c>
    </row>
    <row r="392" spans="2:16" x14ac:dyDescent="0.2">
      <c r="B392" s="45"/>
      <c r="C392" s="43"/>
      <c r="D392" s="260"/>
      <c r="E392" s="261"/>
      <c r="F392" s="186"/>
      <c r="G392" s="186"/>
      <c r="H392" s="80"/>
      <c r="I392" s="80"/>
      <c r="J392" s="185"/>
      <c r="K392" s="91"/>
      <c r="L392" s="98"/>
      <c r="M392" s="177"/>
      <c r="N392" s="177"/>
      <c r="O392" s="177"/>
      <c r="P392" s="137" t="str">
        <f t="shared" si="33"/>
        <v>-</v>
      </c>
    </row>
    <row r="393" spans="2:16" x14ac:dyDescent="0.2">
      <c r="B393" s="45"/>
      <c r="C393" s="43"/>
      <c r="D393" s="260"/>
      <c r="E393" s="261"/>
      <c r="F393" s="186"/>
      <c r="G393" s="186"/>
      <c r="H393" s="80"/>
      <c r="I393" s="80"/>
      <c r="J393" s="185"/>
      <c r="K393" s="91"/>
      <c r="L393" s="98"/>
      <c r="M393" s="177"/>
      <c r="N393" s="177"/>
      <c r="O393" s="177"/>
      <c r="P393" s="137" t="str">
        <f t="shared" si="33"/>
        <v>-</v>
      </c>
    </row>
    <row r="394" spans="2:16" x14ac:dyDescent="0.2">
      <c r="B394" s="45"/>
      <c r="C394" s="42"/>
      <c r="D394" s="260"/>
      <c r="E394" s="261"/>
      <c r="F394" s="186"/>
      <c r="G394" s="186"/>
      <c r="H394" s="80"/>
      <c r="I394" s="80"/>
      <c r="J394" s="185"/>
      <c r="K394" s="91"/>
      <c r="L394" s="98"/>
      <c r="M394" s="177"/>
      <c r="N394" s="177"/>
      <c r="O394" s="177"/>
      <c r="P394" s="137" t="str">
        <f t="shared" si="33"/>
        <v>-</v>
      </c>
    </row>
    <row r="395" spans="2:16" x14ac:dyDescent="0.2">
      <c r="B395" s="45"/>
      <c r="C395" s="43"/>
      <c r="D395" s="260"/>
      <c r="E395" s="261"/>
      <c r="F395" s="186"/>
      <c r="G395" s="186"/>
      <c r="H395" s="80"/>
      <c r="I395" s="80"/>
      <c r="J395" s="185"/>
      <c r="K395" s="91"/>
      <c r="L395" s="98"/>
      <c r="M395" s="177"/>
      <c r="N395" s="177"/>
      <c r="O395" s="177"/>
      <c r="P395" s="137" t="str">
        <f t="shared" si="33"/>
        <v>-</v>
      </c>
    </row>
    <row r="396" spans="2:16" x14ac:dyDescent="0.2">
      <c r="B396" s="45"/>
      <c r="C396" s="43"/>
      <c r="D396" s="260"/>
      <c r="E396" s="261"/>
      <c r="F396" s="186"/>
      <c r="G396" s="186"/>
      <c r="H396" s="80"/>
      <c r="I396" s="80"/>
      <c r="J396" s="185"/>
      <c r="K396" s="91"/>
      <c r="L396" s="98"/>
      <c r="M396" s="177"/>
      <c r="N396" s="177"/>
      <c r="O396" s="177"/>
      <c r="P396" s="137" t="str">
        <f t="shared" si="33"/>
        <v>-</v>
      </c>
    </row>
    <row r="397" spans="2:16" x14ac:dyDescent="0.2">
      <c r="B397" s="45"/>
      <c r="C397" s="42"/>
      <c r="D397" s="260"/>
      <c r="E397" s="261"/>
      <c r="F397" s="186"/>
      <c r="G397" s="186"/>
      <c r="H397" s="80"/>
      <c r="I397" s="80"/>
      <c r="J397" s="185"/>
      <c r="K397" s="91"/>
      <c r="L397" s="98"/>
      <c r="M397" s="177"/>
      <c r="N397" s="177"/>
      <c r="O397" s="177"/>
      <c r="P397" s="137" t="str">
        <f t="shared" si="33"/>
        <v>-</v>
      </c>
    </row>
    <row r="398" spans="2:16" x14ac:dyDescent="0.2">
      <c r="B398" s="45"/>
      <c r="C398" s="43"/>
      <c r="D398" s="260"/>
      <c r="E398" s="261"/>
      <c r="F398" s="186"/>
      <c r="G398" s="186"/>
      <c r="H398" s="80"/>
      <c r="I398" s="80"/>
      <c r="J398" s="185"/>
      <c r="K398" s="91"/>
      <c r="L398" s="98"/>
      <c r="M398" s="177"/>
      <c r="N398" s="177"/>
      <c r="O398" s="177"/>
      <c r="P398" s="137" t="str">
        <f t="shared" si="33"/>
        <v>-</v>
      </c>
    </row>
    <row r="399" spans="2:16" x14ac:dyDescent="0.2">
      <c r="B399" s="45"/>
      <c r="C399" s="43"/>
      <c r="D399" s="260"/>
      <c r="E399" s="261"/>
      <c r="F399" s="186"/>
      <c r="G399" s="186"/>
      <c r="H399" s="80"/>
      <c r="I399" s="80"/>
      <c r="J399" s="185"/>
      <c r="K399" s="91"/>
      <c r="L399" s="98"/>
      <c r="M399" s="177"/>
      <c r="N399" s="177"/>
      <c r="O399" s="177"/>
      <c r="P399" s="137" t="str">
        <f t="shared" si="33"/>
        <v>-</v>
      </c>
    </row>
    <row r="400" spans="2:16" x14ac:dyDescent="0.2">
      <c r="B400" s="45"/>
      <c r="C400" s="42"/>
      <c r="D400" s="260"/>
      <c r="E400" s="261"/>
      <c r="F400" s="186"/>
      <c r="G400" s="186"/>
      <c r="H400" s="80"/>
      <c r="I400" s="80"/>
      <c r="J400" s="185"/>
      <c r="K400" s="91"/>
      <c r="L400" s="98"/>
      <c r="M400" s="177"/>
      <c r="N400" s="177"/>
      <c r="O400" s="177"/>
      <c r="P400" s="137" t="str">
        <f t="shared" si="33"/>
        <v>-</v>
      </c>
    </row>
    <row r="401" spans="2:16" x14ac:dyDescent="0.2">
      <c r="B401" s="45"/>
      <c r="C401" s="43"/>
      <c r="D401" s="260"/>
      <c r="E401" s="261"/>
      <c r="F401" s="186"/>
      <c r="G401" s="186"/>
      <c r="H401" s="80"/>
      <c r="I401" s="80"/>
      <c r="J401" s="185"/>
      <c r="K401" s="91"/>
      <c r="L401" s="98"/>
      <c r="M401" s="177"/>
      <c r="N401" s="177"/>
      <c r="O401" s="177"/>
      <c r="P401" s="137" t="str">
        <f t="shared" si="33"/>
        <v>-</v>
      </c>
    </row>
    <row r="402" spans="2:16" x14ac:dyDescent="0.2">
      <c r="B402" s="45"/>
      <c r="C402" s="43"/>
      <c r="D402" s="260"/>
      <c r="E402" s="261"/>
      <c r="F402" s="186"/>
      <c r="G402" s="186"/>
      <c r="H402" s="80"/>
      <c r="I402" s="80"/>
      <c r="J402" s="185"/>
      <c r="K402" s="91"/>
      <c r="L402" s="98"/>
      <c r="M402" s="177"/>
      <c r="N402" s="177"/>
      <c r="O402" s="177"/>
      <c r="P402" s="137" t="str">
        <f t="shared" si="33"/>
        <v>-</v>
      </c>
    </row>
    <row r="403" spans="2:16" x14ac:dyDescent="0.2">
      <c r="B403" s="45"/>
      <c r="C403" s="42"/>
      <c r="D403" s="260"/>
      <c r="E403" s="261"/>
      <c r="F403" s="186"/>
      <c r="G403" s="186"/>
      <c r="H403" s="80"/>
      <c r="I403" s="80"/>
      <c r="J403" s="185"/>
      <c r="K403" s="91"/>
      <c r="L403" s="98"/>
      <c r="M403" s="177"/>
      <c r="N403" s="177"/>
      <c r="O403" s="177"/>
      <c r="P403" s="137" t="str">
        <f t="shared" si="33"/>
        <v>-</v>
      </c>
    </row>
    <row r="404" spans="2:16" x14ac:dyDescent="0.2">
      <c r="B404" s="45"/>
      <c r="C404" s="43"/>
      <c r="D404" s="260"/>
      <c r="E404" s="261"/>
      <c r="F404" s="186"/>
      <c r="G404" s="186"/>
      <c r="H404" s="80"/>
      <c r="I404" s="80"/>
      <c r="J404" s="185"/>
      <c r="K404" s="91"/>
      <c r="L404" s="98"/>
      <c r="M404" s="177"/>
      <c r="N404" s="177"/>
      <c r="O404" s="177"/>
      <c r="P404" s="137" t="str">
        <f t="shared" si="33"/>
        <v>-</v>
      </c>
    </row>
    <row r="405" spans="2:16" x14ac:dyDescent="0.2">
      <c r="B405" s="45"/>
      <c r="C405" s="43"/>
      <c r="D405" s="260"/>
      <c r="E405" s="261"/>
      <c r="F405" s="186"/>
      <c r="G405" s="186"/>
      <c r="H405" s="80"/>
      <c r="I405" s="80"/>
      <c r="J405" s="185"/>
      <c r="K405" s="91"/>
      <c r="L405" s="98"/>
      <c r="M405" s="177"/>
      <c r="N405" s="177"/>
      <c r="O405" s="177"/>
      <c r="P405" s="137" t="str">
        <f t="shared" si="33"/>
        <v>-</v>
      </c>
    </row>
    <row r="406" spans="2:16" x14ac:dyDescent="0.2">
      <c r="B406" s="45"/>
      <c r="C406" s="42"/>
      <c r="D406" s="260"/>
      <c r="E406" s="261"/>
      <c r="F406" s="186"/>
      <c r="G406" s="186"/>
      <c r="H406" s="80"/>
      <c r="I406" s="80"/>
      <c r="J406" s="185"/>
      <c r="K406" s="91"/>
      <c r="L406" s="98"/>
      <c r="M406" s="177"/>
      <c r="N406" s="177"/>
      <c r="O406" s="177"/>
      <c r="P406" s="137" t="str">
        <f t="shared" si="33"/>
        <v>-</v>
      </c>
    </row>
    <row r="407" spans="2:16" x14ac:dyDescent="0.2">
      <c r="B407" s="45"/>
      <c r="C407" s="43"/>
      <c r="D407" s="260"/>
      <c r="E407" s="261"/>
      <c r="F407" s="186"/>
      <c r="G407" s="186"/>
      <c r="H407" s="80"/>
      <c r="I407" s="80"/>
      <c r="J407" s="185"/>
      <c r="K407" s="91"/>
      <c r="L407" s="98"/>
      <c r="M407" s="177"/>
      <c r="N407" s="177"/>
      <c r="O407" s="177"/>
      <c r="P407" s="137" t="str">
        <f t="shared" si="33"/>
        <v>-</v>
      </c>
    </row>
    <row r="408" spans="2:16" x14ac:dyDescent="0.2">
      <c r="B408" s="45"/>
      <c r="C408" s="43"/>
      <c r="D408" s="260"/>
      <c r="E408" s="261"/>
      <c r="F408" s="186"/>
      <c r="G408" s="186"/>
      <c r="H408" s="80"/>
      <c r="I408" s="80"/>
      <c r="J408" s="185"/>
      <c r="K408" s="91"/>
      <c r="L408" s="98"/>
      <c r="M408" s="177"/>
      <c r="N408" s="177"/>
      <c r="O408" s="177"/>
      <c r="P408" s="137" t="str">
        <f t="shared" si="33"/>
        <v>-</v>
      </c>
    </row>
    <row r="409" spans="2:16" x14ac:dyDescent="0.2">
      <c r="B409" s="45"/>
      <c r="C409" s="42"/>
      <c r="D409" s="260"/>
      <c r="E409" s="261"/>
      <c r="F409" s="186"/>
      <c r="G409" s="186"/>
      <c r="H409" s="80"/>
      <c r="I409" s="80"/>
      <c r="J409" s="185"/>
      <c r="K409" s="91"/>
      <c r="L409" s="98"/>
      <c r="M409" s="177"/>
      <c r="N409" s="177"/>
      <c r="O409" s="177"/>
      <c r="P409" s="137" t="str">
        <f t="shared" si="33"/>
        <v>-</v>
      </c>
    </row>
    <row r="410" spans="2:16" x14ac:dyDescent="0.2">
      <c r="B410" s="45"/>
      <c r="C410" s="43"/>
      <c r="D410" s="260"/>
      <c r="E410" s="261"/>
      <c r="F410" s="186"/>
      <c r="G410" s="186"/>
      <c r="H410" s="80"/>
      <c r="I410" s="80"/>
      <c r="J410" s="185"/>
      <c r="K410" s="91"/>
      <c r="L410" s="98"/>
      <c r="M410" s="177"/>
      <c r="N410" s="177"/>
      <c r="O410" s="177"/>
      <c r="P410" s="137" t="str">
        <f t="shared" si="33"/>
        <v>-</v>
      </c>
    </row>
    <row r="411" spans="2:16" x14ac:dyDescent="0.2">
      <c r="B411" s="45"/>
      <c r="C411" s="43"/>
      <c r="D411" s="260"/>
      <c r="E411" s="261"/>
      <c r="F411" s="186"/>
      <c r="G411" s="186"/>
      <c r="H411" s="80"/>
      <c r="I411" s="80"/>
      <c r="J411" s="185"/>
      <c r="K411" s="91"/>
      <c r="L411" s="98"/>
      <c r="M411" s="177"/>
      <c r="N411" s="177"/>
      <c r="O411" s="177"/>
      <c r="P411" s="137" t="str">
        <f t="shared" si="33"/>
        <v>-</v>
      </c>
    </row>
    <row r="412" spans="2:16" x14ac:dyDescent="0.2">
      <c r="B412" s="45"/>
      <c r="C412" s="42"/>
      <c r="D412" s="260"/>
      <c r="E412" s="261"/>
      <c r="F412" s="186"/>
      <c r="G412" s="186"/>
      <c r="H412" s="80"/>
      <c r="I412" s="80"/>
      <c r="J412" s="185"/>
      <c r="K412" s="91"/>
      <c r="L412" s="98"/>
      <c r="M412" s="177"/>
      <c r="N412" s="177"/>
      <c r="O412" s="177"/>
      <c r="P412" s="137" t="str">
        <f t="shared" si="33"/>
        <v>-</v>
      </c>
    </row>
    <row r="413" spans="2:16" x14ac:dyDescent="0.2">
      <c r="B413" s="45"/>
      <c r="C413" s="43"/>
      <c r="D413" s="260"/>
      <c r="E413" s="261"/>
      <c r="F413" s="186"/>
      <c r="G413" s="186"/>
      <c r="H413" s="80"/>
      <c r="I413" s="80"/>
      <c r="J413" s="185"/>
      <c r="K413" s="91"/>
      <c r="L413" s="98"/>
      <c r="M413" s="177"/>
      <c r="N413" s="177"/>
      <c r="O413" s="177"/>
      <c r="P413" s="137" t="str">
        <f t="shared" si="33"/>
        <v>-</v>
      </c>
    </row>
    <row r="414" spans="2:16" x14ac:dyDescent="0.2">
      <c r="B414" s="45"/>
      <c r="C414" s="43"/>
      <c r="D414" s="260"/>
      <c r="E414" s="261"/>
      <c r="F414" s="186"/>
      <c r="G414" s="186"/>
      <c r="H414" s="80"/>
      <c r="I414" s="80"/>
      <c r="J414" s="185"/>
      <c r="K414" s="91"/>
      <c r="L414" s="98"/>
      <c r="M414" s="177"/>
      <c r="N414" s="177"/>
      <c r="O414" s="177"/>
      <c r="P414" s="137" t="str">
        <f t="shared" si="33"/>
        <v>-</v>
      </c>
    </row>
    <row r="415" spans="2:16" x14ac:dyDescent="0.2">
      <c r="B415" s="45"/>
      <c r="C415" s="42"/>
      <c r="D415" s="260"/>
      <c r="E415" s="261"/>
      <c r="F415" s="186"/>
      <c r="G415" s="186"/>
      <c r="H415" s="80"/>
      <c r="I415" s="80"/>
      <c r="J415" s="185"/>
      <c r="K415" s="91"/>
      <c r="L415" s="98"/>
      <c r="M415" s="177"/>
      <c r="N415" s="177"/>
      <c r="O415" s="177"/>
      <c r="P415" s="137" t="str">
        <f t="shared" si="33"/>
        <v>-</v>
      </c>
    </row>
    <row r="416" spans="2:16" x14ac:dyDescent="0.2">
      <c r="B416" s="45"/>
      <c r="C416" s="43"/>
      <c r="D416" s="260"/>
      <c r="E416" s="261"/>
      <c r="F416" s="186"/>
      <c r="G416" s="186"/>
      <c r="H416" s="80"/>
      <c r="I416" s="80"/>
      <c r="J416" s="185"/>
      <c r="K416" s="91"/>
      <c r="L416" s="98"/>
      <c r="M416" s="177"/>
      <c r="N416" s="177"/>
      <c r="O416" s="177"/>
      <c r="P416" s="137" t="str">
        <f t="shared" si="33"/>
        <v>-</v>
      </c>
    </row>
    <row r="417" spans="2:16" x14ac:dyDescent="0.2">
      <c r="B417" s="45"/>
      <c r="C417" s="43"/>
      <c r="D417" s="260"/>
      <c r="E417" s="261"/>
      <c r="F417" s="186"/>
      <c r="G417" s="186"/>
      <c r="H417" s="80"/>
      <c r="I417" s="80"/>
      <c r="J417" s="185"/>
      <c r="K417" s="91"/>
      <c r="L417" s="98"/>
      <c r="M417" s="177"/>
      <c r="N417" s="177"/>
      <c r="O417" s="177"/>
      <c r="P417" s="137" t="str">
        <f t="shared" si="33"/>
        <v>-</v>
      </c>
    </row>
    <row r="418" spans="2:16" x14ac:dyDescent="0.2">
      <c r="B418" s="45"/>
      <c r="C418" s="42"/>
      <c r="D418" s="260"/>
      <c r="E418" s="261"/>
      <c r="F418" s="186"/>
      <c r="G418" s="186"/>
      <c r="H418" s="80"/>
      <c r="I418" s="80"/>
      <c r="J418" s="185"/>
      <c r="K418" s="91"/>
      <c r="L418" s="98"/>
      <c r="M418" s="177"/>
      <c r="N418" s="177"/>
      <c r="O418" s="177"/>
      <c r="P418" s="137" t="str">
        <f t="shared" si="33"/>
        <v>-</v>
      </c>
    </row>
    <row r="419" spans="2:16" x14ac:dyDescent="0.2">
      <c r="B419" s="45"/>
      <c r="C419" s="43"/>
      <c r="D419" s="260"/>
      <c r="E419" s="261"/>
      <c r="F419" s="186"/>
      <c r="G419" s="186"/>
      <c r="H419" s="80"/>
      <c r="I419" s="80"/>
      <c r="J419" s="185"/>
      <c r="K419" s="91"/>
      <c r="L419" s="98"/>
      <c r="M419" s="177"/>
      <c r="N419" s="177"/>
      <c r="O419" s="177"/>
      <c r="P419" s="137" t="str">
        <f t="shared" si="33"/>
        <v>-</v>
      </c>
    </row>
    <row r="420" spans="2:16" x14ac:dyDescent="0.2">
      <c r="B420" s="45"/>
      <c r="C420" s="43"/>
      <c r="D420" s="260"/>
      <c r="E420" s="261"/>
      <c r="F420" s="186"/>
      <c r="G420" s="186"/>
      <c r="H420" s="80"/>
      <c r="I420" s="80"/>
      <c r="J420" s="185"/>
      <c r="K420" s="91"/>
      <c r="L420" s="98"/>
      <c r="M420" s="177"/>
      <c r="N420" s="177"/>
      <c r="O420" s="177"/>
      <c r="P420" s="137" t="str">
        <f t="shared" ref="P420:P483" si="34">IF(H419="","-",IF(K419="","",K419))</f>
        <v>-</v>
      </c>
    </row>
    <row r="421" spans="2:16" x14ac:dyDescent="0.2">
      <c r="B421" s="45"/>
      <c r="C421" s="42"/>
      <c r="D421" s="260"/>
      <c r="E421" s="261"/>
      <c r="F421" s="186"/>
      <c r="G421" s="186"/>
      <c r="H421" s="80"/>
      <c r="I421" s="80"/>
      <c r="J421" s="185"/>
      <c r="K421" s="91"/>
      <c r="L421" s="98"/>
      <c r="M421" s="177"/>
      <c r="N421" s="177"/>
      <c r="O421" s="177"/>
      <c r="P421" s="137" t="str">
        <f t="shared" si="34"/>
        <v>-</v>
      </c>
    </row>
    <row r="422" spans="2:16" x14ac:dyDescent="0.2">
      <c r="B422" s="45"/>
      <c r="C422" s="43"/>
      <c r="D422" s="260"/>
      <c r="E422" s="261"/>
      <c r="F422" s="186"/>
      <c r="G422" s="186"/>
      <c r="H422" s="80"/>
      <c r="I422" s="80"/>
      <c r="J422" s="185"/>
      <c r="K422" s="91"/>
      <c r="L422" s="98"/>
      <c r="M422" s="177"/>
      <c r="N422" s="177"/>
      <c r="O422" s="177"/>
      <c r="P422" s="137" t="str">
        <f t="shared" si="34"/>
        <v>-</v>
      </c>
    </row>
    <row r="423" spans="2:16" x14ac:dyDescent="0.2">
      <c r="B423" s="45"/>
      <c r="C423" s="43"/>
      <c r="D423" s="260"/>
      <c r="E423" s="261"/>
      <c r="F423" s="186"/>
      <c r="G423" s="186"/>
      <c r="H423" s="80"/>
      <c r="I423" s="80"/>
      <c r="J423" s="185"/>
      <c r="K423" s="91"/>
      <c r="L423" s="98"/>
      <c r="M423" s="177"/>
      <c r="N423" s="177"/>
      <c r="O423" s="177"/>
      <c r="P423" s="137" t="str">
        <f t="shared" si="34"/>
        <v>-</v>
      </c>
    </row>
    <row r="424" spans="2:16" x14ac:dyDescent="0.2">
      <c r="B424" s="45"/>
      <c r="C424" s="42"/>
      <c r="D424" s="260"/>
      <c r="E424" s="261"/>
      <c r="F424" s="186"/>
      <c r="G424" s="186"/>
      <c r="H424" s="80"/>
      <c r="I424" s="80"/>
      <c r="J424" s="185"/>
      <c r="K424" s="91"/>
      <c r="L424" s="98"/>
      <c r="M424" s="177"/>
      <c r="N424" s="177"/>
      <c r="O424" s="177"/>
      <c r="P424" s="137" t="str">
        <f t="shared" si="34"/>
        <v>-</v>
      </c>
    </row>
    <row r="425" spans="2:16" x14ac:dyDescent="0.2">
      <c r="B425" s="45"/>
      <c r="C425" s="43"/>
      <c r="D425" s="260"/>
      <c r="E425" s="261"/>
      <c r="F425" s="186"/>
      <c r="G425" s="186"/>
      <c r="H425" s="80"/>
      <c r="I425" s="80"/>
      <c r="J425" s="185"/>
      <c r="K425" s="91"/>
      <c r="L425" s="98"/>
      <c r="M425" s="177"/>
      <c r="N425" s="177"/>
      <c r="O425" s="177"/>
      <c r="P425" s="137" t="str">
        <f t="shared" si="34"/>
        <v>-</v>
      </c>
    </row>
    <row r="426" spans="2:16" x14ac:dyDescent="0.2">
      <c r="B426" s="45"/>
      <c r="C426" s="43"/>
      <c r="D426" s="260"/>
      <c r="E426" s="261"/>
      <c r="F426" s="186"/>
      <c r="G426" s="186"/>
      <c r="H426" s="80"/>
      <c r="I426" s="80"/>
      <c r="J426" s="185"/>
      <c r="K426" s="91"/>
      <c r="L426" s="98"/>
      <c r="M426" s="177"/>
      <c r="N426" s="177"/>
      <c r="O426" s="177"/>
      <c r="P426" s="137" t="str">
        <f t="shared" si="34"/>
        <v>-</v>
      </c>
    </row>
    <row r="427" spans="2:16" x14ac:dyDescent="0.2">
      <c r="B427" s="45"/>
      <c r="C427" s="42"/>
      <c r="D427" s="260"/>
      <c r="E427" s="261"/>
      <c r="F427" s="186"/>
      <c r="G427" s="186"/>
      <c r="H427" s="80"/>
      <c r="I427" s="80"/>
      <c r="J427" s="185"/>
      <c r="K427" s="91"/>
      <c r="L427" s="98"/>
      <c r="M427" s="177"/>
      <c r="N427" s="177"/>
      <c r="O427" s="177"/>
      <c r="P427" s="137" t="str">
        <f t="shared" si="34"/>
        <v>-</v>
      </c>
    </row>
    <row r="428" spans="2:16" x14ac:dyDescent="0.2">
      <c r="B428" s="45"/>
      <c r="C428" s="43"/>
      <c r="D428" s="260"/>
      <c r="E428" s="261"/>
      <c r="F428" s="186"/>
      <c r="G428" s="186"/>
      <c r="H428" s="80"/>
      <c r="I428" s="80"/>
      <c r="J428" s="185"/>
      <c r="K428" s="91"/>
      <c r="L428" s="98"/>
      <c r="M428" s="177"/>
      <c r="N428" s="177"/>
      <c r="O428" s="177"/>
      <c r="P428" s="137" t="str">
        <f t="shared" si="34"/>
        <v>-</v>
      </c>
    </row>
    <row r="429" spans="2:16" x14ac:dyDescent="0.2">
      <c r="B429" s="45"/>
      <c r="C429" s="43"/>
      <c r="D429" s="260"/>
      <c r="E429" s="261"/>
      <c r="F429" s="186"/>
      <c r="G429" s="186"/>
      <c r="H429" s="80"/>
      <c r="I429" s="80"/>
      <c r="J429" s="185"/>
      <c r="K429" s="91"/>
      <c r="L429" s="98"/>
      <c r="M429" s="177"/>
      <c r="N429" s="177"/>
      <c r="O429" s="177"/>
      <c r="P429" s="137" t="str">
        <f t="shared" si="34"/>
        <v>-</v>
      </c>
    </row>
    <row r="430" spans="2:16" x14ac:dyDescent="0.2">
      <c r="B430" s="45"/>
      <c r="C430" s="42"/>
      <c r="D430" s="260"/>
      <c r="E430" s="261"/>
      <c r="F430" s="186"/>
      <c r="G430" s="186"/>
      <c r="H430" s="80"/>
      <c r="I430" s="80"/>
      <c r="J430" s="185"/>
      <c r="K430" s="91"/>
      <c r="L430" s="98"/>
      <c r="M430" s="177"/>
      <c r="N430" s="177"/>
      <c r="O430" s="177"/>
      <c r="P430" s="137" t="str">
        <f t="shared" si="34"/>
        <v>-</v>
      </c>
    </row>
    <row r="431" spans="2:16" x14ac:dyDescent="0.2">
      <c r="B431" s="45"/>
      <c r="C431" s="43"/>
      <c r="D431" s="260"/>
      <c r="E431" s="261"/>
      <c r="F431" s="186"/>
      <c r="G431" s="186"/>
      <c r="H431" s="80"/>
      <c r="I431" s="80"/>
      <c r="J431" s="185"/>
      <c r="K431" s="91"/>
      <c r="L431" s="98"/>
      <c r="M431" s="177"/>
      <c r="N431" s="177"/>
      <c r="O431" s="177"/>
      <c r="P431" s="137" t="str">
        <f t="shared" si="34"/>
        <v>-</v>
      </c>
    </row>
    <row r="432" spans="2:16" x14ac:dyDescent="0.2">
      <c r="B432" s="45"/>
      <c r="C432" s="43"/>
      <c r="D432" s="260"/>
      <c r="E432" s="261"/>
      <c r="F432" s="186"/>
      <c r="G432" s="186"/>
      <c r="H432" s="80"/>
      <c r="I432" s="80"/>
      <c r="J432" s="185"/>
      <c r="K432" s="91"/>
      <c r="L432" s="98"/>
      <c r="M432" s="177"/>
      <c r="N432" s="177"/>
      <c r="O432" s="177"/>
      <c r="P432" s="137" t="str">
        <f t="shared" si="34"/>
        <v>-</v>
      </c>
    </row>
    <row r="433" spans="2:16" x14ac:dyDescent="0.2">
      <c r="B433" s="45"/>
      <c r="C433" s="42"/>
      <c r="D433" s="260"/>
      <c r="E433" s="261"/>
      <c r="F433" s="186"/>
      <c r="G433" s="186"/>
      <c r="H433" s="80"/>
      <c r="I433" s="80"/>
      <c r="J433" s="185"/>
      <c r="K433" s="91"/>
      <c r="L433" s="98"/>
      <c r="M433" s="177"/>
      <c r="N433" s="177"/>
      <c r="O433" s="177"/>
      <c r="P433" s="137" t="str">
        <f t="shared" si="34"/>
        <v>-</v>
      </c>
    </row>
    <row r="434" spans="2:16" x14ac:dyDescent="0.2">
      <c r="B434" s="45"/>
      <c r="C434" s="43"/>
      <c r="D434" s="260"/>
      <c r="E434" s="261"/>
      <c r="F434" s="186"/>
      <c r="G434" s="186"/>
      <c r="H434" s="80"/>
      <c r="I434" s="80"/>
      <c r="J434" s="185"/>
      <c r="K434" s="91"/>
      <c r="L434" s="98"/>
      <c r="M434" s="177"/>
      <c r="N434" s="177"/>
      <c r="O434" s="177"/>
      <c r="P434" s="137" t="str">
        <f t="shared" si="34"/>
        <v>-</v>
      </c>
    </row>
    <row r="435" spans="2:16" x14ac:dyDescent="0.2">
      <c r="B435" s="45"/>
      <c r="C435" s="43"/>
      <c r="D435" s="260"/>
      <c r="E435" s="261"/>
      <c r="F435" s="186"/>
      <c r="G435" s="186"/>
      <c r="H435" s="80"/>
      <c r="I435" s="80"/>
      <c r="J435" s="185"/>
      <c r="K435" s="91"/>
      <c r="L435" s="98"/>
      <c r="M435" s="177"/>
      <c r="N435" s="177"/>
      <c r="O435" s="177"/>
      <c r="P435" s="137" t="str">
        <f t="shared" si="34"/>
        <v>-</v>
      </c>
    </row>
    <row r="436" spans="2:16" x14ac:dyDescent="0.2">
      <c r="B436" s="45"/>
      <c r="C436" s="42"/>
      <c r="D436" s="260"/>
      <c r="E436" s="261"/>
      <c r="F436" s="186"/>
      <c r="G436" s="186"/>
      <c r="H436" s="80"/>
      <c r="I436" s="80"/>
      <c r="J436" s="185"/>
      <c r="K436" s="91"/>
      <c r="L436" s="98"/>
      <c r="M436" s="177"/>
      <c r="N436" s="177"/>
      <c r="O436" s="177"/>
      <c r="P436" s="137" t="str">
        <f t="shared" si="34"/>
        <v>-</v>
      </c>
    </row>
    <row r="437" spans="2:16" x14ac:dyDescent="0.2">
      <c r="B437" s="45"/>
      <c r="C437" s="43"/>
      <c r="D437" s="260"/>
      <c r="E437" s="261"/>
      <c r="F437" s="186"/>
      <c r="G437" s="186"/>
      <c r="H437" s="80"/>
      <c r="I437" s="80"/>
      <c r="J437" s="185"/>
      <c r="K437" s="91"/>
      <c r="L437" s="98"/>
      <c r="M437" s="177"/>
      <c r="N437" s="177"/>
      <c r="O437" s="177"/>
      <c r="P437" s="137" t="str">
        <f t="shared" si="34"/>
        <v>-</v>
      </c>
    </row>
    <row r="438" spans="2:16" x14ac:dyDescent="0.2">
      <c r="B438" s="45"/>
      <c r="C438" s="43"/>
      <c r="D438" s="260"/>
      <c r="E438" s="261"/>
      <c r="F438" s="186"/>
      <c r="G438" s="186"/>
      <c r="H438" s="80"/>
      <c r="I438" s="80"/>
      <c r="J438" s="185"/>
      <c r="K438" s="91"/>
      <c r="L438" s="98"/>
      <c r="M438" s="177"/>
      <c r="N438" s="177"/>
      <c r="O438" s="177"/>
      <c r="P438" s="137" t="str">
        <f t="shared" si="34"/>
        <v>-</v>
      </c>
    </row>
    <row r="439" spans="2:16" x14ac:dyDescent="0.2">
      <c r="B439" s="45"/>
      <c r="C439" s="42"/>
      <c r="D439" s="260"/>
      <c r="E439" s="261"/>
      <c r="F439" s="186"/>
      <c r="G439" s="186"/>
      <c r="H439" s="80"/>
      <c r="I439" s="80"/>
      <c r="J439" s="185"/>
      <c r="K439" s="91"/>
      <c r="L439" s="98"/>
      <c r="M439" s="177"/>
      <c r="N439" s="177"/>
      <c r="O439" s="177"/>
      <c r="P439" s="137" t="str">
        <f t="shared" si="34"/>
        <v>-</v>
      </c>
    </row>
    <row r="440" spans="2:16" x14ac:dyDescent="0.2">
      <c r="B440" s="45"/>
      <c r="C440" s="43"/>
      <c r="D440" s="260"/>
      <c r="E440" s="261"/>
      <c r="F440" s="186"/>
      <c r="G440" s="186"/>
      <c r="H440" s="80"/>
      <c r="I440" s="80"/>
      <c r="J440" s="185"/>
      <c r="K440" s="91"/>
      <c r="L440" s="98"/>
      <c r="M440" s="177"/>
      <c r="N440" s="177"/>
      <c r="O440" s="177"/>
      <c r="P440" s="137" t="str">
        <f t="shared" si="34"/>
        <v>-</v>
      </c>
    </row>
    <row r="441" spans="2:16" x14ac:dyDescent="0.2">
      <c r="B441" s="45"/>
      <c r="C441" s="43"/>
      <c r="D441" s="260"/>
      <c r="E441" s="261"/>
      <c r="F441" s="186"/>
      <c r="G441" s="186"/>
      <c r="H441" s="80"/>
      <c r="I441" s="80"/>
      <c r="J441" s="185"/>
      <c r="K441" s="91"/>
      <c r="L441" s="98"/>
      <c r="M441" s="177"/>
      <c r="N441" s="177"/>
      <c r="O441" s="177"/>
      <c r="P441" s="137" t="str">
        <f t="shared" si="34"/>
        <v>-</v>
      </c>
    </row>
    <row r="442" spans="2:16" x14ac:dyDescent="0.2">
      <c r="B442" s="45"/>
      <c r="C442" s="42"/>
      <c r="D442" s="260"/>
      <c r="E442" s="261"/>
      <c r="F442" s="186"/>
      <c r="G442" s="186"/>
      <c r="H442" s="80"/>
      <c r="I442" s="80"/>
      <c r="J442" s="185"/>
      <c r="K442" s="91"/>
      <c r="L442" s="98"/>
      <c r="M442" s="177"/>
      <c r="N442" s="177"/>
      <c r="O442" s="177"/>
      <c r="P442" s="137" t="str">
        <f t="shared" si="34"/>
        <v>-</v>
      </c>
    </row>
    <row r="443" spans="2:16" x14ac:dyDescent="0.2">
      <c r="B443" s="45"/>
      <c r="C443" s="43"/>
      <c r="D443" s="260"/>
      <c r="E443" s="261"/>
      <c r="F443" s="186"/>
      <c r="G443" s="186"/>
      <c r="H443" s="80"/>
      <c r="I443" s="80"/>
      <c r="J443" s="185"/>
      <c r="K443" s="91"/>
      <c r="L443" s="98"/>
      <c r="M443" s="177"/>
      <c r="N443" s="177"/>
      <c r="O443" s="177"/>
      <c r="P443" s="137" t="str">
        <f t="shared" si="34"/>
        <v>-</v>
      </c>
    </row>
    <row r="444" spans="2:16" x14ac:dyDescent="0.2">
      <c r="B444" s="45"/>
      <c r="C444" s="43"/>
      <c r="D444" s="260"/>
      <c r="E444" s="261"/>
      <c r="F444" s="186"/>
      <c r="G444" s="186"/>
      <c r="H444" s="80"/>
      <c r="I444" s="80"/>
      <c r="J444" s="185"/>
      <c r="K444" s="91"/>
      <c r="L444" s="98"/>
      <c r="M444" s="177"/>
      <c r="N444" s="177"/>
      <c r="O444" s="177"/>
      <c r="P444" s="137" t="str">
        <f t="shared" si="34"/>
        <v>-</v>
      </c>
    </row>
    <row r="445" spans="2:16" x14ac:dyDescent="0.2">
      <c r="B445" s="45"/>
      <c r="C445" s="42"/>
      <c r="D445" s="260"/>
      <c r="E445" s="261"/>
      <c r="F445" s="186"/>
      <c r="G445" s="186"/>
      <c r="H445" s="80"/>
      <c r="I445" s="80"/>
      <c r="J445" s="185"/>
      <c r="K445" s="91"/>
      <c r="L445" s="98"/>
      <c r="M445" s="177"/>
      <c r="N445" s="177"/>
      <c r="O445" s="177"/>
      <c r="P445" s="137" t="str">
        <f t="shared" si="34"/>
        <v>-</v>
      </c>
    </row>
    <row r="446" spans="2:16" x14ac:dyDescent="0.2">
      <c r="B446" s="45"/>
      <c r="C446" s="43"/>
      <c r="D446" s="260"/>
      <c r="E446" s="261"/>
      <c r="F446" s="186"/>
      <c r="G446" s="186"/>
      <c r="H446" s="80"/>
      <c r="I446" s="80"/>
      <c r="J446" s="185"/>
      <c r="K446" s="91"/>
      <c r="L446" s="98"/>
      <c r="M446" s="177"/>
      <c r="N446" s="177"/>
      <c r="O446" s="177"/>
      <c r="P446" s="137" t="str">
        <f t="shared" si="34"/>
        <v>-</v>
      </c>
    </row>
    <row r="447" spans="2:16" x14ac:dyDescent="0.2">
      <c r="B447" s="45"/>
      <c r="C447" s="43"/>
      <c r="D447" s="260"/>
      <c r="E447" s="261"/>
      <c r="F447" s="186"/>
      <c r="G447" s="186"/>
      <c r="H447" s="80"/>
      <c r="I447" s="80"/>
      <c r="J447" s="185"/>
      <c r="K447" s="91"/>
      <c r="L447" s="98"/>
      <c r="M447" s="177"/>
      <c r="N447" s="177"/>
      <c r="O447" s="177"/>
      <c r="P447" s="137" t="str">
        <f t="shared" si="34"/>
        <v>-</v>
      </c>
    </row>
    <row r="448" spans="2:16" x14ac:dyDescent="0.2">
      <c r="B448" s="45"/>
      <c r="C448" s="42"/>
      <c r="D448" s="260"/>
      <c r="E448" s="261"/>
      <c r="F448" s="186"/>
      <c r="G448" s="186"/>
      <c r="H448" s="80"/>
      <c r="I448" s="80"/>
      <c r="J448" s="185"/>
      <c r="K448" s="91"/>
      <c r="L448" s="98"/>
      <c r="M448" s="177"/>
      <c r="N448" s="177"/>
      <c r="O448" s="177"/>
      <c r="P448" s="137" t="str">
        <f t="shared" si="34"/>
        <v>-</v>
      </c>
    </row>
    <row r="449" spans="2:16" x14ac:dyDescent="0.2">
      <c r="B449" s="45"/>
      <c r="C449" s="43"/>
      <c r="D449" s="260"/>
      <c r="E449" s="261"/>
      <c r="F449" s="186"/>
      <c r="G449" s="186"/>
      <c r="H449" s="80"/>
      <c r="I449" s="80"/>
      <c r="J449" s="185"/>
      <c r="K449" s="91"/>
      <c r="L449" s="98"/>
      <c r="M449" s="177"/>
      <c r="N449" s="177"/>
      <c r="O449" s="177"/>
      <c r="P449" s="137" t="str">
        <f t="shared" si="34"/>
        <v>-</v>
      </c>
    </row>
    <row r="450" spans="2:16" x14ac:dyDescent="0.2">
      <c r="B450" s="45"/>
      <c r="C450" s="43"/>
      <c r="D450" s="260"/>
      <c r="E450" s="261"/>
      <c r="F450" s="186"/>
      <c r="G450" s="186"/>
      <c r="H450" s="80"/>
      <c r="I450" s="80"/>
      <c r="J450" s="185"/>
      <c r="K450" s="91"/>
      <c r="L450" s="98"/>
      <c r="M450" s="177"/>
      <c r="N450" s="177"/>
      <c r="O450" s="177"/>
      <c r="P450" s="137" t="str">
        <f t="shared" si="34"/>
        <v>-</v>
      </c>
    </row>
    <row r="451" spans="2:16" x14ac:dyDescent="0.2">
      <c r="B451" s="45"/>
      <c r="C451" s="42"/>
      <c r="D451" s="260"/>
      <c r="E451" s="261"/>
      <c r="F451" s="186"/>
      <c r="G451" s="186"/>
      <c r="H451" s="80"/>
      <c r="I451" s="80"/>
      <c r="J451" s="185"/>
      <c r="K451" s="91"/>
      <c r="L451" s="98"/>
      <c r="M451" s="177"/>
      <c r="N451" s="177"/>
      <c r="O451" s="177"/>
      <c r="P451" s="137" t="str">
        <f t="shared" si="34"/>
        <v>-</v>
      </c>
    </row>
    <row r="452" spans="2:16" x14ac:dyDescent="0.2">
      <c r="B452" s="45"/>
      <c r="C452" s="43"/>
      <c r="D452" s="260"/>
      <c r="E452" s="261"/>
      <c r="F452" s="186"/>
      <c r="G452" s="186"/>
      <c r="H452" s="80"/>
      <c r="I452" s="80"/>
      <c r="J452" s="185"/>
      <c r="K452" s="91"/>
      <c r="L452" s="98"/>
      <c r="M452" s="177"/>
      <c r="N452" s="177"/>
      <c r="O452" s="177"/>
      <c r="P452" s="137" t="str">
        <f t="shared" si="34"/>
        <v>-</v>
      </c>
    </row>
    <row r="453" spans="2:16" x14ac:dyDescent="0.2">
      <c r="B453" s="45"/>
      <c r="C453" s="43"/>
      <c r="D453" s="260"/>
      <c r="E453" s="261"/>
      <c r="F453" s="186"/>
      <c r="G453" s="186"/>
      <c r="H453" s="80"/>
      <c r="I453" s="80"/>
      <c r="J453" s="185"/>
      <c r="K453" s="91"/>
      <c r="L453" s="98"/>
      <c r="M453" s="177"/>
      <c r="N453" s="177"/>
      <c r="O453" s="177"/>
      <c r="P453" s="137" t="str">
        <f t="shared" si="34"/>
        <v>-</v>
      </c>
    </row>
    <row r="454" spans="2:16" x14ac:dyDescent="0.2">
      <c r="B454" s="45"/>
      <c r="C454" s="42"/>
      <c r="D454" s="260"/>
      <c r="E454" s="261"/>
      <c r="F454" s="186"/>
      <c r="G454" s="186"/>
      <c r="H454" s="80"/>
      <c r="I454" s="80"/>
      <c r="J454" s="185"/>
      <c r="K454" s="91"/>
      <c r="L454" s="98"/>
      <c r="M454" s="177"/>
      <c r="N454" s="177"/>
      <c r="O454" s="177"/>
      <c r="P454" s="137" t="str">
        <f t="shared" si="34"/>
        <v>-</v>
      </c>
    </row>
    <row r="455" spans="2:16" x14ac:dyDescent="0.2">
      <c r="B455" s="45"/>
      <c r="C455" s="43"/>
      <c r="D455" s="260"/>
      <c r="E455" s="261"/>
      <c r="F455" s="186"/>
      <c r="G455" s="186"/>
      <c r="H455" s="80"/>
      <c r="I455" s="80"/>
      <c r="J455" s="185"/>
      <c r="K455" s="91"/>
      <c r="L455" s="98"/>
      <c r="M455" s="177"/>
      <c r="N455" s="177"/>
      <c r="O455" s="177"/>
      <c r="P455" s="137" t="str">
        <f t="shared" si="34"/>
        <v>-</v>
      </c>
    </row>
    <row r="456" spans="2:16" x14ac:dyDescent="0.2">
      <c r="B456" s="45"/>
      <c r="C456" s="43"/>
      <c r="D456" s="260"/>
      <c r="E456" s="261"/>
      <c r="F456" s="186"/>
      <c r="G456" s="186"/>
      <c r="H456" s="80"/>
      <c r="I456" s="80"/>
      <c r="J456" s="185"/>
      <c r="K456" s="91"/>
      <c r="L456" s="98"/>
      <c r="M456" s="177"/>
      <c r="N456" s="177"/>
      <c r="O456" s="177"/>
      <c r="P456" s="137" t="str">
        <f t="shared" si="34"/>
        <v>-</v>
      </c>
    </row>
    <row r="457" spans="2:16" x14ac:dyDescent="0.2">
      <c r="B457" s="45"/>
      <c r="C457" s="42"/>
      <c r="D457" s="260"/>
      <c r="E457" s="261"/>
      <c r="F457" s="186"/>
      <c r="G457" s="186"/>
      <c r="H457" s="80"/>
      <c r="I457" s="80"/>
      <c r="J457" s="185"/>
      <c r="K457" s="91"/>
      <c r="L457" s="98"/>
      <c r="M457" s="177"/>
      <c r="N457" s="177"/>
      <c r="O457" s="177"/>
      <c r="P457" s="137" t="str">
        <f t="shared" si="34"/>
        <v>-</v>
      </c>
    </row>
    <row r="458" spans="2:16" x14ac:dyDescent="0.2">
      <c r="B458" s="45"/>
      <c r="C458" s="43"/>
      <c r="D458" s="260"/>
      <c r="E458" s="261"/>
      <c r="F458" s="186"/>
      <c r="G458" s="186"/>
      <c r="H458" s="80"/>
      <c r="I458" s="80"/>
      <c r="J458" s="185"/>
      <c r="K458" s="91"/>
      <c r="L458" s="98"/>
      <c r="M458" s="177"/>
      <c r="N458" s="177"/>
      <c r="O458" s="177"/>
      <c r="P458" s="137" t="str">
        <f t="shared" si="34"/>
        <v>-</v>
      </c>
    </row>
    <row r="459" spans="2:16" x14ac:dyDescent="0.2">
      <c r="B459" s="45"/>
      <c r="C459" s="43"/>
      <c r="D459" s="260"/>
      <c r="E459" s="261"/>
      <c r="F459" s="186"/>
      <c r="G459" s="186"/>
      <c r="H459" s="80"/>
      <c r="I459" s="80"/>
      <c r="J459" s="185"/>
      <c r="K459" s="91"/>
      <c r="L459" s="98"/>
      <c r="M459" s="177"/>
      <c r="N459" s="177"/>
      <c r="O459" s="177"/>
      <c r="P459" s="137" t="str">
        <f t="shared" si="34"/>
        <v>-</v>
      </c>
    </row>
    <row r="460" spans="2:16" x14ac:dyDescent="0.2">
      <c r="B460" s="45"/>
      <c r="C460" s="42"/>
      <c r="D460" s="260"/>
      <c r="E460" s="261"/>
      <c r="F460" s="186"/>
      <c r="G460" s="186"/>
      <c r="H460" s="80"/>
      <c r="I460" s="80"/>
      <c r="J460" s="185"/>
      <c r="K460" s="91"/>
      <c r="L460" s="98"/>
      <c r="M460" s="177"/>
      <c r="N460" s="177"/>
      <c r="O460" s="177"/>
      <c r="P460" s="137" t="str">
        <f t="shared" si="34"/>
        <v>-</v>
      </c>
    </row>
    <row r="461" spans="2:16" x14ac:dyDescent="0.2">
      <c r="B461" s="45"/>
      <c r="C461" s="43"/>
      <c r="D461" s="260"/>
      <c r="E461" s="261"/>
      <c r="F461" s="186"/>
      <c r="G461" s="186"/>
      <c r="H461" s="80"/>
      <c r="I461" s="80"/>
      <c r="J461" s="185"/>
      <c r="K461" s="91"/>
      <c r="L461" s="98"/>
      <c r="M461" s="177"/>
      <c r="N461" s="177"/>
      <c r="O461" s="177"/>
      <c r="P461" s="137" t="str">
        <f t="shared" si="34"/>
        <v>-</v>
      </c>
    </row>
    <row r="462" spans="2:16" x14ac:dyDescent="0.2">
      <c r="B462" s="45"/>
      <c r="C462" s="43"/>
      <c r="D462" s="260"/>
      <c r="E462" s="261"/>
      <c r="F462" s="186"/>
      <c r="G462" s="186"/>
      <c r="H462" s="80"/>
      <c r="I462" s="80"/>
      <c r="J462" s="185"/>
      <c r="K462" s="91"/>
      <c r="L462" s="98"/>
      <c r="M462" s="177"/>
      <c r="N462" s="177"/>
      <c r="O462" s="177"/>
      <c r="P462" s="137" t="str">
        <f t="shared" si="34"/>
        <v>-</v>
      </c>
    </row>
    <row r="463" spans="2:16" x14ac:dyDescent="0.2">
      <c r="B463" s="45"/>
      <c r="C463" s="42"/>
      <c r="D463" s="260"/>
      <c r="E463" s="261"/>
      <c r="F463" s="186"/>
      <c r="G463" s="186"/>
      <c r="H463" s="80"/>
      <c r="I463" s="80"/>
      <c r="J463" s="185"/>
      <c r="K463" s="91"/>
      <c r="L463" s="98"/>
      <c r="M463" s="177"/>
      <c r="N463" s="177"/>
      <c r="O463" s="177"/>
      <c r="P463" s="137" t="str">
        <f t="shared" si="34"/>
        <v>-</v>
      </c>
    </row>
    <row r="464" spans="2:16" x14ac:dyDescent="0.2">
      <c r="B464" s="45"/>
      <c r="C464" s="43"/>
      <c r="D464" s="260"/>
      <c r="E464" s="261"/>
      <c r="F464" s="186"/>
      <c r="G464" s="186"/>
      <c r="H464" s="80"/>
      <c r="I464" s="80"/>
      <c r="J464" s="185"/>
      <c r="K464" s="91"/>
      <c r="L464" s="98"/>
      <c r="M464" s="177"/>
      <c r="N464" s="177"/>
      <c r="O464" s="177"/>
      <c r="P464" s="137" t="str">
        <f t="shared" si="34"/>
        <v>-</v>
      </c>
    </row>
    <row r="465" spans="2:16" x14ac:dyDescent="0.2">
      <c r="B465" s="45"/>
      <c r="C465" s="43"/>
      <c r="D465" s="260"/>
      <c r="E465" s="261"/>
      <c r="F465" s="186"/>
      <c r="G465" s="186"/>
      <c r="H465" s="80"/>
      <c r="I465" s="80"/>
      <c r="J465" s="185"/>
      <c r="K465" s="91"/>
      <c r="L465" s="98"/>
      <c r="M465" s="177"/>
      <c r="N465" s="177"/>
      <c r="O465" s="177"/>
      <c r="P465" s="137" t="str">
        <f t="shared" si="34"/>
        <v>-</v>
      </c>
    </row>
    <row r="466" spans="2:16" x14ac:dyDescent="0.2">
      <c r="B466" s="45"/>
      <c r="C466" s="42"/>
      <c r="D466" s="260"/>
      <c r="E466" s="261"/>
      <c r="F466" s="186"/>
      <c r="G466" s="186"/>
      <c r="H466" s="80"/>
      <c r="I466" s="80"/>
      <c r="J466" s="185"/>
      <c r="K466" s="91"/>
      <c r="L466" s="98"/>
      <c r="M466" s="177"/>
      <c r="N466" s="177"/>
      <c r="O466" s="177"/>
      <c r="P466" s="137" t="str">
        <f t="shared" si="34"/>
        <v>-</v>
      </c>
    </row>
    <row r="467" spans="2:16" x14ac:dyDescent="0.2">
      <c r="B467" s="45"/>
      <c r="C467" s="43"/>
      <c r="D467" s="260"/>
      <c r="E467" s="261"/>
      <c r="F467" s="186"/>
      <c r="G467" s="186"/>
      <c r="H467" s="80"/>
      <c r="I467" s="80"/>
      <c r="J467" s="185"/>
      <c r="K467" s="91"/>
      <c r="L467" s="98"/>
      <c r="M467" s="177"/>
      <c r="N467" s="177"/>
      <c r="O467" s="177"/>
      <c r="P467" s="137" t="str">
        <f t="shared" si="34"/>
        <v>-</v>
      </c>
    </row>
    <row r="468" spans="2:16" x14ac:dyDescent="0.2">
      <c r="B468" s="45"/>
      <c r="C468" s="43"/>
      <c r="D468" s="260"/>
      <c r="E468" s="261"/>
      <c r="F468" s="186"/>
      <c r="G468" s="186"/>
      <c r="H468" s="80"/>
      <c r="I468" s="80"/>
      <c r="J468" s="185"/>
      <c r="K468" s="91"/>
      <c r="L468" s="98"/>
      <c r="M468" s="177"/>
      <c r="N468" s="177"/>
      <c r="O468" s="177"/>
      <c r="P468" s="137" t="str">
        <f t="shared" si="34"/>
        <v>-</v>
      </c>
    </row>
    <row r="469" spans="2:16" x14ac:dyDescent="0.2">
      <c r="B469" s="45"/>
      <c r="C469" s="42"/>
      <c r="D469" s="260"/>
      <c r="E469" s="261"/>
      <c r="F469" s="186"/>
      <c r="G469" s="186"/>
      <c r="H469" s="80"/>
      <c r="I469" s="80"/>
      <c r="J469" s="185"/>
      <c r="K469" s="91"/>
      <c r="L469" s="98"/>
      <c r="M469" s="177"/>
      <c r="N469" s="177"/>
      <c r="O469" s="177"/>
      <c r="P469" s="137" t="str">
        <f t="shared" si="34"/>
        <v>-</v>
      </c>
    </row>
    <row r="470" spans="2:16" x14ac:dyDescent="0.2">
      <c r="B470" s="45"/>
      <c r="C470" s="43"/>
      <c r="D470" s="260"/>
      <c r="E470" s="261"/>
      <c r="F470" s="186"/>
      <c r="G470" s="186"/>
      <c r="H470" s="80"/>
      <c r="I470" s="80"/>
      <c r="J470" s="185"/>
      <c r="K470" s="91"/>
      <c r="L470" s="98"/>
      <c r="M470" s="177"/>
      <c r="N470" s="177"/>
      <c r="O470" s="177"/>
      <c r="P470" s="137" t="str">
        <f t="shared" si="34"/>
        <v>-</v>
      </c>
    </row>
    <row r="471" spans="2:16" x14ac:dyDescent="0.2">
      <c r="B471" s="45"/>
      <c r="C471" s="43"/>
      <c r="D471" s="260"/>
      <c r="E471" s="261"/>
      <c r="F471" s="186"/>
      <c r="G471" s="186"/>
      <c r="H471" s="80"/>
      <c r="I471" s="80"/>
      <c r="J471" s="185"/>
      <c r="K471" s="91"/>
      <c r="L471" s="98"/>
      <c r="M471" s="177"/>
      <c r="N471" s="177"/>
      <c r="O471" s="177"/>
      <c r="P471" s="137" t="str">
        <f t="shared" si="34"/>
        <v>-</v>
      </c>
    </row>
    <row r="472" spans="2:16" x14ac:dyDescent="0.2">
      <c r="B472" s="45"/>
      <c r="C472" s="42"/>
      <c r="D472" s="260"/>
      <c r="E472" s="261"/>
      <c r="F472" s="186"/>
      <c r="G472" s="186"/>
      <c r="H472" s="80"/>
      <c r="I472" s="80"/>
      <c r="J472" s="185"/>
      <c r="K472" s="91"/>
      <c r="L472" s="98"/>
      <c r="M472" s="177"/>
      <c r="N472" s="177"/>
      <c r="O472" s="177"/>
      <c r="P472" s="137" t="str">
        <f t="shared" si="34"/>
        <v>-</v>
      </c>
    </row>
    <row r="473" spans="2:16" x14ac:dyDescent="0.2">
      <c r="B473" s="45"/>
      <c r="C473" s="43"/>
      <c r="D473" s="260"/>
      <c r="E473" s="261"/>
      <c r="F473" s="186"/>
      <c r="G473" s="186"/>
      <c r="H473" s="80"/>
      <c r="I473" s="80"/>
      <c r="J473" s="185"/>
      <c r="K473" s="91"/>
      <c r="L473" s="98"/>
      <c r="M473" s="177"/>
      <c r="N473" s="177"/>
      <c r="O473" s="177"/>
      <c r="P473" s="137" t="str">
        <f t="shared" si="34"/>
        <v>-</v>
      </c>
    </row>
    <row r="474" spans="2:16" x14ac:dyDescent="0.2">
      <c r="B474" s="45"/>
      <c r="C474" s="43"/>
      <c r="D474" s="260"/>
      <c r="E474" s="261"/>
      <c r="F474" s="186"/>
      <c r="G474" s="186"/>
      <c r="H474" s="80"/>
      <c r="I474" s="80"/>
      <c r="J474" s="185"/>
      <c r="K474" s="91"/>
      <c r="L474" s="98"/>
      <c r="M474" s="177"/>
      <c r="N474" s="177"/>
      <c r="O474" s="177"/>
      <c r="P474" s="137" t="str">
        <f t="shared" si="34"/>
        <v>-</v>
      </c>
    </row>
    <row r="475" spans="2:16" x14ac:dyDescent="0.2">
      <c r="B475" s="45"/>
      <c r="C475" s="42"/>
      <c r="D475" s="260"/>
      <c r="E475" s="261"/>
      <c r="F475" s="186"/>
      <c r="G475" s="186"/>
      <c r="H475" s="80"/>
      <c r="I475" s="80"/>
      <c r="J475" s="185"/>
      <c r="K475" s="91"/>
      <c r="L475" s="98"/>
      <c r="M475" s="177"/>
      <c r="N475" s="177"/>
      <c r="O475" s="177"/>
      <c r="P475" s="137" t="str">
        <f t="shared" si="34"/>
        <v>-</v>
      </c>
    </row>
    <row r="476" spans="2:16" x14ac:dyDescent="0.2">
      <c r="B476" s="45"/>
      <c r="C476" s="43"/>
      <c r="D476" s="260"/>
      <c r="E476" s="261"/>
      <c r="F476" s="186"/>
      <c r="G476" s="186"/>
      <c r="H476" s="80"/>
      <c r="I476" s="80"/>
      <c r="J476" s="185"/>
      <c r="K476" s="91"/>
      <c r="L476" s="98"/>
      <c r="M476" s="177"/>
      <c r="N476" s="177"/>
      <c r="O476" s="177"/>
      <c r="P476" s="137" t="str">
        <f t="shared" si="34"/>
        <v>-</v>
      </c>
    </row>
    <row r="477" spans="2:16" x14ac:dyDescent="0.2">
      <c r="B477" s="45"/>
      <c r="C477" s="43"/>
      <c r="D477" s="260"/>
      <c r="E477" s="261"/>
      <c r="F477" s="186"/>
      <c r="G477" s="186"/>
      <c r="H477" s="80"/>
      <c r="I477" s="80"/>
      <c r="J477" s="185"/>
      <c r="K477" s="91"/>
      <c r="L477" s="98"/>
      <c r="M477" s="177"/>
      <c r="N477" s="177"/>
      <c r="O477" s="177"/>
      <c r="P477" s="137" t="str">
        <f t="shared" si="34"/>
        <v>-</v>
      </c>
    </row>
    <row r="478" spans="2:16" x14ac:dyDescent="0.2">
      <c r="B478" s="45"/>
      <c r="C478" s="42"/>
      <c r="D478" s="260"/>
      <c r="E478" s="261"/>
      <c r="F478" s="186"/>
      <c r="G478" s="186"/>
      <c r="H478" s="80"/>
      <c r="I478" s="80"/>
      <c r="J478" s="185"/>
      <c r="K478" s="91"/>
      <c r="L478" s="98"/>
      <c r="M478" s="177"/>
      <c r="N478" s="177"/>
      <c r="O478" s="177"/>
      <c r="P478" s="137" t="str">
        <f t="shared" si="34"/>
        <v>-</v>
      </c>
    </row>
    <row r="479" spans="2:16" x14ac:dyDescent="0.2">
      <c r="B479" s="45"/>
      <c r="C479" s="43"/>
      <c r="D479" s="260"/>
      <c r="E479" s="261"/>
      <c r="F479" s="186"/>
      <c r="G479" s="186"/>
      <c r="H479" s="80"/>
      <c r="I479" s="80"/>
      <c r="J479" s="185"/>
      <c r="K479" s="91"/>
      <c r="L479" s="98"/>
      <c r="M479" s="177"/>
      <c r="N479" s="177"/>
      <c r="O479" s="177"/>
      <c r="P479" s="137" t="str">
        <f t="shared" si="34"/>
        <v>-</v>
      </c>
    </row>
    <row r="480" spans="2:16" x14ac:dyDescent="0.2">
      <c r="B480" s="45"/>
      <c r="C480" s="43"/>
      <c r="D480" s="260"/>
      <c r="E480" s="261"/>
      <c r="F480" s="186"/>
      <c r="G480" s="186"/>
      <c r="H480" s="80"/>
      <c r="I480" s="80"/>
      <c r="J480" s="185"/>
      <c r="K480" s="91"/>
      <c r="L480" s="98"/>
      <c r="M480" s="177"/>
      <c r="N480" s="177"/>
      <c r="O480" s="177"/>
      <c r="P480" s="137" t="str">
        <f t="shared" si="34"/>
        <v>-</v>
      </c>
    </row>
    <row r="481" spans="2:16" x14ac:dyDescent="0.2">
      <c r="B481" s="45"/>
      <c r="C481" s="42"/>
      <c r="D481" s="260"/>
      <c r="E481" s="261"/>
      <c r="F481" s="186"/>
      <c r="G481" s="186"/>
      <c r="H481" s="80"/>
      <c r="I481" s="80"/>
      <c r="J481" s="185"/>
      <c r="K481" s="91"/>
      <c r="L481" s="98"/>
      <c r="M481" s="177"/>
      <c r="N481" s="177"/>
      <c r="O481" s="177"/>
      <c r="P481" s="137" t="str">
        <f t="shared" si="34"/>
        <v>-</v>
      </c>
    </row>
    <row r="482" spans="2:16" x14ac:dyDescent="0.2">
      <c r="B482" s="45"/>
      <c r="C482" s="43"/>
      <c r="D482" s="260"/>
      <c r="E482" s="261"/>
      <c r="F482" s="186"/>
      <c r="G482" s="186"/>
      <c r="H482" s="80"/>
      <c r="I482" s="80"/>
      <c r="J482" s="185"/>
      <c r="K482" s="91"/>
      <c r="L482" s="98"/>
      <c r="M482" s="177"/>
      <c r="N482" s="177"/>
      <c r="O482" s="177"/>
      <c r="P482" s="137" t="str">
        <f t="shared" si="34"/>
        <v>-</v>
      </c>
    </row>
    <row r="483" spans="2:16" x14ac:dyDescent="0.2">
      <c r="B483" s="45"/>
      <c r="C483" s="43"/>
      <c r="D483" s="260"/>
      <c r="E483" s="261"/>
      <c r="F483" s="186"/>
      <c r="G483" s="186"/>
      <c r="H483" s="80"/>
      <c r="I483" s="80"/>
      <c r="J483" s="185"/>
      <c r="K483" s="91"/>
      <c r="L483" s="98"/>
      <c r="M483" s="177"/>
      <c r="N483" s="177"/>
      <c r="O483" s="177"/>
      <c r="P483" s="137" t="str">
        <f t="shared" si="34"/>
        <v>-</v>
      </c>
    </row>
    <row r="484" spans="2:16" x14ac:dyDescent="0.2">
      <c r="B484" s="45"/>
      <c r="C484" s="42"/>
      <c r="D484" s="260"/>
      <c r="E484" s="261"/>
      <c r="F484" s="186"/>
      <c r="G484" s="186"/>
      <c r="H484" s="80"/>
      <c r="I484" s="80"/>
      <c r="J484" s="185"/>
      <c r="K484" s="91"/>
      <c r="L484" s="98"/>
      <c r="M484" s="177"/>
      <c r="N484" s="177"/>
      <c r="O484" s="177"/>
      <c r="P484" s="137" t="str">
        <f t="shared" ref="P484:P504" si="35">IF(H483="","-",IF(K483="","",K483))</f>
        <v>-</v>
      </c>
    </row>
    <row r="485" spans="2:16" x14ac:dyDescent="0.2">
      <c r="B485" s="45"/>
      <c r="C485" s="43"/>
      <c r="D485" s="260"/>
      <c r="E485" s="261"/>
      <c r="F485" s="186"/>
      <c r="G485" s="186"/>
      <c r="H485" s="80"/>
      <c r="I485" s="80"/>
      <c r="J485" s="185"/>
      <c r="K485" s="91"/>
      <c r="L485" s="98"/>
      <c r="M485" s="177"/>
      <c r="N485" s="177"/>
      <c r="O485" s="177"/>
      <c r="P485" s="137" t="str">
        <f t="shared" si="35"/>
        <v>-</v>
      </c>
    </row>
    <row r="486" spans="2:16" x14ac:dyDescent="0.2">
      <c r="B486" s="45"/>
      <c r="C486" s="43"/>
      <c r="D486" s="260"/>
      <c r="E486" s="261"/>
      <c r="F486" s="186"/>
      <c r="G486" s="186"/>
      <c r="H486" s="80"/>
      <c r="I486" s="80"/>
      <c r="J486" s="185"/>
      <c r="K486" s="91"/>
      <c r="L486" s="98"/>
      <c r="M486" s="177"/>
      <c r="N486" s="177"/>
      <c r="O486" s="177"/>
      <c r="P486" s="137" t="str">
        <f t="shared" si="35"/>
        <v>-</v>
      </c>
    </row>
    <row r="487" spans="2:16" x14ac:dyDescent="0.2">
      <c r="B487" s="45"/>
      <c r="C487" s="42"/>
      <c r="D487" s="260"/>
      <c r="E487" s="261"/>
      <c r="F487" s="186"/>
      <c r="G487" s="186"/>
      <c r="H487" s="80"/>
      <c r="I487" s="80"/>
      <c r="J487" s="185"/>
      <c r="K487" s="91"/>
      <c r="L487" s="98"/>
      <c r="M487" s="177"/>
      <c r="N487" s="177"/>
      <c r="O487" s="177"/>
      <c r="P487" s="137" t="str">
        <f t="shared" si="35"/>
        <v>-</v>
      </c>
    </row>
    <row r="488" spans="2:16" x14ac:dyDescent="0.2">
      <c r="B488" s="45"/>
      <c r="C488" s="43"/>
      <c r="D488" s="260"/>
      <c r="E488" s="261"/>
      <c r="F488" s="186"/>
      <c r="G488" s="186"/>
      <c r="H488" s="80"/>
      <c r="I488" s="80"/>
      <c r="J488" s="185"/>
      <c r="K488" s="91"/>
      <c r="L488" s="98"/>
      <c r="M488" s="177"/>
      <c r="N488" s="177"/>
      <c r="O488" s="177"/>
      <c r="P488" s="137" t="str">
        <f t="shared" si="35"/>
        <v>-</v>
      </c>
    </row>
    <row r="489" spans="2:16" x14ac:dyDescent="0.2">
      <c r="B489" s="45"/>
      <c r="C489" s="43"/>
      <c r="D489" s="260"/>
      <c r="E489" s="261"/>
      <c r="F489" s="186"/>
      <c r="G489" s="186"/>
      <c r="H489" s="80"/>
      <c r="I489" s="80"/>
      <c r="J489" s="185"/>
      <c r="K489" s="91"/>
      <c r="L489" s="98"/>
      <c r="M489" s="177"/>
      <c r="N489" s="177"/>
      <c r="O489" s="177"/>
      <c r="P489" s="137" t="str">
        <f t="shared" si="35"/>
        <v>-</v>
      </c>
    </row>
    <row r="490" spans="2:16" x14ac:dyDescent="0.2">
      <c r="B490" s="45"/>
      <c r="C490" s="42"/>
      <c r="D490" s="260"/>
      <c r="E490" s="261"/>
      <c r="F490" s="186"/>
      <c r="G490" s="186"/>
      <c r="H490" s="80"/>
      <c r="I490" s="80"/>
      <c r="J490" s="185"/>
      <c r="K490" s="91"/>
      <c r="L490" s="98"/>
      <c r="M490" s="177"/>
      <c r="N490" s="177"/>
      <c r="O490" s="177"/>
      <c r="P490" s="137" t="str">
        <f t="shared" si="35"/>
        <v>-</v>
      </c>
    </row>
    <row r="491" spans="2:16" x14ac:dyDescent="0.2">
      <c r="B491" s="45"/>
      <c r="C491" s="43"/>
      <c r="D491" s="260"/>
      <c r="E491" s="261"/>
      <c r="F491" s="186"/>
      <c r="G491" s="186"/>
      <c r="H491" s="80"/>
      <c r="I491" s="80"/>
      <c r="J491" s="185"/>
      <c r="K491" s="91"/>
      <c r="L491" s="98"/>
      <c r="M491" s="177"/>
      <c r="N491" s="177"/>
      <c r="O491" s="177"/>
      <c r="P491" s="137" t="str">
        <f t="shared" si="35"/>
        <v>-</v>
      </c>
    </row>
    <row r="492" spans="2:16" x14ac:dyDescent="0.2">
      <c r="B492" s="45"/>
      <c r="C492" s="43"/>
      <c r="D492" s="260"/>
      <c r="E492" s="261"/>
      <c r="F492" s="186"/>
      <c r="G492" s="186"/>
      <c r="H492" s="80"/>
      <c r="I492" s="80"/>
      <c r="J492" s="185"/>
      <c r="K492" s="91"/>
      <c r="L492" s="98"/>
      <c r="M492" s="177"/>
      <c r="N492" s="177"/>
      <c r="O492" s="177"/>
      <c r="P492" s="137" t="str">
        <f t="shared" si="35"/>
        <v>-</v>
      </c>
    </row>
    <row r="493" spans="2:16" x14ac:dyDescent="0.2">
      <c r="B493" s="45"/>
      <c r="C493" s="42"/>
      <c r="D493" s="260"/>
      <c r="E493" s="261"/>
      <c r="F493" s="186"/>
      <c r="G493" s="186"/>
      <c r="H493" s="80"/>
      <c r="I493" s="80"/>
      <c r="J493" s="185"/>
      <c r="K493" s="91"/>
      <c r="L493" s="98"/>
      <c r="M493" s="177"/>
      <c r="N493" s="177"/>
      <c r="O493" s="177"/>
      <c r="P493" s="137" t="str">
        <f t="shared" si="35"/>
        <v>-</v>
      </c>
    </row>
    <row r="494" spans="2:16" x14ac:dyDescent="0.2">
      <c r="B494" s="45"/>
      <c r="C494" s="43"/>
      <c r="D494" s="260"/>
      <c r="E494" s="261"/>
      <c r="F494" s="186"/>
      <c r="G494" s="186"/>
      <c r="H494" s="80"/>
      <c r="I494" s="80"/>
      <c r="J494" s="185"/>
      <c r="K494" s="91"/>
      <c r="L494" s="98"/>
      <c r="M494" s="177"/>
      <c r="N494" s="177"/>
      <c r="O494" s="177"/>
      <c r="P494" s="137" t="str">
        <f t="shared" si="35"/>
        <v>-</v>
      </c>
    </row>
    <row r="495" spans="2:16" x14ac:dyDescent="0.2">
      <c r="B495" s="45"/>
      <c r="C495" s="43"/>
      <c r="D495" s="260"/>
      <c r="E495" s="261"/>
      <c r="F495" s="186"/>
      <c r="G495" s="186"/>
      <c r="H495" s="80"/>
      <c r="I495" s="80"/>
      <c r="J495" s="185"/>
      <c r="K495" s="91"/>
      <c r="L495" s="98"/>
      <c r="M495" s="177"/>
      <c r="N495" s="177"/>
      <c r="O495" s="177"/>
      <c r="P495" s="137" t="str">
        <f t="shared" si="35"/>
        <v>-</v>
      </c>
    </row>
    <row r="496" spans="2:16" x14ac:dyDescent="0.2">
      <c r="B496" s="45"/>
      <c r="C496" s="42"/>
      <c r="D496" s="260"/>
      <c r="E496" s="261"/>
      <c r="F496" s="186"/>
      <c r="G496" s="186"/>
      <c r="H496" s="80"/>
      <c r="I496" s="80"/>
      <c r="J496" s="185"/>
      <c r="K496" s="91"/>
      <c r="L496" s="98"/>
      <c r="M496" s="177"/>
      <c r="N496" s="177"/>
      <c r="O496" s="177"/>
      <c r="P496" s="137" t="str">
        <f t="shared" si="35"/>
        <v>-</v>
      </c>
    </row>
    <row r="497" spans="2:16" x14ac:dyDescent="0.2">
      <c r="B497" s="45"/>
      <c r="C497" s="43"/>
      <c r="D497" s="260"/>
      <c r="E497" s="261"/>
      <c r="F497" s="186"/>
      <c r="G497" s="186"/>
      <c r="H497" s="80"/>
      <c r="I497" s="80"/>
      <c r="J497" s="185"/>
      <c r="K497" s="91"/>
      <c r="L497" s="98"/>
      <c r="M497" s="177"/>
      <c r="N497" s="177"/>
      <c r="O497" s="177"/>
      <c r="P497" s="137" t="str">
        <f t="shared" si="35"/>
        <v>-</v>
      </c>
    </row>
    <row r="498" spans="2:16" x14ac:dyDescent="0.2">
      <c r="B498" s="45"/>
      <c r="C498" s="43"/>
      <c r="D498" s="260"/>
      <c r="E498" s="261"/>
      <c r="F498" s="186"/>
      <c r="G498" s="186"/>
      <c r="H498" s="80"/>
      <c r="I498" s="80"/>
      <c r="J498" s="185"/>
      <c r="K498" s="91"/>
      <c r="L498" s="98"/>
      <c r="M498" s="177"/>
      <c r="N498" s="177"/>
      <c r="O498" s="177"/>
      <c r="P498" s="137" t="str">
        <f t="shared" si="35"/>
        <v>-</v>
      </c>
    </row>
    <row r="499" spans="2:16" x14ac:dyDescent="0.2">
      <c r="B499" s="45"/>
      <c r="C499" s="42"/>
      <c r="D499" s="260"/>
      <c r="E499" s="261"/>
      <c r="F499" s="186"/>
      <c r="G499" s="186"/>
      <c r="H499" s="80"/>
      <c r="I499" s="80"/>
      <c r="J499" s="185"/>
      <c r="K499" s="91"/>
      <c r="L499" s="98"/>
      <c r="M499" s="177"/>
      <c r="N499" s="177"/>
      <c r="O499" s="177"/>
      <c r="P499" s="137" t="str">
        <f t="shared" si="35"/>
        <v>-</v>
      </c>
    </row>
    <row r="500" spans="2:16" x14ac:dyDescent="0.2">
      <c r="B500" s="45"/>
      <c r="C500" s="43"/>
      <c r="D500" s="260"/>
      <c r="E500" s="261"/>
      <c r="F500" s="186"/>
      <c r="G500" s="186"/>
      <c r="H500" s="80"/>
      <c r="I500" s="80"/>
      <c r="J500" s="185"/>
      <c r="K500" s="91"/>
      <c r="L500" s="98"/>
      <c r="M500" s="177"/>
      <c r="N500" s="177"/>
      <c r="O500" s="177"/>
      <c r="P500" s="137" t="str">
        <f t="shared" si="35"/>
        <v>-</v>
      </c>
    </row>
    <row r="501" spans="2:16" x14ac:dyDescent="0.2">
      <c r="B501" s="45"/>
      <c r="C501" s="43"/>
      <c r="D501" s="260"/>
      <c r="E501" s="261"/>
      <c r="F501" s="186"/>
      <c r="G501" s="186"/>
      <c r="H501" s="80"/>
      <c r="I501" s="80"/>
      <c r="J501" s="185"/>
      <c r="K501" s="91"/>
      <c r="L501" s="98"/>
      <c r="M501" s="177"/>
      <c r="N501" s="177"/>
      <c r="O501" s="177"/>
      <c r="P501" s="137" t="str">
        <f t="shared" si="35"/>
        <v>-</v>
      </c>
    </row>
    <row r="502" spans="2:16" x14ac:dyDescent="0.2">
      <c r="B502" s="45"/>
      <c r="C502" s="42"/>
      <c r="D502" s="260"/>
      <c r="E502" s="261"/>
      <c r="F502" s="186"/>
      <c r="G502" s="186"/>
      <c r="H502" s="80"/>
      <c r="I502" s="80"/>
      <c r="J502" s="185"/>
      <c r="K502" s="91"/>
      <c r="L502" s="98"/>
      <c r="M502" s="177"/>
      <c r="N502" s="177"/>
      <c r="O502" s="177"/>
      <c r="P502" s="137" t="str">
        <f t="shared" si="35"/>
        <v>-</v>
      </c>
    </row>
    <row r="503" spans="2:16" x14ac:dyDescent="0.2">
      <c r="B503" s="45"/>
      <c r="C503" s="43"/>
      <c r="D503" s="260"/>
      <c r="E503" s="261"/>
      <c r="F503" s="186"/>
      <c r="G503" s="186"/>
      <c r="H503" s="80"/>
      <c r="I503" s="80"/>
      <c r="J503" s="185"/>
      <c r="K503" s="91"/>
      <c r="L503" s="98"/>
      <c r="M503" s="177"/>
      <c r="N503" s="177"/>
      <c r="O503" s="177"/>
      <c r="P503" s="137" t="str">
        <f t="shared" si="35"/>
        <v>-</v>
      </c>
    </row>
    <row r="504" spans="2:16" x14ac:dyDescent="0.2">
      <c r="B504" s="45"/>
      <c r="C504" s="43"/>
      <c r="D504" s="260"/>
      <c r="E504" s="261"/>
      <c r="F504" s="186"/>
      <c r="G504" s="186"/>
      <c r="H504" s="80"/>
      <c r="I504" s="80"/>
      <c r="J504" s="185"/>
      <c r="K504" s="91"/>
      <c r="L504" s="98"/>
      <c r="M504" s="177"/>
      <c r="N504" s="177"/>
      <c r="O504" s="177"/>
      <c r="P504" s="137" t="str">
        <f t="shared" si="35"/>
        <v>-</v>
      </c>
    </row>
    <row r="505" spans="2:16" x14ac:dyDescent="0.2">
      <c r="B505" s="45"/>
      <c r="C505" s="42"/>
      <c r="D505" s="260"/>
      <c r="E505" s="261"/>
      <c r="F505" s="186"/>
      <c r="G505" s="186"/>
      <c r="H505" s="80"/>
      <c r="I505" s="80"/>
      <c r="J505" s="185"/>
      <c r="K505" s="91"/>
      <c r="L505" s="98"/>
      <c r="M505" s="177"/>
      <c r="N505" s="177"/>
      <c r="O505" s="177"/>
      <c r="P505" s="137" t="str">
        <f t="shared" ref="P505:P511" si="36">IF(H504="","-",IF(K504="","",K504))</f>
        <v>-</v>
      </c>
    </row>
    <row r="506" spans="2:16" x14ac:dyDescent="0.2">
      <c r="B506" s="45"/>
      <c r="C506" s="43"/>
      <c r="D506" s="260"/>
      <c r="E506" s="261"/>
      <c r="F506" s="186"/>
      <c r="G506" s="186"/>
      <c r="H506" s="80"/>
      <c r="I506" s="80"/>
      <c r="J506" s="185"/>
      <c r="K506" s="91"/>
      <c r="L506" s="98"/>
      <c r="M506" s="177"/>
      <c r="N506" s="177"/>
      <c r="O506" s="177"/>
      <c r="P506" s="137" t="str">
        <f t="shared" si="36"/>
        <v>-</v>
      </c>
    </row>
    <row r="507" spans="2:16" x14ac:dyDescent="0.2">
      <c r="B507" s="45"/>
      <c r="C507" s="43"/>
      <c r="D507" s="260"/>
      <c r="E507" s="261"/>
      <c r="F507" s="186"/>
      <c r="G507" s="186"/>
      <c r="H507" s="80"/>
      <c r="I507" s="80"/>
      <c r="J507" s="185"/>
      <c r="K507" s="91"/>
      <c r="L507" s="98"/>
      <c r="M507" s="177"/>
      <c r="N507" s="177"/>
      <c r="O507" s="177"/>
      <c r="P507" s="137" t="str">
        <f t="shared" si="36"/>
        <v>-</v>
      </c>
    </row>
    <row r="508" spans="2:16" x14ac:dyDescent="0.2">
      <c r="B508" s="45"/>
      <c r="C508" s="42"/>
      <c r="D508" s="260"/>
      <c r="E508" s="261"/>
      <c r="F508" s="186"/>
      <c r="G508" s="186"/>
      <c r="H508" s="80"/>
      <c r="I508" s="80"/>
      <c r="J508" s="185"/>
      <c r="K508" s="91"/>
      <c r="L508" s="98"/>
      <c r="M508" s="177"/>
      <c r="N508" s="177"/>
      <c r="O508" s="177"/>
      <c r="P508" s="137" t="str">
        <f t="shared" si="36"/>
        <v>-</v>
      </c>
    </row>
    <row r="509" spans="2:16" x14ac:dyDescent="0.2">
      <c r="B509" s="45"/>
      <c r="C509" s="43"/>
      <c r="D509" s="260"/>
      <c r="E509" s="261"/>
      <c r="F509" s="186"/>
      <c r="G509" s="186"/>
      <c r="H509" s="80"/>
      <c r="I509" s="80"/>
      <c r="J509" s="185"/>
      <c r="K509" s="91"/>
      <c r="L509" s="98"/>
      <c r="M509" s="177"/>
      <c r="N509" s="177"/>
      <c r="O509" s="177"/>
      <c r="P509" s="137" t="str">
        <f t="shared" si="36"/>
        <v>-</v>
      </c>
    </row>
    <row r="510" spans="2:16" x14ac:dyDescent="0.2">
      <c r="B510" s="45"/>
      <c r="C510" s="43"/>
      <c r="D510" s="260"/>
      <c r="E510" s="261"/>
      <c r="F510" s="186"/>
      <c r="G510" s="186"/>
      <c r="H510" s="80"/>
      <c r="I510" s="80"/>
      <c r="J510" s="185"/>
      <c r="K510" s="91"/>
      <c r="L510" s="98"/>
      <c r="M510" s="177"/>
      <c r="N510" s="177"/>
      <c r="O510" s="177"/>
      <c r="P510" s="137" t="str">
        <f t="shared" si="36"/>
        <v>-</v>
      </c>
    </row>
    <row r="511" spans="2:16" x14ac:dyDescent="0.2">
      <c r="B511" s="45"/>
      <c r="C511" s="42"/>
      <c r="D511" s="260"/>
      <c r="E511" s="261"/>
      <c r="F511" s="186"/>
      <c r="G511" s="186"/>
      <c r="H511" s="80"/>
      <c r="I511" s="80"/>
      <c r="J511" s="185"/>
      <c r="K511" s="91"/>
      <c r="L511" s="98"/>
      <c r="M511" s="177"/>
      <c r="N511" s="177"/>
      <c r="O511" s="177"/>
      <c r="P511" s="137" t="str">
        <f t="shared" si="36"/>
        <v>-</v>
      </c>
    </row>
    <row r="512" spans="2:16" x14ac:dyDescent="0.2">
      <c r="B512" s="45"/>
      <c r="C512" s="43"/>
      <c r="D512" s="260"/>
      <c r="E512" s="261"/>
      <c r="F512" s="186"/>
      <c r="G512" s="186"/>
      <c r="H512" s="80"/>
      <c r="I512" s="80"/>
      <c r="J512" s="185"/>
      <c r="K512" s="91"/>
      <c r="L512" s="98"/>
      <c r="M512" s="177"/>
      <c r="N512" s="177"/>
      <c r="O512" s="177"/>
      <c r="P512" s="137" t="str">
        <f t="shared" ref="P512:P575" si="37">IF(H511="","-",IF(K511="","",K511))</f>
        <v>-</v>
      </c>
    </row>
    <row r="513" spans="2:16" x14ac:dyDescent="0.2">
      <c r="B513" s="45"/>
      <c r="C513" s="43"/>
      <c r="D513" s="260"/>
      <c r="E513" s="261"/>
      <c r="F513" s="186"/>
      <c r="G513" s="186"/>
      <c r="H513" s="80"/>
      <c r="I513" s="80"/>
      <c r="J513" s="185"/>
      <c r="K513" s="91"/>
      <c r="L513" s="98"/>
      <c r="M513" s="177"/>
      <c r="N513" s="177"/>
      <c r="O513" s="177"/>
      <c r="P513" s="137" t="str">
        <f t="shared" si="37"/>
        <v>-</v>
      </c>
    </row>
    <row r="514" spans="2:16" x14ac:dyDescent="0.2">
      <c r="B514" s="45"/>
      <c r="C514" s="42"/>
      <c r="D514" s="260"/>
      <c r="E514" s="261"/>
      <c r="F514" s="186"/>
      <c r="G514" s="186"/>
      <c r="H514" s="80"/>
      <c r="I514" s="80"/>
      <c r="J514" s="185"/>
      <c r="K514" s="91"/>
      <c r="L514" s="98"/>
      <c r="M514" s="177"/>
      <c r="N514" s="177"/>
      <c r="O514" s="177"/>
      <c r="P514" s="137" t="str">
        <f t="shared" si="37"/>
        <v>-</v>
      </c>
    </row>
    <row r="515" spans="2:16" x14ac:dyDescent="0.2">
      <c r="B515" s="45"/>
      <c r="C515" s="43"/>
      <c r="D515" s="260"/>
      <c r="E515" s="261"/>
      <c r="F515" s="186"/>
      <c r="G515" s="186"/>
      <c r="H515" s="80"/>
      <c r="I515" s="80"/>
      <c r="J515" s="185"/>
      <c r="K515" s="91"/>
      <c r="L515" s="98"/>
      <c r="M515" s="177"/>
      <c r="N515" s="177"/>
      <c r="O515" s="177"/>
      <c r="P515" s="137" t="str">
        <f t="shared" si="37"/>
        <v>-</v>
      </c>
    </row>
    <row r="516" spans="2:16" x14ac:dyDescent="0.2">
      <c r="B516" s="45"/>
      <c r="C516" s="43"/>
      <c r="D516" s="260"/>
      <c r="E516" s="261"/>
      <c r="F516" s="186"/>
      <c r="G516" s="186"/>
      <c r="H516" s="80"/>
      <c r="I516" s="80"/>
      <c r="J516" s="185"/>
      <c r="K516" s="91"/>
      <c r="L516" s="98"/>
      <c r="M516" s="177"/>
      <c r="N516" s="177"/>
      <c r="O516" s="177"/>
      <c r="P516" s="137" t="str">
        <f t="shared" si="37"/>
        <v>-</v>
      </c>
    </row>
    <row r="517" spans="2:16" x14ac:dyDescent="0.2">
      <c r="B517" s="45"/>
      <c r="C517" s="42"/>
      <c r="D517" s="260"/>
      <c r="E517" s="261"/>
      <c r="F517" s="186"/>
      <c r="G517" s="186"/>
      <c r="H517" s="80"/>
      <c r="I517" s="80"/>
      <c r="J517" s="185"/>
      <c r="K517" s="91"/>
      <c r="L517" s="98"/>
      <c r="M517" s="177"/>
      <c r="N517" s="177"/>
      <c r="O517" s="177"/>
      <c r="P517" s="137" t="str">
        <f t="shared" si="37"/>
        <v>-</v>
      </c>
    </row>
    <row r="518" spans="2:16" x14ac:dyDescent="0.2">
      <c r="B518" s="45"/>
      <c r="C518" s="43"/>
      <c r="D518" s="260"/>
      <c r="E518" s="261"/>
      <c r="F518" s="186"/>
      <c r="G518" s="186"/>
      <c r="H518" s="80"/>
      <c r="I518" s="80"/>
      <c r="J518" s="185"/>
      <c r="K518" s="91"/>
      <c r="L518" s="98"/>
      <c r="M518" s="177"/>
      <c r="N518" s="177"/>
      <c r="O518" s="177"/>
      <c r="P518" s="137" t="str">
        <f t="shared" si="37"/>
        <v>-</v>
      </c>
    </row>
    <row r="519" spans="2:16" x14ac:dyDescent="0.2">
      <c r="B519" s="45"/>
      <c r="C519" s="43"/>
      <c r="D519" s="260"/>
      <c r="E519" s="261"/>
      <c r="F519" s="186"/>
      <c r="G519" s="186"/>
      <c r="H519" s="80"/>
      <c r="I519" s="80"/>
      <c r="J519" s="185"/>
      <c r="K519" s="91"/>
      <c r="L519" s="98"/>
      <c r="M519" s="177"/>
      <c r="N519" s="177"/>
      <c r="O519" s="177"/>
      <c r="P519" s="137" t="str">
        <f t="shared" si="37"/>
        <v>-</v>
      </c>
    </row>
    <row r="520" spans="2:16" x14ac:dyDescent="0.2">
      <c r="B520" s="45"/>
      <c r="C520" s="42"/>
      <c r="D520" s="260"/>
      <c r="E520" s="261"/>
      <c r="F520" s="186"/>
      <c r="G520" s="186"/>
      <c r="H520" s="80"/>
      <c r="I520" s="80"/>
      <c r="J520" s="185"/>
      <c r="K520" s="91"/>
      <c r="L520" s="98"/>
      <c r="M520" s="177"/>
      <c r="N520" s="177"/>
      <c r="O520" s="177"/>
      <c r="P520" s="137" t="str">
        <f t="shared" si="37"/>
        <v>-</v>
      </c>
    </row>
    <row r="521" spans="2:16" x14ac:dyDescent="0.2">
      <c r="B521" s="45"/>
      <c r="C521" s="43"/>
      <c r="D521" s="260"/>
      <c r="E521" s="261"/>
      <c r="F521" s="186"/>
      <c r="G521" s="186"/>
      <c r="H521" s="80"/>
      <c r="I521" s="80"/>
      <c r="J521" s="185"/>
      <c r="K521" s="91"/>
      <c r="L521" s="98"/>
      <c r="M521" s="177"/>
      <c r="N521" s="177"/>
      <c r="O521" s="177"/>
      <c r="P521" s="137" t="str">
        <f t="shared" si="37"/>
        <v>-</v>
      </c>
    </row>
    <row r="522" spans="2:16" x14ac:dyDescent="0.2">
      <c r="B522" s="45"/>
      <c r="C522" s="43"/>
      <c r="D522" s="260"/>
      <c r="E522" s="261"/>
      <c r="F522" s="186"/>
      <c r="G522" s="186"/>
      <c r="H522" s="80"/>
      <c r="I522" s="80"/>
      <c r="J522" s="185"/>
      <c r="K522" s="91"/>
      <c r="L522" s="98"/>
      <c r="M522" s="177"/>
      <c r="N522" s="177"/>
      <c r="O522" s="177"/>
      <c r="P522" s="137" t="str">
        <f t="shared" si="37"/>
        <v>-</v>
      </c>
    </row>
    <row r="523" spans="2:16" x14ac:dyDescent="0.2">
      <c r="B523" s="45"/>
      <c r="C523" s="42"/>
      <c r="D523" s="260"/>
      <c r="E523" s="261"/>
      <c r="F523" s="186"/>
      <c r="G523" s="186"/>
      <c r="H523" s="80"/>
      <c r="I523" s="80"/>
      <c r="J523" s="185"/>
      <c r="K523" s="91"/>
      <c r="L523" s="98"/>
      <c r="M523" s="177"/>
      <c r="N523" s="177"/>
      <c r="O523" s="177"/>
      <c r="P523" s="137" t="str">
        <f t="shared" si="37"/>
        <v>-</v>
      </c>
    </row>
    <row r="524" spans="2:16" x14ac:dyDescent="0.2">
      <c r="B524" s="45"/>
      <c r="C524" s="43"/>
      <c r="D524" s="260"/>
      <c r="E524" s="261"/>
      <c r="F524" s="186"/>
      <c r="G524" s="186"/>
      <c r="H524" s="80"/>
      <c r="I524" s="80"/>
      <c r="J524" s="185"/>
      <c r="K524" s="91"/>
      <c r="L524" s="98"/>
      <c r="M524" s="177"/>
      <c r="N524" s="177"/>
      <c r="O524" s="177"/>
      <c r="P524" s="137" t="str">
        <f t="shared" si="37"/>
        <v>-</v>
      </c>
    </row>
    <row r="525" spans="2:16" x14ac:dyDescent="0.2">
      <c r="B525" s="45"/>
      <c r="C525" s="43"/>
      <c r="D525" s="260"/>
      <c r="E525" s="261"/>
      <c r="F525" s="186"/>
      <c r="G525" s="186"/>
      <c r="H525" s="80"/>
      <c r="I525" s="80"/>
      <c r="J525" s="185"/>
      <c r="K525" s="91"/>
      <c r="L525" s="98"/>
      <c r="M525" s="177"/>
      <c r="N525" s="177"/>
      <c r="O525" s="177"/>
      <c r="P525" s="137" t="str">
        <f t="shared" si="37"/>
        <v>-</v>
      </c>
    </row>
    <row r="526" spans="2:16" x14ac:dyDescent="0.2">
      <c r="B526" s="45"/>
      <c r="C526" s="42"/>
      <c r="D526" s="260"/>
      <c r="E526" s="261"/>
      <c r="F526" s="186"/>
      <c r="G526" s="186"/>
      <c r="H526" s="80"/>
      <c r="I526" s="80"/>
      <c r="J526" s="185"/>
      <c r="K526" s="91"/>
      <c r="L526" s="98"/>
      <c r="M526" s="177"/>
      <c r="N526" s="177"/>
      <c r="O526" s="177"/>
      <c r="P526" s="137" t="str">
        <f t="shared" si="37"/>
        <v>-</v>
      </c>
    </row>
    <row r="527" spans="2:16" x14ac:dyDescent="0.2">
      <c r="B527" s="45"/>
      <c r="C527" s="43"/>
      <c r="D527" s="260"/>
      <c r="E527" s="261"/>
      <c r="F527" s="186"/>
      <c r="G527" s="186"/>
      <c r="H527" s="80"/>
      <c r="I527" s="80"/>
      <c r="J527" s="185"/>
      <c r="K527" s="91"/>
      <c r="L527" s="98"/>
      <c r="M527" s="177"/>
      <c r="N527" s="177"/>
      <c r="O527" s="177"/>
      <c r="P527" s="137" t="str">
        <f t="shared" si="37"/>
        <v>-</v>
      </c>
    </row>
    <row r="528" spans="2:16" x14ac:dyDescent="0.2">
      <c r="B528" s="45"/>
      <c r="C528" s="43"/>
      <c r="D528" s="260"/>
      <c r="E528" s="261"/>
      <c r="F528" s="186"/>
      <c r="G528" s="186"/>
      <c r="H528" s="80"/>
      <c r="I528" s="80"/>
      <c r="J528" s="185"/>
      <c r="K528" s="91"/>
      <c r="L528" s="98"/>
      <c r="M528" s="177"/>
      <c r="N528" s="177"/>
      <c r="O528" s="177"/>
      <c r="P528" s="137" t="str">
        <f t="shared" si="37"/>
        <v>-</v>
      </c>
    </row>
    <row r="529" spans="2:16" x14ac:dyDescent="0.2">
      <c r="B529" s="45"/>
      <c r="C529" s="42"/>
      <c r="D529" s="260"/>
      <c r="E529" s="261"/>
      <c r="F529" s="186"/>
      <c r="G529" s="186"/>
      <c r="H529" s="80"/>
      <c r="I529" s="80"/>
      <c r="J529" s="185"/>
      <c r="K529" s="91"/>
      <c r="L529" s="98"/>
      <c r="M529" s="177"/>
      <c r="N529" s="177"/>
      <c r="O529" s="177"/>
      <c r="P529" s="137" t="str">
        <f t="shared" si="37"/>
        <v>-</v>
      </c>
    </row>
    <row r="530" spans="2:16" x14ac:dyDescent="0.2">
      <c r="B530" s="45"/>
      <c r="C530" s="43"/>
      <c r="D530" s="260"/>
      <c r="E530" s="261"/>
      <c r="F530" s="186"/>
      <c r="G530" s="186"/>
      <c r="H530" s="80"/>
      <c r="I530" s="80"/>
      <c r="J530" s="185"/>
      <c r="K530" s="91"/>
      <c r="L530" s="98"/>
      <c r="M530" s="177"/>
      <c r="N530" s="177"/>
      <c r="O530" s="177"/>
      <c r="P530" s="137" t="str">
        <f t="shared" si="37"/>
        <v>-</v>
      </c>
    </row>
    <row r="531" spans="2:16" x14ac:dyDescent="0.2">
      <c r="B531" s="45"/>
      <c r="C531" s="43"/>
      <c r="D531" s="260"/>
      <c r="E531" s="261"/>
      <c r="F531" s="186"/>
      <c r="G531" s="186"/>
      <c r="H531" s="80"/>
      <c r="I531" s="80"/>
      <c r="J531" s="185"/>
      <c r="K531" s="91"/>
      <c r="L531" s="98"/>
      <c r="M531" s="177"/>
      <c r="N531" s="177"/>
      <c r="O531" s="177"/>
      <c r="P531" s="137" t="str">
        <f t="shared" si="37"/>
        <v>-</v>
      </c>
    </row>
    <row r="532" spans="2:16" x14ac:dyDescent="0.2">
      <c r="B532" s="45"/>
      <c r="C532" s="42"/>
      <c r="D532" s="260"/>
      <c r="E532" s="261"/>
      <c r="F532" s="186"/>
      <c r="G532" s="186"/>
      <c r="H532" s="80"/>
      <c r="I532" s="80"/>
      <c r="J532" s="185"/>
      <c r="K532" s="91"/>
      <c r="L532" s="98"/>
      <c r="M532" s="177"/>
      <c r="N532" s="177"/>
      <c r="O532" s="177"/>
      <c r="P532" s="137" t="str">
        <f t="shared" si="37"/>
        <v>-</v>
      </c>
    </row>
    <row r="533" spans="2:16" x14ac:dyDescent="0.2">
      <c r="B533" s="45"/>
      <c r="C533" s="43"/>
      <c r="D533" s="260"/>
      <c r="E533" s="261"/>
      <c r="F533" s="186"/>
      <c r="G533" s="186"/>
      <c r="H533" s="80"/>
      <c r="I533" s="80"/>
      <c r="J533" s="185"/>
      <c r="K533" s="91"/>
      <c r="L533" s="98"/>
      <c r="M533" s="177"/>
      <c r="N533" s="177"/>
      <c r="O533" s="177"/>
      <c r="P533" s="137" t="str">
        <f t="shared" si="37"/>
        <v>-</v>
      </c>
    </row>
    <row r="534" spans="2:16" x14ac:dyDescent="0.2">
      <c r="B534" s="45"/>
      <c r="C534" s="43"/>
      <c r="D534" s="260"/>
      <c r="E534" s="261"/>
      <c r="F534" s="186"/>
      <c r="G534" s="186"/>
      <c r="H534" s="80"/>
      <c r="I534" s="80"/>
      <c r="J534" s="185"/>
      <c r="K534" s="91"/>
      <c r="L534" s="98"/>
      <c r="M534" s="177"/>
      <c r="N534" s="177"/>
      <c r="O534" s="177"/>
      <c r="P534" s="137" t="str">
        <f t="shared" si="37"/>
        <v>-</v>
      </c>
    </row>
    <row r="535" spans="2:16" x14ac:dyDescent="0.2">
      <c r="B535" s="45"/>
      <c r="C535" s="42"/>
      <c r="D535" s="260"/>
      <c r="E535" s="261"/>
      <c r="F535" s="186"/>
      <c r="G535" s="186"/>
      <c r="H535" s="80"/>
      <c r="I535" s="80"/>
      <c r="J535" s="185"/>
      <c r="K535" s="91"/>
      <c r="L535" s="98"/>
      <c r="M535" s="177"/>
      <c r="N535" s="177"/>
      <c r="O535" s="177"/>
      <c r="P535" s="137" t="str">
        <f t="shared" si="37"/>
        <v>-</v>
      </c>
    </row>
    <row r="536" spans="2:16" x14ac:dyDescent="0.2">
      <c r="B536" s="45"/>
      <c r="C536" s="43"/>
      <c r="D536" s="260"/>
      <c r="E536" s="261"/>
      <c r="F536" s="186"/>
      <c r="G536" s="186"/>
      <c r="H536" s="80"/>
      <c r="I536" s="80"/>
      <c r="J536" s="185"/>
      <c r="K536" s="91"/>
      <c r="L536" s="98"/>
      <c r="M536" s="177"/>
      <c r="N536" s="177"/>
      <c r="O536" s="177"/>
      <c r="P536" s="137" t="str">
        <f t="shared" si="37"/>
        <v>-</v>
      </c>
    </row>
    <row r="537" spans="2:16" x14ac:dyDescent="0.2">
      <c r="B537" s="45"/>
      <c r="C537" s="43"/>
      <c r="D537" s="260"/>
      <c r="E537" s="261"/>
      <c r="F537" s="186"/>
      <c r="G537" s="186"/>
      <c r="H537" s="80"/>
      <c r="I537" s="80"/>
      <c r="J537" s="185"/>
      <c r="K537" s="91"/>
      <c r="L537" s="98"/>
      <c r="M537" s="177"/>
      <c r="N537" s="177"/>
      <c r="O537" s="177"/>
      <c r="P537" s="137" t="str">
        <f t="shared" si="37"/>
        <v>-</v>
      </c>
    </row>
    <row r="538" spans="2:16" x14ac:dyDescent="0.2">
      <c r="B538" s="45"/>
      <c r="C538" s="42"/>
      <c r="D538" s="260"/>
      <c r="E538" s="261"/>
      <c r="F538" s="186"/>
      <c r="G538" s="186"/>
      <c r="H538" s="80"/>
      <c r="I538" s="80"/>
      <c r="J538" s="185"/>
      <c r="K538" s="91"/>
      <c r="L538" s="98"/>
      <c r="M538" s="177"/>
      <c r="N538" s="177"/>
      <c r="O538" s="177"/>
      <c r="P538" s="137" t="str">
        <f t="shared" si="37"/>
        <v>-</v>
      </c>
    </row>
    <row r="539" spans="2:16" x14ac:dyDescent="0.2">
      <c r="B539" s="45"/>
      <c r="C539" s="43"/>
      <c r="D539" s="260"/>
      <c r="E539" s="261"/>
      <c r="F539" s="186"/>
      <c r="G539" s="186"/>
      <c r="H539" s="80"/>
      <c r="I539" s="80"/>
      <c r="J539" s="185"/>
      <c r="K539" s="91"/>
      <c r="L539" s="98"/>
      <c r="M539" s="177"/>
      <c r="N539" s="177"/>
      <c r="O539" s="177"/>
      <c r="P539" s="137" t="str">
        <f t="shared" si="37"/>
        <v>-</v>
      </c>
    </row>
    <row r="540" spans="2:16" x14ac:dyDescent="0.2">
      <c r="B540" s="45"/>
      <c r="C540" s="43"/>
      <c r="D540" s="260"/>
      <c r="E540" s="261"/>
      <c r="F540" s="186"/>
      <c r="G540" s="186"/>
      <c r="H540" s="80"/>
      <c r="I540" s="80"/>
      <c r="J540" s="185"/>
      <c r="K540" s="91"/>
      <c r="L540" s="98"/>
      <c r="M540" s="177"/>
      <c r="N540" s="177"/>
      <c r="O540" s="177"/>
      <c r="P540" s="137" t="str">
        <f t="shared" si="37"/>
        <v>-</v>
      </c>
    </row>
    <row r="541" spans="2:16" x14ac:dyDescent="0.2">
      <c r="B541" s="45"/>
      <c r="C541" s="42"/>
      <c r="D541" s="260"/>
      <c r="E541" s="261"/>
      <c r="F541" s="186"/>
      <c r="G541" s="186"/>
      <c r="H541" s="80"/>
      <c r="I541" s="80"/>
      <c r="J541" s="185"/>
      <c r="K541" s="91"/>
      <c r="L541" s="98"/>
      <c r="M541" s="177"/>
      <c r="N541" s="177"/>
      <c r="O541" s="177"/>
      <c r="P541" s="137" t="str">
        <f t="shared" si="37"/>
        <v>-</v>
      </c>
    </row>
    <row r="542" spans="2:16" x14ac:dyDescent="0.2">
      <c r="B542" s="45"/>
      <c r="C542" s="43"/>
      <c r="D542" s="260"/>
      <c r="E542" s="261"/>
      <c r="F542" s="186"/>
      <c r="G542" s="186"/>
      <c r="H542" s="80"/>
      <c r="I542" s="80"/>
      <c r="J542" s="185"/>
      <c r="K542" s="91"/>
      <c r="L542" s="98"/>
      <c r="M542" s="177"/>
      <c r="N542" s="177"/>
      <c r="O542" s="177"/>
      <c r="P542" s="137" t="str">
        <f t="shared" si="37"/>
        <v>-</v>
      </c>
    </row>
    <row r="543" spans="2:16" x14ac:dyDescent="0.2">
      <c r="B543" s="45"/>
      <c r="C543" s="43"/>
      <c r="D543" s="260"/>
      <c r="E543" s="261"/>
      <c r="F543" s="186"/>
      <c r="G543" s="186"/>
      <c r="H543" s="80"/>
      <c r="I543" s="80"/>
      <c r="J543" s="185"/>
      <c r="K543" s="91"/>
      <c r="L543" s="98"/>
      <c r="M543" s="177"/>
      <c r="N543" s="177"/>
      <c r="O543" s="177"/>
      <c r="P543" s="137" t="str">
        <f t="shared" si="37"/>
        <v>-</v>
      </c>
    </row>
    <row r="544" spans="2:16" x14ac:dyDescent="0.2">
      <c r="B544" s="45"/>
      <c r="C544" s="42"/>
      <c r="D544" s="260"/>
      <c r="E544" s="261"/>
      <c r="F544" s="186"/>
      <c r="G544" s="186"/>
      <c r="H544" s="80"/>
      <c r="I544" s="80"/>
      <c r="J544" s="185"/>
      <c r="K544" s="91"/>
      <c r="L544" s="98"/>
      <c r="M544" s="177"/>
      <c r="N544" s="177"/>
      <c r="O544" s="177"/>
      <c r="P544" s="137" t="str">
        <f t="shared" si="37"/>
        <v>-</v>
      </c>
    </row>
    <row r="545" spans="2:16" x14ac:dyDescent="0.2">
      <c r="B545" s="45"/>
      <c r="C545" s="43"/>
      <c r="D545" s="260"/>
      <c r="E545" s="261"/>
      <c r="F545" s="186"/>
      <c r="G545" s="186"/>
      <c r="H545" s="80"/>
      <c r="I545" s="80"/>
      <c r="J545" s="185"/>
      <c r="K545" s="91"/>
      <c r="L545" s="98"/>
      <c r="M545" s="177"/>
      <c r="N545" s="177"/>
      <c r="O545" s="177"/>
      <c r="P545" s="137" t="str">
        <f t="shared" si="37"/>
        <v>-</v>
      </c>
    </row>
    <row r="546" spans="2:16" x14ac:dyDescent="0.2">
      <c r="B546" s="45"/>
      <c r="C546" s="43"/>
      <c r="D546" s="260"/>
      <c r="E546" s="261"/>
      <c r="F546" s="186"/>
      <c r="G546" s="186"/>
      <c r="H546" s="80"/>
      <c r="I546" s="80"/>
      <c r="J546" s="185"/>
      <c r="K546" s="91"/>
      <c r="L546" s="98"/>
      <c r="M546" s="177"/>
      <c r="N546" s="177"/>
      <c r="O546" s="177"/>
      <c r="P546" s="137" t="str">
        <f t="shared" si="37"/>
        <v>-</v>
      </c>
    </row>
    <row r="547" spans="2:16" x14ac:dyDescent="0.2">
      <c r="B547" s="45"/>
      <c r="C547" s="42"/>
      <c r="D547" s="260"/>
      <c r="E547" s="261"/>
      <c r="F547" s="186"/>
      <c r="G547" s="186"/>
      <c r="H547" s="80"/>
      <c r="I547" s="80"/>
      <c r="J547" s="185"/>
      <c r="K547" s="91"/>
      <c r="L547" s="98"/>
      <c r="M547" s="177"/>
      <c r="N547" s="177"/>
      <c r="O547" s="177"/>
      <c r="P547" s="137" t="str">
        <f t="shared" si="37"/>
        <v>-</v>
      </c>
    </row>
    <row r="548" spans="2:16" x14ac:dyDescent="0.2">
      <c r="B548" s="45"/>
      <c r="C548" s="43"/>
      <c r="D548" s="260"/>
      <c r="E548" s="261"/>
      <c r="F548" s="186"/>
      <c r="G548" s="186"/>
      <c r="H548" s="80"/>
      <c r="I548" s="80"/>
      <c r="J548" s="185"/>
      <c r="K548" s="91"/>
      <c r="L548" s="98"/>
      <c r="M548" s="177"/>
      <c r="N548" s="177"/>
      <c r="O548" s="177"/>
      <c r="P548" s="137" t="str">
        <f t="shared" si="37"/>
        <v>-</v>
      </c>
    </row>
    <row r="549" spans="2:16" x14ac:dyDescent="0.2">
      <c r="B549" s="45"/>
      <c r="C549" s="43"/>
      <c r="D549" s="260"/>
      <c r="E549" s="261"/>
      <c r="F549" s="186"/>
      <c r="G549" s="186"/>
      <c r="H549" s="80"/>
      <c r="I549" s="80"/>
      <c r="J549" s="185"/>
      <c r="K549" s="91"/>
      <c r="L549" s="98"/>
      <c r="M549" s="177"/>
      <c r="N549" s="177"/>
      <c r="O549" s="177"/>
      <c r="P549" s="137" t="str">
        <f t="shared" si="37"/>
        <v>-</v>
      </c>
    </row>
    <row r="550" spans="2:16" x14ac:dyDescent="0.2">
      <c r="B550" s="45"/>
      <c r="C550" s="42"/>
      <c r="D550" s="260"/>
      <c r="E550" s="261"/>
      <c r="F550" s="186"/>
      <c r="G550" s="186"/>
      <c r="H550" s="80"/>
      <c r="I550" s="80"/>
      <c r="J550" s="185"/>
      <c r="K550" s="91"/>
      <c r="L550" s="98"/>
      <c r="M550" s="177"/>
      <c r="N550" s="177"/>
      <c r="O550" s="177"/>
      <c r="P550" s="137" t="str">
        <f t="shared" si="37"/>
        <v>-</v>
      </c>
    </row>
    <row r="551" spans="2:16" x14ac:dyDescent="0.2">
      <c r="B551" s="45"/>
      <c r="C551" s="43"/>
      <c r="D551" s="260"/>
      <c r="E551" s="261"/>
      <c r="F551" s="186"/>
      <c r="G551" s="186"/>
      <c r="H551" s="80"/>
      <c r="I551" s="80"/>
      <c r="J551" s="185"/>
      <c r="K551" s="91"/>
      <c r="L551" s="98"/>
      <c r="M551" s="177"/>
      <c r="N551" s="177"/>
      <c r="O551" s="177"/>
      <c r="P551" s="137" t="str">
        <f t="shared" si="37"/>
        <v>-</v>
      </c>
    </row>
    <row r="552" spans="2:16" x14ac:dyDescent="0.2">
      <c r="B552" s="45"/>
      <c r="C552" s="43"/>
      <c r="D552" s="260"/>
      <c r="E552" s="261"/>
      <c r="F552" s="186"/>
      <c r="G552" s="186"/>
      <c r="H552" s="80"/>
      <c r="I552" s="80"/>
      <c r="J552" s="185"/>
      <c r="K552" s="91"/>
      <c r="L552" s="98"/>
      <c r="M552" s="177"/>
      <c r="N552" s="177"/>
      <c r="O552" s="177"/>
      <c r="P552" s="137" t="str">
        <f t="shared" si="37"/>
        <v>-</v>
      </c>
    </row>
    <row r="553" spans="2:16" x14ac:dyDescent="0.2">
      <c r="B553" s="45"/>
      <c r="C553" s="42"/>
      <c r="D553" s="260"/>
      <c r="E553" s="261"/>
      <c r="F553" s="186"/>
      <c r="G553" s="186"/>
      <c r="H553" s="80"/>
      <c r="I553" s="80"/>
      <c r="J553" s="185"/>
      <c r="K553" s="91"/>
      <c r="L553" s="98"/>
      <c r="M553" s="177"/>
      <c r="N553" s="177"/>
      <c r="O553" s="177"/>
      <c r="P553" s="137" t="str">
        <f t="shared" si="37"/>
        <v>-</v>
      </c>
    </row>
    <row r="554" spans="2:16" x14ac:dyDescent="0.2">
      <c r="B554" s="45"/>
      <c r="C554" s="43"/>
      <c r="D554" s="260"/>
      <c r="E554" s="261"/>
      <c r="F554" s="186"/>
      <c r="G554" s="186"/>
      <c r="H554" s="80"/>
      <c r="I554" s="80"/>
      <c r="J554" s="185"/>
      <c r="K554" s="91"/>
      <c r="L554" s="98"/>
      <c r="M554" s="177"/>
      <c r="N554" s="177"/>
      <c r="O554" s="177"/>
      <c r="P554" s="137" t="str">
        <f t="shared" si="37"/>
        <v>-</v>
      </c>
    </row>
    <row r="555" spans="2:16" x14ac:dyDescent="0.2">
      <c r="B555" s="45"/>
      <c r="C555" s="43"/>
      <c r="D555" s="260"/>
      <c r="E555" s="261"/>
      <c r="F555" s="186"/>
      <c r="G555" s="186"/>
      <c r="H555" s="80"/>
      <c r="I555" s="80"/>
      <c r="J555" s="185"/>
      <c r="K555" s="91"/>
      <c r="L555" s="98"/>
      <c r="M555" s="177"/>
      <c r="N555" s="177"/>
      <c r="O555" s="177"/>
      <c r="P555" s="137" t="str">
        <f t="shared" si="37"/>
        <v>-</v>
      </c>
    </row>
    <row r="556" spans="2:16" x14ac:dyDescent="0.2">
      <c r="B556" s="45"/>
      <c r="C556" s="42"/>
      <c r="D556" s="260"/>
      <c r="E556" s="261"/>
      <c r="F556" s="186"/>
      <c r="G556" s="186"/>
      <c r="H556" s="80"/>
      <c r="I556" s="80"/>
      <c r="J556" s="185"/>
      <c r="K556" s="91"/>
      <c r="L556" s="98"/>
      <c r="M556" s="177"/>
      <c r="N556" s="177"/>
      <c r="O556" s="177"/>
      <c r="P556" s="137" t="str">
        <f t="shared" si="37"/>
        <v>-</v>
      </c>
    </row>
    <row r="557" spans="2:16" x14ac:dyDescent="0.2">
      <c r="B557" s="45"/>
      <c r="C557" s="43"/>
      <c r="D557" s="260"/>
      <c r="E557" s="261"/>
      <c r="F557" s="186"/>
      <c r="G557" s="186"/>
      <c r="H557" s="80"/>
      <c r="I557" s="80"/>
      <c r="J557" s="185"/>
      <c r="K557" s="91"/>
      <c r="L557" s="98"/>
      <c r="M557" s="177"/>
      <c r="N557" s="177"/>
      <c r="O557" s="177"/>
      <c r="P557" s="137" t="str">
        <f t="shared" si="37"/>
        <v>-</v>
      </c>
    </row>
    <row r="558" spans="2:16" x14ac:dyDescent="0.2">
      <c r="B558" s="45"/>
      <c r="C558" s="43"/>
      <c r="D558" s="260"/>
      <c r="E558" s="261"/>
      <c r="F558" s="186"/>
      <c r="G558" s="186"/>
      <c r="H558" s="80"/>
      <c r="I558" s="80"/>
      <c r="J558" s="185"/>
      <c r="K558" s="91"/>
      <c r="L558" s="98"/>
      <c r="M558" s="177"/>
      <c r="N558" s="177"/>
      <c r="O558" s="177"/>
      <c r="P558" s="137" t="str">
        <f t="shared" si="37"/>
        <v>-</v>
      </c>
    </row>
    <row r="559" spans="2:16" x14ac:dyDescent="0.2">
      <c r="B559" s="45"/>
      <c r="C559" s="42"/>
      <c r="D559" s="260"/>
      <c r="E559" s="261"/>
      <c r="F559" s="186"/>
      <c r="G559" s="186"/>
      <c r="H559" s="80"/>
      <c r="I559" s="80"/>
      <c r="J559" s="185"/>
      <c r="K559" s="91"/>
      <c r="L559" s="98"/>
      <c r="M559" s="177"/>
      <c r="N559" s="177"/>
      <c r="O559" s="177"/>
      <c r="P559" s="137" t="str">
        <f t="shared" si="37"/>
        <v>-</v>
      </c>
    </row>
    <row r="560" spans="2:16" x14ac:dyDescent="0.2">
      <c r="B560" s="45"/>
      <c r="C560" s="43"/>
      <c r="D560" s="260"/>
      <c r="E560" s="261"/>
      <c r="F560" s="186"/>
      <c r="G560" s="186"/>
      <c r="H560" s="80"/>
      <c r="I560" s="80"/>
      <c r="J560" s="185"/>
      <c r="K560" s="91"/>
      <c r="L560" s="98"/>
      <c r="M560" s="177"/>
      <c r="N560" s="177"/>
      <c r="O560" s="177"/>
      <c r="P560" s="137" t="str">
        <f t="shared" si="37"/>
        <v>-</v>
      </c>
    </row>
    <row r="561" spans="2:16" x14ac:dyDescent="0.2">
      <c r="B561" s="45"/>
      <c r="C561" s="43"/>
      <c r="D561" s="260"/>
      <c r="E561" s="261"/>
      <c r="F561" s="186"/>
      <c r="G561" s="186"/>
      <c r="H561" s="80"/>
      <c r="I561" s="80"/>
      <c r="J561" s="185"/>
      <c r="K561" s="91"/>
      <c r="L561" s="98"/>
      <c r="M561" s="177"/>
      <c r="N561" s="177"/>
      <c r="O561" s="177"/>
      <c r="P561" s="137" t="str">
        <f t="shared" si="37"/>
        <v>-</v>
      </c>
    </row>
    <row r="562" spans="2:16" x14ac:dyDescent="0.2">
      <c r="B562" s="45"/>
      <c r="C562" s="42"/>
      <c r="D562" s="260"/>
      <c r="E562" s="261"/>
      <c r="F562" s="186"/>
      <c r="G562" s="186"/>
      <c r="H562" s="80"/>
      <c r="I562" s="80"/>
      <c r="J562" s="185"/>
      <c r="K562" s="91"/>
      <c r="L562" s="98"/>
      <c r="M562" s="177"/>
      <c r="N562" s="177"/>
      <c r="O562" s="177"/>
      <c r="P562" s="137" t="str">
        <f t="shared" si="37"/>
        <v>-</v>
      </c>
    </row>
    <row r="563" spans="2:16" x14ac:dyDescent="0.2">
      <c r="B563" s="45"/>
      <c r="C563" s="43"/>
      <c r="D563" s="260"/>
      <c r="E563" s="261"/>
      <c r="F563" s="186"/>
      <c r="G563" s="186"/>
      <c r="H563" s="80"/>
      <c r="I563" s="80"/>
      <c r="J563" s="185"/>
      <c r="K563" s="91"/>
      <c r="L563" s="98"/>
      <c r="M563" s="177"/>
      <c r="N563" s="177"/>
      <c r="O563" s="177"/>
      <c r="P563" s="137" t="str">
        <f t="shared" si="37"/>
        <v>-</v>
      </c>
    </row>
    <row r="564" spans="2:16" x14ac:dyDescent="0.2">
      <c r="B564" s="45"/>
      <c r="C564" s="43"/>
      <c r="D564" s="260"/>
      <c r="E564" s="261"/>
      <c r="F564" s="186"/>
      <c r="G564" s="186"/>
      <c r="H564" s="80"/>
      <c r="I564" s="80"/>
      <c r="J564" s="185"/>
      <c r="K564" s="91"/>
      <c r="L564" s="98"/>
      <c r="M564" s="177"/>
      <c r="N564" s="177"/>
      <c r="O564" s="177"/>
      <c r="P564" s="137" t="str">
        <f t="shared" si="37"/>
        <v>-</v>
      </c>
    </row>
    <row r="565" spans="2:16" x14ac:dyDescent="0.2">
      <c r="B565" s="45"/>
      <c r="C565" s="42"/>
      <c r="D565" s="260"/>
      <c r="E565" s="261"/>
      <c r="F565" s="186"/>
      <c r="G565" s="186"/>
      <c r="H565" s="80"/>
      <c r="I565" s="80"/>
      <c r="J565" s="185"/>
      <c r="K565" s="91"/>
      <c r="L565" s="98"/>
      <c r="M565" s="177"/>
      <c r="N565" s="177"/>
      <c r="O565" s="177"/>
      <c r="P565" s="137" t="str">
        <f t="shared" si="37"/>
        <v>-</v>
      </c>
    </row>
    <row r="566" spans="2:16" x14ac:dyDescent="0.2">
      <c r="B566" s="45"/>
      <c r="C566" s="43"/>
      <c r="D566" s="260"/>
      <c r="E566" s="261"/>
      <c r="F566" s="186"/>
      <c r="G566" s="186"/>
      <c r="H566" s="80"/>
      <c r="I566" s="80"/>
      <c r="J566" s="185"/>
      <c r="K566" s="91"/>
      <c r="L566" s="98"/>
      <c r="M566" s="177"/>
      <c r="N566" s="177"/>
      <c r="O566" s="177"/>
      <c r="P566" s="137" t="str">
        <f t="shared" si="37"/>
        <v>-</v>
      </c>
    </row>
    <row r="567" spans="2:16" x14ac:dyDescent="0.2">
      <c r="B567" s="45"/>
      <c r="C567" s="43"/>
      <c r="D567" s="260"/>
      <c r="E567" s="261"/>
      <c r="F567" s="186"/>
      <c r="G567" s="186"/>
      <c r="H567" s="80"/>
      <c r="I567" s="80"/>
      <c r="J567" s="185"/>
      <c r="K567" s="91"/>
      <c r="L567" s="98"/>
      <c r="M567" s="177"/>
      <c r="N567" s="177"/>
      <c r="O567" s="177"/>
      <c r="P567" s="137" t="str">
        <f t="shared" si="37"/>
        <v>-</v>
      </c>
    </row>
    <row r="568" spans="2:16" x14ac:dyDescent="0.2">
      <c r="B568" s="45"/>
      <c r="C568" s="42"/>
      <c r="D568" s="260"/>
      <c r="E568" s="261"/>
      <c r="F568" s="186"/>
      <c r="G568" s="186"/>
      <c r="H568" s="80"/>
      <c r="I568" s="80"/>
      <c r="J568" s="185"/>
      <c r="K568" s="91"/>
      <c r="L568" s="98"/>
      <c r="M568" s="177"/>
      <c r="N568" s="177"/>
      <c r="O568" s="177"/>
      <c r="P568" s="137" t="str">
        <f t="shared" si="37"/>
        <v>-</v>
      </c>
    </row>
    <row r="569" spans="2:16" x14ac:dyDescent="0.2">
      <c r="B569" s="45"/>
      <c r="C569" s="43"/>
      <c r="D569" s="260"/>
      <c r="E569" s="261"/>
      <c r="F569" s="186"/>
      <c r="G569" s="186"/>
      <c r="H569" s="80"/>
      <c r="I569" s="80"/>
      <c r="J569" s="185"/>
      <c r="K569" s="91"/>
      <c r="L569" s="98"/>
      <c r="M569" s="177"/>
      <c r="N569" s="177"/>
      <c r="O569" s="177"/>
      <c r="P569" s="137" t="str">
        <f t="shared" si="37"/>
        <v>-</v>
      </c>
    </row>
    <row r="570" spans="2:16" x14ac:dyDescent="0.2">
      <c r="B570" s="45"/>
      <c r="C570" s="43"/>
      <c r="D570" s="260"/>
      <c r="E570" s="261"/>
      <c r="F570" s="186"/>
      <c r="G570" s="186"/>
      <c r="H570" s="80"/>
      <c r="I570" s="80"/>
      <c r="J570" s="185"/>
      <c r="K570" s="91"/>
      <c r="L570" s="98"/>
      <c r="M570" s="177"/>
      <c r="N570" s="177"/>
      <c r="O570" s="177"/>
      <c r="P570" s="137" t="str">
        <f t="shared" si="37"/>
        <v>-</v>
      </c>
    </row>
    <row r="571" spans="2:16" x14ac:dyDescent="0.2">
      <c r="B571" s="45"/>
      <c r="C571" s="42"/>
      <c r="D571" s="260"/>
      <c r="E571" s="261"/>
      <c r="F571" s="186"/>
      <c r="G571" s="186"/>
      <c r="H571" s="80"/>
      <c r="I571" s="80"/>
      <c r="J571" s="185"/>
      <c r="K571" s="91"/>
      <c r="L571" s="98"/>
      <c r="M571" s="177"/>
      <c r="N571" s="177"/>
      <c r="O571" s="177"/>
      <c r="P571" s="137" t="str">
        <f t="shared" si="37"/>
        <v>-</v>
      </c>
    </row>
    <row r="572" spans="2:16" x14ac:dyDescent="0.2">
      <c r="B572" s="45"/>
      <c r="C572" s="43"/>
      <c r="D572" s="260"/>
      <c r="E572" s="261"/>
      <c r="F572" s="186"/>
      <c r="G572" s="186"/>
      <c r="H572" s="80"/>
      <c r="I572" s="80"/>
      <c r="J572" s="185"/>
      <c r="K572" s="91"/>
      <c r="L572" s="98"/>
      <c r="M572" s="177"/>
      <c r="N572" s="177"/>
      <c r="O572" s="177"/>
      <c r="P572" s="137" t="str">
        <f t="shared" si="37"/>
        <v>-</v>
      </c>
    </row>
    <row r="573" spans="2:16" x14ac:dyDescent="0.2">
      <c r="B573" s="45"/>
      <c r="C573" s="43"/>
      <c r="D573" s="260"/>
      <c r="E573" s="261"/>
      <c r="F573" s="186"/>
      <c r="G573" s="186"/>
      <c r="H573" s="80"/>
      <c r="I573" s="80"/>
      <c r="J573" s="185"/>
      <c r="K573" s="91"/>
      <c r="L573" s="98"/>
      <c r="M573" s="177"/>
      <c r="N573" s="177"/>
      <c r="O573" s="177"/>
      <c r="P573" s="137" t="str">
        <f t="shared" si="37"/>
        <v>-</v>
      </c>
    </row>
    <row r="574" spans="2:16" x14ac:dyDescent="0.2">
      <c r="B574" s="45"/>
      <c r="C574" s="42"/>
      <c r="D574" s="260"/>
      <c r="E574" s="261"/>
      <c r="F574" s="186"/>
      <c r="G574" s="186"/>
      <c r="H574" s="80"/>
      <c r="I574" s="80"/>
      <c r="J574" s="185"/>
      <c r="K574" s="91"/>
      <c r="L574" s="98"/>
      <c r="M574" s="177"/>
      <c r="N574" s="177"/>
      <c r="O574" s="177"/>
      <c r="P574" s="137" t="str">
        <f t="shared" si="37"/>
        <v>-</v>
      </c>
    </row>
    <row r="575" spans="2:16" x14ac:dyDescent="0.2">
      <c r="B575" s="45"/>
      <c r="C575" s="43"/>
      <c r="D575" s="260"/>
      <c r="E575" s="261"/>
      <c r="F575" s="186"/>
      <c r="G575" s="186"/>
      <c r="H575" s="80"/>
      <c r="I575" s="80"/>
      <c r="J575" s="185"/>
      <c r="K575" s="91"/>
      <c r="L575" s="98"/>
      <c r="M575" s="177"/>
      <c r="N575" s="177"/>
      <c r="O575" s="177"/>
      <c r="P575" s="137" t="str">
        <f t="shared" si="37"/>
        <v>-</v>
      </c>
    </row>
    <row r="576" spans="2:16" x14ac:dyDescent="0.2">
      <c r="B576" s="45"/>
      <c r="C576" s="43"/>
      <c r="D576" s="260"/>
      <c r="E576" s="261"/>
      <c r="F576" s="186"/>
      <c r="G576" s="186"/>
      <c r="H576" s="80"/>
      <c r="I576" s="80"/>
      <c r="J576" s="185"/>
      <c r="K576" s="91"/>
      <c r="L576" s="98"/>
      <c r="M576" s="177"/>
      <c r="N576" s="177"/>
      <c r="O576" s="177"/>
      <c r="P576" s="137" t="str">
        <f t="shared" ref="P576:P639" si="38">IF(H575="","-",IF(K575="","",K575))</f>
        <v>-</v>
      </c>
    </row>
    <row r="577" spans="2:16" x14ac:dyDescent="0.2">
      <c r="B577" s="45"/>
      <c r="C577" s="42"/>
      <c r="D577" s="260"/>
      <c r="E577" s="261"/>
      <c r="F577" s="186"/>
      <c r="G577" s="186"/>
      <c r="H577" s="80"/>
      <c r="I577" s="80"/>
      <c r="J577" s="185"/>
      <c r="K577" s="91"/>
      <c r="L577" s="98"/>
      <c r="M577" s="177"/>
      <c r="N577" s="177"/>
      <c r="O577" s="177"/>
      <c r="P577" s="137" t="str">
        <f t="shared" si="38"/>
        <v>-</v>
      </c>
    </row>
    <row r="578" spans="2:16" x14ac:dyDescent="0.2">
      <c r="B578" s="45"/>
      <c r="C578" s="43"/>
      <c r="D578" s="260"/>
      <c r="E578" s="261"/>
      <c r="F578" s="186"/>
      <c r="G578" s="186"/>
      <c r="H578" s="80"/>
      <c r="I578" s="80"/>
      <c r="J578" s="185"/>
      <c r="K578" s="91"/>
      <c r="L578" s="98"/>
      <c r="M578" s="177"/>
      <c r="N578" s="177"/>
      <c r="O578" s="177"/>
      <c r="P578" s="137" t="str">
        <f t="shared" si="38"/>
        <v>-</v>
      </c>
    </row>
    <row r="579" spans="2:16" x14ac:dyDescent="0.2">
      <c r="B579" s="45"/>
      <c r="C579" s="43"/>
      <c r="D579" s="260"/>
      <c r="E579" s="261"/>
      <c r="F579" s="186"/>
      <c r="G579" s="186"/>
      <c r="H579" s="80"/>
      <c r="I579" s="80"/>
      <c r="J579" s="185"/>
      <c r="K579" s="91"/>
      <c r="L579" s="98"/>
      <c r="M579" s="177"/>
      <c r="N579" s="177"/>
      <c r="O579" s="177"/>
      <c r="P579" s="137" t="str">
        <f t="shared" si="38"/>
        <v>-</v>
      </c>
    </row>
    <row r="580" spans="2:16" x14ac:dyDescent="0.2">
      <c r="B580" s="45"/>
      <c r="C580" s="42"/>
      <c r="D580" s="260"/>
      <c r="E580" s="261"/>
      <c r="F580" s="186"/>
      <c r="G580" s="186"/>
      <c r="H580" s="80"/>
      <c r="I580" s="80"/>
      <c r="J580" s="185"/>
      <c r="K580" s="91"/>
      <c r="L580" s="98"/>
      <c r="M580" s="177"/>
      <c r="N580" s="177"/>
      <c r="O580" s="177"/>
      <c r="P580" s="137" t="str">
        <f t="shared" si="38"/>
        <v>-</v>
      </c>
    </row>
    <row r="581" spans="2:16" x14ac:dyDescent="0.2">
      <c r="B581" s="45"/>
      <c r="C581" s="43"/>
      <c r="D581" s="260"/>
      <c r="E581" s="261"/>
      <c r="F581" s="186"/>
      <c r="G581" s="186"/>
      <c r="H581" s="80"/>
      <c r="I581" s="80"/>
      <c r="J581" s="185"/>
      <c r="K581" s="91"/>
      <c r="L581" s="98"/>
      <c r="M581" s="177"/>
      <c r="N581" s="177"/>
      <c r="O581" s="177"/>
      <c r="P581" s="137" t="str">
        <f t="shared" si="38"/>
        <v>-</v>
      </c>
    </row>
    <row r="582" spans="2:16" x14ac:dyDescent="0.2">
      <c r="B582" s="45"/>
      <c r="C582" s="43"/>
      <c r="D582" s="260"/>
      <c r="E582" s="261"/>
      <c r="F582" s="186"/>
      <c r="G582" s="186"/>
      <c r="H582" s="80"/>
      <c r="I582" s="80"/>
      <c r="J582" s="185"/>
      <c r="K582" s="91"/>
      <c r="L582" s="98"/>
      <c r="M582" s="177"/>
      <c r="N582" s="177"/>
      <c r="O582" s="177"/>
      <c r="P582" s="137" t="str">
        <f t="shared" si="38"/>
        <v>-</v>
      </c>
    </row>
    <row r="583" spans="2:16" x14ac:dyDescent="0.2">
      <c r="B583" s="45"/>
      <c r="C583" s="42"/>
      <c r="D583" s="260"/>
      <c r="E583" s="261"/>
      <c r="F583" s="186"/>
      <c r="G583" s="186"/>
      <c r="H583" s="80"/>
      <c r="I583" s="80"/>
      <c r="J583" s="185"/>
      <c r="K583" s="91"/>
      <c r="L583" s="98"/>
      <c r="M583" s="177"/>
      <c r="N583" s="177"/>
      <c r="O583" s="177"/>
      <c r="P583" s="137" t="str">
        <f t="shared" si="38"/>
        <v>-</v>
      </c>
    </row>
    <row r="584" spans="2:16" x14ac:dyDescent="0.2">
      <c r="B584" s="45"/>
      <c r="C584" s="43"/>
      <c r="D584" s="260"/>
      <c r="E584" s="261"/>
      <c r="F584" s="186"/>
      <c r="G584" s="186"/>
      <c r="H584" s="80"/>
      <c r="I584" s="80"/>
      <c r="J584" s="185"/>
      <c r="K584" s="91"/>
      <c r="L584" s="98"/>
      <c r="M584" s="177"/>
      <c r="N584" s="177"/>
      <c r="O584" s="177"/>
      <c r="P584" s="137" t="str">
        <f t="shared" si="38"/>
        <v>-</v>
      </c>
    </row>
    <row r="585" spans="2:16" x14ac:dyDescent="0.2">
      <c r="B585" s="45"/>
      <c r="C585" s="43"/>
      <c r="D585" s="260"/>
      <c r="E585" s="261"/>
      <c r="F585" s="186"/>
      <c r="G585" s="186"/>
      <c r="H585" s="80"/>
      <c r="I585" s="80"/>
      <c r="J585" s="185"/>
      <c r="K585" s="91"/>
      <c r="L585" s="98"/>
      <c r="M585" s="177"/>
      <c r="N585" s="177"/>
      <c r="O585" s="177"/>
      <c r="P585" s="137" t="str">
        <f t="shared" si="38"/>
        <v>-</v>
      </c>
    </row>
    <row r="586" spans="2:16" x14ac:dyDescent="0.2">
      <c r="B586" s="45"/>
      <c r="C586" s="42"/>
      <c r="D586" s="260"/>
      <c r="E586" s="261"/>
      <c r="F586" s="186"/>
      <c r="G586" s="186"/>
      <c r="H586" s="80"/>
      <c r="I586" s="80"/>
      <c r="J586" s="185"/>
      <c r="K586" s="91"/>
      <c r="L586" s="98"/>
      <c r="M586" s="177"/>
      <c r="N586" s="177"/>
      <c r="O586" s="177"/>
      <c r="P586" s="137" t="str">
        <f t="shared" si="38"/>
        <v>-</v>
      </c>
    </row>
    <row r="587" spans="2:16" x14ac:dyDescent="0.2">
      <c r="B587" s="45"/>
      <c r="C587" s="43"/>
      <c r="D587" s="260"/>
      <c r="E587" s="261"/>
      <c r="F587" s="186"/>
      <c r="G587" s="186"/>
      <c r="H587" s="80"/>
      <c r="I587" s="80"/>
      <c r="J587" s="185"/>
      <c r="K587" s="91"/>
      <c r="L587" s="98"/>
      <c r="M587" s="177"/>
      <c r="N587" s="177"/>
      <c r="O587" s="177"/>
      <c r="P587" s="137" t="str">
        <f t="shared" si="38"/>
        <v>-</v>
      </c>
    </row>
    <row r="588" spans="2:16" x14ac:dyDescent="0.2">
      <c r="B588" s="45"/>
      <c r="C588" s="43"/>
      <c r="D588" s="260"/>
      <c r="E588" s="261"/>
      <c r="F588" s="186"/>
      <c r="G588" s="186"/>
      <c r="H588" s="80"/>
      <c r="I588" s="80"/>
      <c r="J588" s="185"/>
      <c r="K588" s="91"/>
      <c r="L588" s="98"/>
      <c r="M588" s="177"/>
      <c r="N588" s="177"/>
      <c r="O588" s="177"/>
      <c r="P588" s="137" t="str">
        <f t="shared" si="38"/>
        <v>-</v>
      </c>
    </row>
    <row r="589" spans="2:16" x14ac:dyDescent="0.2">
      <c r="B589" s="45"/>
      <c r="C589" s="42"/>
      <c r="D589" s="260"/>
      <c r="E589" s="261"/>
      <c r="F589" s="186"/>
      <c r="G589" s="186"/>
      <c r="H589" s="80"/>
      <c r="I589" s="80"/>
      <c r="J589" s="185"/>
      <c r="K589" s="91"/>
      <c r="L589" s="98"/>
      <c r="M589" s="177"/>
      <c r="N589" s="177"/>
      <c r="O589" s="177"/>
      <c r="P589" s="137" t="str">
        <f t="shared" si="38"/>
        <v>-</v>
      </c>
    </row>
    <row r="590" spans="2:16" x14ac:dyDescent="0.2">
      <c r="B590" s="45"/>
      <c r="C590" s="43"/>
      <c r="D590" s="260"/>
      <c r="E590" s="261"/>
      <c r="F590" s="186"/>
      <c r="G590" s="186"/>
      <c r="H590" s="80"/>
      <c r="I590" s="80"/>
      <c r="J590" s="185"/>
      <c r="K590" s="91"/>
      <c r="L590" s="98"/>
      <c r="M590" s="177"/>
      <c r="N590" s="177"/>
      <c r="O590" s="177"/>
      <c r="P590" s="137" t="str">
        <f t="shared" si="38"/>
        <v>-</v>
      </c>
    </row>
    <row r="591" spans="2:16" x14ac:dyDescent="0.2">
      <c r="B591" s="45"/>
      <c r="C591" s="43"/>
      <c r="D591" s="260"/>
      <c r="E591" s="261"/>
      <c r="F591" s="186"/>
      <c r="G591" s="186"/>
      <c r="H591" s="80"/>
      <c r="I591" s="80"/>
      <c r="J591" s="185"/>
      <c r="K591" s="91"/>
      <c r="L591" s="98"/>
      <c r="M591" s="177"/>
      <c r="N591" s="177"/>
      <c r="O591" s="177"/>
      <c r="P591" s="137" t="str">
        <f t="shared" si="38"/>
        <v>-</v>
      </c>
    </row>
    <row r="592" spans="2:16" x14ac:dyDescent="0.2">
      <c r="B592" s="45"/>
      <c r="C592" s="42"/>
      <c r="D592" s="260"/>
      <c r="E592" s="261"/>
      <c r="F592" s="186"/>
      <c r="G592" s="186"/>
      <c r="H592" s="80"/>
      <c r="I592" s="80"/>
      <c r="J592" s="185"/>
      <c r="K592" s="91"/>
      <c r="L592" s="98"/>
      <c r="M592" s="177"/>
      <c r="N592" s="177"/>
      <c r="O592" s="177"/>
      <c r="P592" s="137" t="str">
        <f t="shared" si="38"/>
        <v>-</v>
      </c>
    </row>
    <row r="593" spans="2:16" x14ac:dyDescent="0.2">
      <c r="B593" s="45"/>
      <c r="C593" s="43"/>
      <c r="D593" s="260"/>
      <c r="E593" s="261"/>
      <c r="F593" s="186"/>
      <c r="G593" s="186"/>
      <c r="H593" s="80"/>
      <c r="I593" s="80"/>
      <c r="J593" s="185"/>
      <c r="K593" s="91"/>
      <c r="L593" s="98"/>
      <c r="M593" s="177"/>
      <c r="N593" s="177"/>
      <c r="O593" s="177"/>
      <c r="P593" s="137" t="str">
        <f t="shared" si="38"/>
        <v>-</v>
      </c>
    </row>
    <row r="594" spans="2:16" x14ac:dyDescent="0.2">
      <c r="B594" s="45"/>
      <c r="C594" s="43"/>
      <c r="D594" s="260"/>
      <c r="E594" s="261"/>
      <c r="F594" s="186"/>
      <c r="G594" s="186"/>
      <c r="H594" s="80"/>
      <c r="I594" s="80"/>
      <c r="J594" s="185"/>
      <c r="K594" s="91"/>
      <c r="L594" s="98"/>
      <c r="M594" s="177"/>
      <c r="N594" s="177"/>
      <c r="O594" s="177"/>
      <c r="P594" s="137" t="str">
        <f t="shared" si="38"/>
        <v>-</v>
      </c>
    </row>
    <row r="595" spans="2:16" x14ac:dyDescent="0.2">
      <c r="B595" s="45"/>
      <c r="C595" s="42"/>
      <c r="D595" s="260"/>
      <c r="E595" s="261"/>
      <c r="F595" s="186"/>
      <c r="G595" s="186"/>
      <c r="H595" s="80"/>
      <c r="I595" s="80"/>
      <c r="J595" s="185"/>
      <c r="K595" s="91"/>
      <c r="L595" s="98"/>
      <c r="M595" s="177"/>
      <c r="N595" s="177"/>
      <c r="O595" s="177"/>
      <c r="P595" s="137" t="str">
        <f t="shared" si="38"/>
        <v>-</v>
      </c>
    </row>
    <row r="596" spans="2:16" x14ac:dyDescent="0.2">
      <c r="B596" s="45"/>
      <c r="C596" s="43"/>
      <c r="D596" s="260"/>
      <c r="E596" s="261"/>
      <c r="F596" s="186"/>
      <c r="G596" s="186"/>
      <c r="H596" s="80"/>
      <c r="I596" s="80"/>
      <c r="J596" s="185"/>
      <c r="K596" s="91"/>
      <c r="L596" s="98"/>
      <c r="M596" s="177"/>
      <c r="N596" s="177"/>
      <c r="O596" s="177"/>
      <c r="P596" s="137" t="str">
        <f t="shared" si="38"/>
        <v>-</v>
      </c>
    </row>
    <row r="597" spans="2:16" x14ac:dyDescent="0.2">
      <c r="B597" s="45"/>
      <c r="C597" s="43"/>
      <c r="D597" s="260"/>
      <c r="E597" s="261"/>
      <c r="F597" s="186"/>
      <c r="G597" s="186"/>
      <c r="H597" s="80"/>
      <c r="I597" s="80"/>
      <c r="J597" s="185"/>
      <c r="K597" s="91"/>
      <c r="L597" s="98"/>
      <c r="M597" s="177"/>
      <c r="N597" s="177"/>
      <c r="O597" s="177"/>
      <c r="P597" s="137" t="str">
        <f t="shared" si="38"/>
        <v>-</v>
      </c>
    </row>
    <row r="598" spans="2:16" x14ac:dyDescent="0.2">
      <c r="B598" s="45"/>
      <c r="C598" s="42"/>
      <c r="D598" s="260"/>
      <c r="E598" s="261"/>
      <c r="F598" s="186"/>
      <c r="G598" s="186"/>
      <c r="H598" s="80"/>
      <c r="I598" s="80"/>
      <c r="J598" s="185"/>
      <c r="K598" s="91"/>
      <c r="L598" s="98"/>
      <c r="M598" s="177"/>
      <c r="N598" s="177"/>
      <c r="O598" s="177"/>
      <c r="P598" s="137" t="str">
        <f t="shared" si="38"/>
        <v>-</v>
      </c>
    </row>
    <row r="599" spans="2:16" x14ac:dyDescent="0.2">
      <c r="B599" s="45"/>
      <c r="C599" s="43"/>
      <c r="D599" s="260"/>
      <c r="E599" s="261"/>
      <c r="F599" s="186"/>
      <c r="G599" s="186"/>
      <c r="H599" s="80"/>
      <c r="I599" s="80"/>
      <c r="J599" s="185"/>
      <c r="K599" s="91"/>
      <c r="L599" s="98"/>
      <c r="M599" s="177"/>
      <c r="N599" s="177"/>
      <c r="O599" s="177"/>
      <c r="P599" s="137" t="str">
        <f t="shared" si="38"/>
        <v>-</v>
      </c>
    </row>
    <row r="600" spans="2:16" x14ac:dyDescent="0.2">
      <c r="B600" s="45"/>
      <c r="C600" s="43"/>
      <c r="D600" s="260"/>
      <c r="E600" s="261"/>
      <c r="F600" s="186"/>
      <c r="G600" s="186"/>
      <c r="H600" s="80"/>
      <c r="I600" s="80"/>
      <c r="J600" s="185"/>
      <c r="K600" s="91"/>
      <c r="L600" s="98"/>
      <c r="M600" s="177"/>
      <c r="N600" s="177"/>
      <c r="O600" s="177"/>
      <c r="P600" s="137" t="str">
        <f t="shared" si="38"/>
        <v>-</v>
      </c>
    </row>
    <row r="601" spans="2:16" x14ac:dyDescent="0.2">
      <c r="B601" s="45"/>
      <c r="C601" s="42"/>
      <c r="D601" s="260"/>
      <c r="E601" s="261"/>
      <c r="F601" s="186"/>
      <c r="G601" s="186"/>
      <c r="H601" s="80"/>
      <c r="I601" s="80"/>
      <c r="J601" s="185"/>
      <c r="K601" s="91"/>
      <c r="L601" s="98"/>
      <c r="M601" s="177"/>
      <c r="N601" s="177"/>
      <c r="O601" s="177"/>
      <c r="P601" s="137" t="str">
        <f t="shared" si="38"/>
        <v>-</v>
      </c>
    </row>
    <row r="602" spans="2:16" x14ac:dyDescent="0.2">
      <c r="B602" s="45"/>
      <c r="C602" s="43"/>
      <c r="D602" s="260"/>
      <c r="E602" s="261"/>
      <c r="F602" s="186"/>
      <c r="G602" s="186"/>
      <c r="H602" s="80"/>
      <c r="I602" s="80"/>
      <c r="J602" s="185"/>
      <c r="K602" s="91"/>
      <c r="L602" s="98"/>
      <c r="M602" s="177"/>
      <c r="N602" s="177"/>
      <c r="O602" s="177"/>
      <c r="P602" s="137" t="str">
        <f t="shared" si="38"/>
        <v>-</v>
      </c>
    </row>
    <row r="603" spans="2:16" x14ac:dyDescent="0.2">
      <c r="B603" s="45"/>
      <c r="C603" s="43"/>
      <c r="D603" s="260"/>
      <c r="E603" s="261"/>
      <c r="F603" s="186"/>
      <c r="G603" s="186"/>
      <c r="H603" s="80"/>
      <c r="I603" s="80"/>
      <c r="J603" s="185"/>
      <c r="K603" s="91"/>
      <c r="L603" s="98"/>
      <c r="M603" s="177"/>
      <c r="N603" s="177"/>
      <c r="O603" s="177"/>
      <c r="P603" s="137" t="str">
        <f t="shared" si="38"/>
        <v>-</v>
      </c>
    </row>
    <row r="604" spans="2:16" x14ac:dyDescent="0.2">
      <c r="B604" s="45"/>
      <c r="C604" s="42"/>
      <c r="D604" s="260"/>
      <c r="E604" s="261"/>
      <c r="F604" s="186"/>
      <c r="G604" s="186"/>
      <c r="H604" s="80"/>
      <c r="I604" s="80"/>
      <c r="J604" s="185"/>
      <c r="K604" s="91"/>
      <c r="L604" s="98"/>
      <c r="M604" s="177"/>
      <c r="N604" s="177"/>
      <c r="O604" s="177"/>
      <c r="P604" s="137" t="str">
        <f t="shared" si="38"/>
        <v>-</v>
      </c>
    </row>
    <row r="605" spans="2:16" x14ac:dyDescent="0.2">
      <c r="B605" s="45"/>
      <c r="C605" s="43"/>
      <c r="D605" s="260"/>
      <c r="E605" s="261"/>
      <c r="F605" s="186"/>
      <c r="G605" s="186"/>
      <c r="H605" s="80"/>
      <c r="I605" s="80"/>
      <c r="J605" s="185"/>
      <c r="K605" s="91"/>
      <c r="L605" s="98"/>
      <c r="M605" s="177"/>
      <c r="N605" s="177"/>
      <c r="O605" s="177"/>
      <c r="P605" s="137" t="str">
        <f t="shared" si="38"/>
        <v>-</v>
      </c>
    </row>
    <row r="606" spans="2:16" x14ac:dyDescent="0.2">
      <c r="B606" s="45"/>
      <c r="C606" s="43"/>
      <c r="D606" s="260"/>
      <c r="E606" s="261"/>
      <c r="F606" s="186"/>
      <c r="G606" s="186"/>
      <c r="H606" s="80"/>
      <c r="I606" s="80"/>
      <c r="J606" s="185"/>
      <c r="K606" s="91"/>
      <c r="L606" s="98"/>
      <c r="M606" s="177"/>
      <c r="N606" s="177"/>
      <c r="O606" s="177"/>
      <c r="P606" s="137" t="str">
        <f t="shared" si="38"/>
        <v>-</v>
      </c>
    </row>
    <row r="607" spans="2:16" x14ac:dyDescent="0.2">
      <c r="B607" s="45"/>
      <c r="C607" s="42"/>
      <c r="D607" s="260"/>
      <c r="E607" s="261"/>
      <c r="F607" s="186"/>
      <c r="G607" s="186"/>
      <c r="H607" s="80"/>
      <c r="I607" s="80"/>
      <c r="J607" s="185"/>
      <c r="K607" s="91"/>
      <c r="L607" s="98"/>
      <c r="M607" s="177"/>
      <c r="N607" s="177"/>
      <c r="O607" s="177"/>
      <c r="P607" s="137" t="str">
        <f t="shared" si="38"/>
        <v>-</v>
      </c>
    </row>
    <row r="608" spans="2:16" x14ac:dyDescent="0.2">
      <c r="B608" s="45"/>
      <c r="C608" s="43"/>
      <c r="D608" s="260"/>
      <c r="E608" s="261"/>
      <c r="F608" s="186"/>
      <c r="G608" s="186"/>
      <c r="H608" s="80"/>
      <c r="I608" s="80"/>
      <c r="J608" s="185"/>
      <c r="K608" s="91"/>
      <c r="L608" s="98"/>
      <c r="M608" s="177"/>
      <c r="N608" s="177"/>
      <c r="O608" s="177"/>
      <c r="P608" s="137" t="str">
        <f t="shared" si="38"/>
        <v>-</v>
      </c>
    </row>
    <row r="609" spans="2:16" x14ac:dyDescent="0.2">
      <c r="B609" s="45"/>
      <c r="C609" s="43"/>
      <c r="D609" s="260"/>
      <c r="E609" s="261"/>
      <c r="F609" s="186"/>
      <c r="G609" s="186"/>
      <c r="H609" s="80"/>
      <c r="I609" s="80"/>
      <c r="J609" s="185"/>
      <c r="K609" s="91"/>
      <c r="L609" s="98"/>
      <c r="M609" s="177"/>
      <c r="N609" s="177"/>
      <c r="O609" s="177"/>
      <c r="P609" s="137" t="str">
        <f t="shared" si="38"/>
        <v>-</v>
      </c>
    </row>
    <row r="610" spans="2:16" x14ac:dyDescent="0.2">
      <c r="B610" s="45"/>
      <c r="C610" s="42"/>
      <c r="D610" s="260"/>
      <c r="E610" s="261"/>
      <c r="F610" s="186"/>
      <c r="G610" s="186"/>
      <c r="H610" s="80"/>
      <c r="I610" s="80"/>
      <c r="J610" s="185"/>
      <c r="K610" s="91"/>
      <c r="L610" s="98"/>
      <c r="M610" s="177"/>
      <c r="N610" s="177"/>
      <c r="O610" s="177"/>
      <c r="P610" s="137" t="str">
        <f t="shared" si="38"/>
        <v>-</v>
      </c>
    </row>
    <row r="611" spans="2:16" x14ac:dyDescent="0.2">
      <c r="B611" s="45"/>
      <c r="C611" s="43"/>
      <c r="D611" s="260"/>
      <c r="E611" s="261"/>
      <c r="F611" s="186"/>
      <c r="G611" s="186"/>
      <c r="H611" s="80"/>
      <c r="I611" s="80"/>
      <c r="J611" s="185"/>
      <c r="K611" s="91"/>
      <c r="L611" s="98"/>
      <c r="M611" s="177"/>
      <c r="N611" s="177"/>
      <c r="O611" s="177"/>
      <c r="P611" s="137" t="str">
        <f t="shared" si="38"/>
        <v>-</v>
      </c>
    </row>
    <row r="612" spans="2:16" x14ac:dyDescent="0.2">
      <c r="B612" s="45"/>
      <c r="C612" s="43"/>
      <c r="D612" s="260"/>
      <c r="E612" s="261"/>
      <c r="F612" s="186"/>
      <c r="G612" s="186"/>
      <c r="H612" s="80"/>
      <c r="I612" s="80"/>
      <c r="J612" s="185"/>
      <c r="K612" s="91"/>
      <c r="L612" s="98"/>
      <c r="M612" s="177"/>
      <c r="N612" s="177"/>
      <c r="O612" s="177"/>
      <c r="P612" s="137" t="str">
        <f t="shared" si="38"/>
        <v>-</v>
      </c>
    </row>
    <row r="613" spans="2:16" x14ac:dyDescent="0.2">
      <c r="B613" s="45"/>
      <c r="C613" s="42"/>
      <c r="D613" s="260"/>
      <c r="E613" s="261"/>
      <c r="F613" s="186"/>
      <c r="G613" s="186"/>
      <c r="H613" s="80"/>
      <c r="I613" s="80"/>
      <c r="J613" s="185"/>
      <c r="K613" s="91"/>
      <c r="L613" s="98"/>
      <c r="M613" s="177"/>
      <c r="N613" s="177"/>
      <c r="O613" s="177"/>
      <c r="P613" s="137" t="str">
        <f t="shared" si="38"/>
        <v>-</v>
      </c>
    </row>
    <row r="614" spans="2:16" x14ac:dyDescent="0.2">
      <c r="B614" s="45"/>
      <c r="C614" s="43"/>
      <c r="D614" s="260"/>
      <c r="E614" s="261"/>
      <c r="F614" s="186"/>
      <c r="G614" s="186"/>
      <c r="H614" s="80"/>
      <c r="I614" s="80"/>
      <c r="J614" s="185"/>
      <c r="K614" s="91"/>
      <c r="L614" s="98"/>
      <c r="M614" s="177"/>
      <c r="N614" s="177"/>
      <c r="O614" s="177"/>
      <c r="P614" s="137" t="str">
        <f t="shared" si="38"/>
        <v>-</v>
      </c>
    </row>
    <row r="615" spans="2:16" x14ac:dyDescent="0.2">
      <c r="B615" s="45"/>
      <c r="C615" s="43"/>
      <c r="D615" s="260"/>
      <c r="E615" s="261"/>
      <c r="F615" s="186"/>
      <c r="G615" s="186"/>
      <c r="H615" s="80"/>
      <c r="I615" s="80"/>
      <c r="J615" s="185"/>
      <c r="K615" s="91"/>
      <c r="L615" s="98"/>
      <c r="M615" s="177"/>
      <c r="N615" s="177"/>
      <c r="O615" s="177"/>
      <c r="P615" s="137" t="str">
        <f t="shared" si="38"/>
        <v>-</v>
      </c>
    </row>
    <row r="616" spans="2:16" x14ac:dyDescent="0.2">
      <c r="B616" s="45"/>
      <c r="C616" s="42"/>
      <c r="D616" s="260"/>
      <c r="E616" s="261"/>
      <c r="F616" s="186"/>
      <c r="G616" s="186"/>
      <c r="H616" s="80"/>
      <c r="I616" s="80"/>
      <c r="J616" s="185"/>
      <c r="K616" s="91"/>
      <c r="L616" s="98"/>
      <c r="M616" s="177"/>
      <c r="N616" s="177"/>
      <c r="O616" s="177"/>
      <c r="P616" s="137" t="str">
        <f t="shared" si="38"/>
        <v>-</v>
      </c>
    </row>
    <row r="617" spans="2:16" x14ac:dyDescent="0.2">
      <c r="B617" s="45"/>
      <c r="C617" s="43"/>
      <c r="D617" s="260"/>
      <c r="E617" s="261"/>
      <c r="F617" s="186"/>
      <c r="G617" s="186"/>
      <c r="H617" s="80"/>
      <c r="I617" s="80"/>
      <c r="J617" s="185"/>
      <c r="K617" s="91"/>
      <c r="L617" s="98"/>
      <c r="M617" s="177"/>
      <c r="N617" s="177"/>
      <c r="O617" s="177"/>
      <c r="P617" s="137" t="str">
        <f t="shared" si="38"/>
        <v>-</v>
      </c>
    </row>
    <row r="618" spans="2:16" x14ac:dyDescent="0.2">
      <c r="B618" s="45"/>
      <c r="C618" s="43"/>
      <c r="D618" s="260"/>
      <c r="E618" s="261"/>
      <c r="F618" s="186"/>
      <c r="G618" s="186"/>
      <c r="H618" s="80"/>
      <c r="I618" s="80"/>
      <c r="J618" s="185"/>
      <c r="K618" s="91"/>
      <c r="L618" s="98"/>
      <c r="M618" s="177"/>
      <c r="N618" s="177"/>
      <c r="O618" s="177"/>
      <c r="P618" s="137" t="str">
        <f t="shared" si="38"/>
        <v>-</v>
      </c>
    </row>
    <row r="619" spans="2:16" x14ac:dyDescent="0.2">
      <c r="B619" s="45"/>
      <c r="C619" s="42"/>
      <c r="D619" s="260"/>
      <c r="E619" s="261"/>
      <c r="F619" s="186"/>
      <c r="G619" s="186"/>
      <c r="H619" s="80"/>
      <c r="I619" s="80"/>
      <c r="J619" s="185"/>
      <c r="K619" s="91"/>
      <c r="L619" s="98"/>
      <c r="M619" s="177"/>
      <c r="N619" s="177"/>
      <c r="O619" s="177"/>
      <c r="P619" s="137" t="str">
        <f t="shared" si="38"/>
        <v>-</v>
      </c>
    </row>
    <row r="620" spans="2:16" x14ac:dyDescent="0.2">
      <c r="B620" s="45"/>
      <c r="C620" s="43"/>
      <c r="D620" s="260"/>
      <c r="E620" s="261"/>
      <c r="F620" s="186"/>
      <c r="G620" s="186"/>
      <c r="H620" s="80"/>
      <c r="I620" s="80"/>
      <c r="J620" s="185"/>
      <c r="K620" s="91"/>
      <c r="L620" s="98"/>
      <c r="M620" s="177"/>
      <c r="N620" s="177"/>
      <c r="O620" s="177"/>
      <c r="P620" s="137" t="str">
        <f t="shared" si="38"/>
        <v>-</v>
      </c>
    </row>
    <row r="621" spans="2:16" x14ac:dyDescent="0.2">
      <c r="B621" s="45"/>
      <c r="C621" s="43"/>
      <c r="D621" s="260"/>
      <c r="E621" s="261"/>
      <c r="F621" s="186"/>
      <c r="G621" s="186"/>
      <c r="H621" s="80"/>
      <c r="I621" s="80"/>
      <c r="J621" s="185"/>
      <c r="K621" s="91"/>
      <c r="L621" s="98"/>
      <c r="M621" s="177"/>
      <c r="N621" s="177"/>
      <c r="O621" s="177"/>
      <c r="P621" s="137" t="str">
        <f t="shared" si="38"/>
        <v>-</v>
      </c>
    </row>
    <row r="622" spans="2:16" x14ac:dyDescent="0.2">
      <c r="B622" s="45"/>
      <c r="C622" s="42"/>
      <c r="D622" s="260"/>
      <c r="E622" s="261"/>
      <c r="F622" s="186"/>
      <c r="G622" s="186"/>
      <c r="H622" s="80"/>
      <c r="I622" s="80"/>
      <c r="J622" s="185"/>
      <c r="K622" s="91"/>
      <c r="L622" s="98"/>
      <c r="M622" s="177"/>
      <c r="N622" s="177"/>
      <c r="O622" s="177"/>
      <c r="P622" s="137" t="str">
        <f t="shared" si="38"/>
        <v>-</v>
      </c>
    </row>
    <row r="623" spans="2:16" x14ac:dyDescent="0.2">
      <c r="B623" s="45"/>
      <c r="C623" s="43"/>
      <c r="D623" s="260"/>
      <c r="E623" s="261"/>
      <c r="F623" s="186"/>
      <c r="G623" s="186"/>
      <c r="H623" s="80"/>
      <c r="I623" s="80"/>
      <c r="J623" s="185"/>
      <c r="K623" s="91"/>
      <c r="L623" s="98"/>
      <c r="M623" s="177"/>
      <c r="N623" s="177"/>
      <c r="O623" s="177"/>
      <c r="P623" s="137" t="str">
        <f t="shared" si="38"/>
        <v>-</v>
      </c>
    </row>
    <row r="624" spans="2:16" x14ac:dyDescent="0.2">
      <c r="B624" s="45"/>
      <c r="C624" s="43"/>
      <c r="D624" s="260"/>
      <c r="E624" s="261"/>
      <c r="F624" s="186"/>
      <c r="G624" s="186"/>
      <c r="H624" s="80"/>
      <c r="I624" s="80"/>
      <c r="J624" s="185"/>
      <c r="K624" s="91"/>
      <c r="L624" s="98"/>
      <c r="M624" s="177"/>
      <c r="N624" s="177"/>
      <c r="O624" s="177"/>
      <c r="P624" s="137" t="str">
        <f t="shared" si="38"/>
        <v>-</v>
      </c>
    </row>
    <row r="625" spans="2:16" x14ac:dyDescent="0.2">
      <c r="B625" s="45"/>
      <c r="C625" s="42"/>
      <c r="D625" s="260"/>
      <c r="E625" s="261"/>
      <c r="F625" s="186"/>
      <c r="G625" s="186"/>
      <c r="H625" s="80"/>
      <c r="I625" s="80"/>
      <c r="J625" s="185"/>
      <c r="K625" s="91"/>
      <c r="L625" s="98"/>
      <c r="M625" s="177"/>
      <c r="N625" s="177"/>
      <c r="O625" s="177"/>
      <c r="P625" s="137" t="str">
        <f t="shared" si="38"/>
        <v>-</v>
      </c>
    </row>
    <row r="626" spans="2:16" x14ac:dyDescent="0.2">
      <c r="B626" s="45"/>
      <c r="C626" s="43"/>
      <c r="D626" s="260"/>
      <c r="E626" s="261"/>
      <c r="F626" s="186"/>
      <c r="G626" s="186"/>
      <c r="H626" s="80"/>
      <c r="I626" s="80"/>
      <c r="J626" s="185"/>
      <c r="K626" s="91"/>
      <c r="L626" s="98"/>
      <c r="M626" s="177"/>
      <c r="N626" s="177"/>
      <c r="O626" s="177"/>
      <c r="P626" s="137" t="str">
        <f t="shared" si="38"/>
        <v>-</v>
      </c>
    </row>
    <row r="627" spans="2:16" x14ac:dyDescent="0.2">
      <c r="B627" s="45"/>
      <c r="C627" s="43"/>
      <c r="D627" s="260"/>
      <c r="E627" s="261"/>
      <c r="F627" s="186"/>
      <c r="G627" s="186"/>
      <c r="H627" s="80"/>
      <c r="I627" s="80"/>
      <c r="J627" s="185"/>
      <c r="K627" s="91"/>
      <c r="L627" s="98"/>
      <c r="M627" s="177"/>
      <c r="N627" s="177"/>
      <c r="O627" s="177"/>
      <c r="P627" s="137" t="str">
        <f t="shared" si="38"/>
        <v>-</v>
      </c>
    </row>
    <row r="628" spans="2:16" x14ac:dyDescent="0.2">
      <c r="B628" s="45"/>
      <c r="C628" s="42"/>
      <c r="D628" s="260"/>
      <c r="E628" s="261"/>
      <c r="F628" s="186"/>
      <c r="G628" s="186"/>
      <c r="H628" s="80"/>
      <c r="I628" s="80"/>
      <c r="J628" s="185"/>
      <c r="K628" s="91"/>
      <c r="L628" s="98"/>
      <c r="M628" s="177"/>
      <c r="N628" s="177"/>
      <c r="O628" s="177"/>
      <c r="P628" s="137" t="str">
        <f t="shared" si="38"/>
        <v>-</v>
      </c>
    </row>
    <row r="629" spans="2:16" x14ac:dyDescent="0.2">
      <c r="B629" s="45"/>
      <c r="C629" s="43"/>
      <c r="D629" s="260"/>
      <c r="E629" s="261"/>
      <c r="F629" s="186"/>
      <c r="G629" s="186"/>
      <c r="H629" s="80"/>
      <c r="I629" s="80"/>
      <c r="J629" s="185"/>
      <c r="K629" s="91"/>
      <c r="L629" s="98"/>
      <c r="M629" s="177"/>
      <c r="N629" s="177"/>
      <c r="O629" s="177"/>
      <c r="P629" s="137" t="str">
        <f t="shared" si="38"/>
        <v>-</v>
      </c>
    </row>
    <row r="630" spans="2:16" x14ac:dyDescent="0.2">
      <c r="B630" s="45"/>
      <c r="C630" s="43"/>
      <c r="D630" s="260"/>
      <c r="E630" s="261"/>
      <c r="F630" s="186"/>
      <c r="G630" s="186"/>
      <c r="H630" s="80"/>
      <c r="I630" s="80"/>
      <c r="J630" s="185"/>
      <c r="K630" s="91"/>
      <c r="L630" s="98"/>
      <c r="M630" s="177"/>
      <c r="N630" s="177"/>
      <c r="O630" s="177"/>
      <c r="P630" s="137" t="str">
        <f t="shared" si="38"/>
        <v>-</v>
      </c>
    </row>
    <row r="631" spans="2:16" x14ac:dyDescent="0.2">
      <c r="B631" s="45"/>
      <c r="C631" s="42"/>
      <c r="D631" s="260"/>
      <c r="E631" s="261"/>
      <c r="F631" s="186"/>
      <c r="G631" s="186"/>
      <c r="H631" s="80"/>
      <c r="I631" s="80"/>
      <c r="J631" s="185"/>
      <c r="K631" s="91"/>
      <c r="L631" s="98"/>
      <c r="M631" s="177"/>
      <c r="N631" s="177"/>
      <c r="O631" s="177"/>
      <c r="P631" s="137" t="str">
        <f t="shared" si="38"/>
        <v>-</v>
      </c>
    </row>
    <row r="632" spans="2:16" x14ac:dyDescent="0.2">
      <c r="B632" s="45"/>
      <c r="C632" s="43"/>
      <c r="D632" s="260"/>
      <c r="E632" s="261"/>
      <c r="F632" s="186"/>
      <c r="G632" s="186"/>
      <c r="H632" s="80"/>
      <c r="I632" s="80"/>
      <c r="J632" s="185"/>
      <c r="K632" s="91"/>
      <c r="L632" s="98"/>
      <c r="M632" s="177"/>
      <c r="N632" s="177"/>
      <c r="O632" s="177"/>
      <c r="P632" s="137" t="str">
        <f t="shared" si="38"/>
        <v>-</v>
      </c>
    </row>
    <row r="633" spans="2:16" x14ac:dyDescent="0.2">
      <c r="B633" s="45"/>
      <c r="C633" s="43"/>
      <c r="D633" s="260"/>
      <c r="E633" s="261"/>
      <c r="F633" s="186"/>
      <c r="G633" s="186"/>
      <c r="H633" s="80"/>
      <c r="I633" s="80"/>
      <c r="J633" s="185"/>
      <c r="K633" s="91"/>
      <c r="L633" s="98"/>
      <c r="M633" s="177"/>
      <c r="N633" s="177"/>
      <c r="O633" s="177"/>
      <c r="P633" s="137" t="str">
        <f t="shared" si="38"/>
        <v>-</v>
      </c>
    </row>
    <row r="634" spans="2:16" x14ac:dyDescent="0.2">
      <c r="B634" s="45"/>
      <c r="C634" s="42"/>
      <c r="D634" s="260"/>
      <c r="E634" s="261"/>
      <c r="F634" s="186"/>
      <c r="G634" s="186"/>
      <c r="H634" s="80"/>
      <c r="I634" s="80"/>
      <c r="J634" s="185"/>
      <c r="K634" s="91"/>
      <c r="L634" s="98"/>
      <c r="M634" s="177"/>
      <c r="N634" s="177"/>
      <c r="O634" s="177"/>
      <c r="P634" s="137" t="str">
        <f t="shared" si="38"/>
        <v>-</v>
      </c>
    </row>
    <row r="635" spans="2:16" x14ac:dyDescent="0.2">
      <c r="B635" s="45"/>
      <c r="C635" s="43"/>
      <c r="D635" s="260"/>
      <c r="E635" s="261"/>
      <c r="F635" s="186"/>
      <c r="G635" s="186"/>
      <c r="H635" s="80"/>
      <c r="I635" s="80"/>
      <c r="J635" s="185"/>
      <c r="K635" s="91"/>
      <c r="L635" s="98"/>
      <c r="M635" s="177"/>
      <c r="N635" s="177"/>
      <c r="O635" s="177"/>
      <c r="P635" s="137" t="str">
        <f t="shared" si="38"/>
        <v>-</v>
      </c>
    </row>
    <row r="636" spans="2:16" x14ac:dyDescent="0.2">
      <c r="B636" s="45"/>
      <c r="C636" s="43"/>
      <c r="D636" s="260"/>
      <c r="E636" s="261"/>
      <c r="F636" s="186"/>
      <c r="G636" s="186"/>
      <c r="H636" s="80"/>
      <c r="I636" s="80"/>
      <c r="J636" s="185"/>
      <c r="K636" s="91"/>
      <c r="L636" s="98"/>
      <c r="M636" s="177"/>
      <c r="N636" s="177"/>
      <c r="O636" s="177"/>
      <c r="P636" s="137" t="str">
        <f t="shared" si="38"/>
        <v>-</v>
      </c>
    </row>
    <row r="637" spans="2:16" x14ac:dyDescent="0.2">
      <c r="B637" s="45"/>
      <c r="C637" s="42"/>
      <c r="D637" s="260"/>
      <c r="E637" s="261"/>
      <c r="F637" s="186"/>
      <c r="G637" s="186"/>
      <c r="H637" s="80"/>
      <c r="I637" s="80"/>
      <c r="J637" s="185"/>
      <c r="K637" s="91"/>
      <c r="L637" s="98"/>
      <c r="M637" s="177"/>
      <c r="N637" s="177"/>
      <c r="O637" s="177"/>
      <c r="P637" s="137" t="str">
        <f t="shared" si="38"/>
        <v>-</v>
      </c>
    </row>
    <row r="638" spans="2:16" x14ac:dyDescent="0.2">
      <c r="B638" s="45"/>
      <c r="C638" s="43"/>
      <c r="D638" s="260"/>
      <c r="E638" s="261"/>
      <c r="F638" s="186"/>
      <c r="G638" s="186"/>
      <c r="H638" s="80"/>
      <c r="I638" s="80"/>
      <c r="J638" s="185"/>
      <c r="K638" s="91"/>
      <c r="L638" s="98"/>
      <c r="M638" s="177"/>
      <c r="N638" s="177"/>
      <c r="O638" s="177"/>
      <c r="P638" s="137" t="str">
        <f t="shared" si="38"/>
        <v>-</v>
      </c>
    </row>
    <row r="639" spans="2:16" x14ac:dyDescent="0.2">
      <c r="B639" s="45"/>
      <c r="C639" s="43"/>
      <c r="D639" s="260"/>
      <c r="E639" s="261"/>
      <c r="F639" s="186"/>
      <c r="G639" s="186"/>
      <c r="H639" s="80"/>
      <c r="I639" s="80"/>
      <c r="J639" s="185"/>
      <c r="K639" s="91"/>
      <c r="L639" s="98"/>
      <c r="M639" s="177"/>
      <c r="N639" s="177"/>
      <c r="O639" s="177"/>
      <c r="P639" s="137" t="str">
        <f t="shared" si="38"/>
        <v>-</v>
      </c>
    </row>
    <row r="640" spans="2:16" x14ac:dyDescent="0.2">
      <c r="B640" s="45"/>
      <c r="C640" s="42"/>
      <c r="D640" s="260"/>
      <c r="E640" s="261"/>
      <c r="F640" s="186"/>
      <c r="G640" s="186"/>
      <c r="H640" s="80"/>
      <c r="I640" s="80"/>
      <c r="J640" s="185"/>
      <c r="K640" s="91"/>
      <c r="L640" s="98"/>
      <c r="M640" s="177"/>
      <c r="N640" s="177"/>
      <c r="O640" s="177"/>
      <c r="P640" s="137" t="str">
        <f t="shared" ref="P640:P703" si="39">IF(H639="","-",IF(K639="","",K639))</f>
        <v>-</v>
      </c>
    </row>
    <row r="641" spans="2:16" x14ac:dyDescent="0.2">
      <c r="B641" s="45"/>
      <c r="C641" s="43"/>
      <c r="D641" s="260"/>
      <c r="E641" s="261"/>
      <c r="F641" s="186"/>
      <c r="G641" s="186"/>
      <c r="H641" s="80"/>
      <c r="I641" s="80"/>
      <c r="J641" s="185"/>
      <c r="K641" s="91"/>
      <c r="L641" s="98"/>
      <c r="M641" s="177"/>
      <c r="N641" s="177"/>
      <c r="O641" s="177"/>
      <c r="P641" s="137" t="str">
        <f t="shared" si="39"/>
        <v>-</v>
      </c>
    </row>
    <row r="642" spans="2:16" x14ac:dyDescent="0.2">
      <c r="B642" s="45"/>
      <c r="C642" s="43"/>
      <c r="D642" s="260"/>
      <c r="E642" s="261"/>
      <c r="F642" s="186"/>
      <c r="G642" s="186"/>
      <c r="H642" s="80"/>
      <c r="I642" s="80"/>
      <c r="J642" s="185"/>
      <c r="K642" s="91"/>
      <c r="L642" s="98"/>
      <c r="M642" s="177"/>
      <c r="N642" s="177"/>
      <c r="O642" s="177"/>
      <c r="P642" s="137" t="str">
        <f t="shared" si="39"/>
        <v>-</v>
      </c>
    </row>
    <row r="643" spans="2:16" x14ac:dyDescent="0.2">
      <c r="B643" s="45"/>
      <c r="C643" s="42"/>
      <c r="D643" s="260"/>
      <c r="E643" s="261"/>
      <c r="F643" s="186"/>
      <c r="G643" s="186"/>
      <c r="H643" s="80"/>
      <c r="I643" s="80"/>
      <c r="J643" s="185"/>
      <c r="K643" s="91"/>
      <c r="L643" s="98"/>
      <c r="M643" s="177"/>
      <c r="N643" s="177"/>
      <c r="O643" s="177"/>
      <c r="P643" s="137" t="str">
        <f t="shared" si="39"/>
        <v>-</v>
      </c>
    </row>
    <row r="644" spans="2:16" x14ac:dyDescent="0.2">
      <c r="B644" s="45"/>
      <c r="C644" s="43"/>
      <c r="D644" s="260"/>
      <c r="E644" s="261"/>
      <c r="F644" s="186"/>
      <c r="G644" s="186"/>
      <c r="H644" s="80"/>
      <c r="I644" s="80"/>
      <c r="J644" s="185"/>
      <c r="K644" s="91"/>
      <c r="L644" s="98"/>
      <c r="M644" s="177"/>
      <c r="N644" s="177"/>
      <c r="O644" s="177"/>
      <c r="P644" s="137" t="str">
        <f t="shared" si="39"/>
        <v>-</v>
      </c>
    </row>
    <row r="645" spans="2:16" x14ac:dyDescent="0.2">
      <c r="B645" s="45"/>
      <c r="C645" s="43"/>
      <c r="D645" s="260"/>
      <c r="E645" s="261"/>
      <c r="F645" s="186"/>
      <c r="G645" s="186"/>
      <c r="H645" s="80"/>
      <c r="I645" s="80"/>
      <c r="J645" s="185"/>
      <c r="K645" s="91"/>
      <c r="L645" s="98"/>
      <c r="M645" s="177"/>
      <c r="N645" s="177"/>
      <c r="O645" s="177"/>
      <c r="P645" s="137" t="str">
        <f t="shared" si="39"/>
        <v>-</v>
      </c>
    </row>
    <row r="646" spans="2:16" x14ac:dyDescent="0.2">
      <c r="B646" s="45"/>
      <c r="C646" s="42"/>
      <c r="D646" s="260"/>
      <c r="E646" s="261"/>
      <c r="F646" s="186"/>
      <c r="G646" s="186"/>
      <c r="H646" s="80"/>
      <c r="I646" s="80"/>
      <c r="J646" s="185"/>
      <c r="K646" s="91"/>
      <c r="L646" s="98"/>
      <c r="M646" s="177"/>
      <c r="N646" s="177"/>
      <c r="O646" s="177"/>
      <c r="P646" s="137" t="str">
        <f t="shared" si="39"/>
        <v>-</v>
      </c>
    </row>
    <row r="647" spans="2:16" x14ac:dyDescent="0.2">
      <c r="B647" s="45"/>
      <c r="C647" s="43"/>
      <c r="D647" s="260"/>
      <c r="E647" s="261"/>
      <c r="F647" s="186"/>
      <c r="G647" s="186"/>
      <c r="H647" s="80"/>
      <c r="I647" s="80"/>
      <c r="J647" s="185"/>
      <c r="K647" s="91"/>
      <c r="L647" s="98"/>
      <c r="M647" s="177"/>
      <c r="N647" s="177"/>
      <c r="O647" s="177"/>
      <c r="P647" s="137" t="str">
        <f t="shared" si="39"/>
        <v>-</v>
      </c>
    </row>
    <row r="648" spans="2:16" x14ac:dyDescent="0.2">
      <c r="B648" s="45"/>
      <c r="C648" s="43"/>
      <c r="D648" s="260"/>
      <c r="E648" s="261"/>
      <c r="F648" s="186"/>
      <c r="G648" s="186"/>
      <c r="H648" s="80"/>
      <c r="I648" s="80"/>
      <c r="J648" s="185"/>
      <c r="K648" s="91"/>
      <c r="L648" s="98"/>
      <c r="M648" s="177"/>
      <c r="N648" s="177"/>
      <c r="O648" s="177"/>
      <c r="P648" s="137" t="str">
        <f t="shared" si="39"/>
        <v>-</v>
      </c>
    </row>
    <row r="649" spans="2:16" x14ac:dyDescent="0.2">
      <c r="B649" s="45"/>
      <c r="C649" s="42"/>
      <c r="D649" s="260"/>
      <c r="E649" s="261"/>
      <c r="F649" s="186"/>
      <c r="G649" s="186"/>
      <c r="H649" s="80"/>
      <c r="I649" s="80"/>
      <c r="J649" s="185"/>
      <c r="K649" s="91"/>
      <c r="L649" s="98"/>
      <c r="M649" s="177"/>
      <c r="N649" s="177"/>
      <c r="O649" s="177"/>
      <c r="P649" s="137" t="str">
        <f t="shared" si="39"/>
        <v>-</v>
      </c>
    </row>
    <row r="650" spans="2:16" x14ac:dyDescent="0.2">
      <c r="B650" s="45"/>
      <c r="C650" s="43"/>
      <c r="D650" s="260"/>
      <c r="E650" s="261"/>
      <c r="F650" s="186"/>
      <c r="G650" s="186"/>
      <c r="H650" s="80"/>
      <c r="I650" s="80"/>
      <c r="J650" s="185"/>
      <c r="K650" s="91"/>
      <c r="L650" s="98"/>
      <c r="M650" s="177"/>
      <c r="N650" s="177"/>
      <c r="O650" s="177"/>
      <c r="P650" s="137" t="str">
        <f t="shared" si="39"/>
        <v>-</v>
      </c>
    </row>
    <row r="651" spans="2:16" x14ac:dyDescent="0.2">
      <c r="B651" s="45"/>
      <c r="C651" s="43"/>
      <c r="D651" s="260"/>
      <c r="E651" s="261"/>
      <c r="F651" s="186"/>
      <c r="G651" s="186"/>
      <c r="H651" s="80"/>
      <c r="I651" s="80"/>
      <c r="J651" s="185"/>
      <c r="K651" s="91"/>
      <c r="L651" s="98"/>
      <c r="M651" s="177"/>
      <c r="N651" s="177"/>
      <c r="O651" s="177"/>
      <c r="P651" s="137" t="str">
        <f t="shared" si="39"/>
        <v>-</v>
      </c>
    </row>
    <row r="652" spans="2:16" x14ac:dyDescent="0.2">
      <c r="B652" s="45"/>
      <c r="C652" s="42"/>
      <c r="D652" s="260"/>
      <c r="E652" s="261"/>
      <c r="F652" s="186"/>
      <c r="G652" s="186"/>
      <c r="H652" s="80"/>
      <c r="I652" s="80"/>
      <c r="J652" s="185"/>
      <c r="K652" s="91"/>
      <c r="L652" s="98"/>
      <c r="M652" s="177"/>
      <c r="N652" s="177"/>
      <c r="O652" s="177"/>
      <c r="P652" s="137" t="str">
        <f t="shared" si="39"/>
        <v>-</v>
      </c>
    </row>
    <row r="653" spans="2:16" x14ac:dyDescent="0.2">
      <c r="B653" s="45"/>
      <c r="C653" s="43"/>
      <c r="D653" s="260"/>
      <c r="E653" s="261"/>
      <c r="F653" s="186"/>
      <c r="G653" s="186"/>
      <c r="H653" s="80"/>
      <c r="I653" s="80"/>
      <c r="J653" s="185"/>
      <c r="K653" s="91"/>
      <c r="L653" s="98"/>
      <c r="M653" s="177"/>
      <c r="N653" s="177"/>
      <c r="O653" s="177"/>
      <c r="P653" s="137" t="str">
        <f t="shared" si="39"/>
        <v>-</v>
      </c>
    </row>
    <row r="654" spans="2:16" x14ac:dyDescent="0.2">
      <c r="B654" s="45"/>
      <c r="C654" s="43"/>
      <c r="D654" s="260"/>
      <c r="E654" s="261"/>
      <c r="F654" s="186"/>
      <c r="G654" s="186"/>
      <c r="H654" s="80"/>
      <c r="I654" s="80"/>
      <c r="J654" s="185"/>
      <c r="K654" s="91"/>
      <c r="L654" s="98"/>
      <c r="M654" s="177"/>
      <c r="N654" s="177"/>
      <c r="O654" s="177"/>
      <c r="P654" s="137" t="str">
        <f t="shared" si="39"/>
        <v>-</v>
      </c>
    </row>
    <row r="655" spans="2:16" x14ac:dyDescent="0.2">
      <c r="B655" s="45"/>
      <c r="C655" s="42"/>
      <c r="D655" s="260"/>
      <c r="E655" s="261"/>
      <c r="F655" s="186"/>
      <c r="G655" s="186"/>
      <c r="H655" s="80"/>
      <c r="I655" s="80"/>
      <c r="J655" s="185"/>
      <c r="K655" s="91"/>
      <c r="L655" s="98"/>
      <c r="M655" s="177"/>
      <c r="N655" s="177"/>
      <c r="O655" s="177"/>
      <c r="P655" s="137" t="str">
        <f t="shared" si="39"/>
        <v>-</v>
      </c>
    </row>
    <row r="656" spans="2:16" x14ac:dyDescent="0.2">
      <c r="B656" s="45"/>
      <c r="C656" s="43"/>
      <c r="D656" s="260"/>
      <c r="E656" s="261"/>
      <c r="F656" s="186"/>
      <c r="G656" s="186"/>
      <c r="H656" s="80"/>
      <c r="I656" s="80"/>
      <c r="J656" s="185"/>
      <c r="K656" s="91"/>
      <c r="L656" s="98"/>
      <c r="M656" s="177"/>
      <c r="N656" s="177"/>
      <c r="O656" s="177"/>
      <c r="P656" s="137" t="str">
        <f t="shared" si="39"/>
        <v>-</v>
      </c>
    </row>
    <row r="657" spans="2:16" x14ac:dyDescent="0.2">
      <c r="B657" s="45"/>
      <c r="C657" s="43"/>
      <c r="D657" s="260"/>
      <c r="E657" s="261"/>
      <c r="F657" s="186"/>
      <c r="G657" s="186"/>
      <c r="H657" s="80"/>
      <c r="I657" s="80"/>
      <c r="J657" s="185"/>
      <c r="K657" s="91"/>
      <c r="L657" s="98"/>
      <c r="M657" s="177"/>
      <c r="N657" s="177"/>
      <c r="O657" s="177"/>
      <c r="P657" s="137" t="str">
        <f t="shared" si="39"/>
        <v>-</v>
      </c>
    </row>
    <row r="658" spans="2:16" x14ac:dyDescent="0.2">
      <c r="B658" s="45"/>
      <c r="C658" s="42"/>
      <c r="D658" s="260"/>
      <c r="E658" s="261"/>
      <c r="F658" s="186"/>
      <c r="G658" s="186"/>
      <c r="H658" s="80"/>
      <c r="I658" s="80"/>
      <c r="J658" s="185"/>
      <c r="K658" s="91"/>
      <c r="L658" s="98"/>
      <c r="M658" s="177"/>
      <c r="N658" s="177"/>
      <c r="O658" s="177"/>
      <c r="P658" s="137" t="str">
        <f t="shared" si="39"/>
        <v>-</v>
      </c>
    </row>
    <row r="659" spans="2:16" x14ac:dyDescent="0.2">
      <c r="B659" s="45"/>
      <c r="C659" s="43"/>
      <c r="D659" s="260"/>
      <c r="E659" s="261"/>
      <c r="F659" s="186"/>
      <c r="G659" s="186"/>
      <c r="H659" s="80"/>
      <c r="I659" s="80"/>
      <c r="J659" s="185"/>
      <c r="K659" s="91"/>
      <c r="L659" s="98"/>
      <c r="M659" s="177"/>
      <c r="N659" s="177"/>
      <c r="O659" s="177"/>
      <c r="P659" s="137" t="str">
        <f t="shared" si="39"/>
        <v>-</v>
      </c>
    </row>
    <row r="660" spans="2:16" x14ac:dyDescent="0.2">
      <c r="B660" s="45"/>
      <c r="C660" s="43"/>
      <c r="D660" s="260"/>
      <c r="E660" s="261"/>
      <c r="F660" s="186"/>
      <c r="G660" s="186"/>
      <c r="H660" s="80"/>
      <c r="I660" s="80"/>
      <c r="J660" s="185"/>
      <c r="K660" s="91"/>
      <c r="L660" s="98"/>
      <c r="M660" s="177"/>
      <c r="N660" s="177"/>
      <c r="O660" s="177"/>
      <c r="P660" s="137" t="str">
        <f t="shared" si="39"/>
        <v>-</v>
      </c>
    </row>
    <row r="661" spans="2:16" x14ac:dyDescent="0.2">
      <c r="B661" s="45"/>
      <c r="C661" s="42"/>
      <c r="D661" s="260"/>
      <c r="E661" s="261"/>
      <c r="F661" s="186"/>
      <c r="G661" s="186"/>
      <c r="H661" s="80"/>
      <c r="I661" s="80"/>
      <c r="J661" s="185"/>
      <c r="K661" s="91"/>
      <c r="L661" s="98"/>
      <c r="M661" s="177"/>
      <c r="N661" s="177"/>
      <c r="O661" s="177"/>
      <c r="P661" s="137" t="str">
        <f t="shared" si="39"/>
        <v>-</v>
      </c>
    </row>
    <row r="662" spans="2:16" x14ac:dyDescent="0.2">
      <c r="B662" s="45"/>
      <c r="C662" s="43"/>
      <c r="D662" s="260"/>
      <c r="E662" s="261"/>
      <c r="F662" s="186"/>
      <c r="G662" s="186"/>
      <c r="H662" s="80"/>
      <c r="I662" s="80"/>
      <c r="J662" s="185"/>
      <c r="K662" s="91"/>
      <c r="L662" s="98"/>
      <c r="M662" s="177"/>
      <c r="N662" s="177"/>
      <c r="O662" s="177"/>
      <c r="P662" s="137" t="str">
        <f t="shared" si="39"/>
        <v>-</v>
      </c>
    </row>
    <row r="663" spans="2:16" x14ac:dyDescent="0.2">
      <c r="B663" s="45"/>
      <c r="C663" s="43"/>
      <c r="D663" s="260"/>
      <c r="E663" s="261"/>
      <c r="F663" s="186"/>
      <c r="G663" s="186"/>
      <c r="H663" s="80"/>
      <c r="I663" s="80"/>
      <c r="J663" s="185"/>
      <c r="K663" s="91"/>
      <c r="L663" s="98"/>
      <c r="M663" s="177"/>
      <c r="N663" s="177"/>
      <c r="O663" s="177"/>
      <c r="P663" s="137" t="str">
        <f t="shared" si="39"/>
        <v>-</v>
      </c>
    </row>
    <row r="664" spans="2:16" x14ac:dyDescent="0.2">
      <c r="B664" s="45"/>
      <c r="C664" s="42"/>
      <c r="D664" s="260"/>
      <c r="E664" s="261"/>
      <c r="F664" s="186"/>
      <c r="G664" s="186"/>
      <c r="H664" s="80"/>
      <c r="I664" s="80"/>
      <c r="J664" s="185"/>
      <c r="K664" s="91"/>
      <c r="L664" s="98"/>
      <c r="M664" s="177"/>
      <c r="N664" s="177"/>
      <c r="O664" s="177"/>
      <c r="P664" s="137" t="str">
        <f t="shared" si="39"/>
        <v>-</v>
      </c>
    </row>
    <row r="665" spans="2:16" x14ac:dyDescent="0.2">
      <c r="B665" s="45"/>
      <c r="C665" s="43"/>
      <c r="D665" s="260"/>
      <c r="E665" s="261"/>
      <c r="F665" s="186"/>
      <c r="G665" s="186"/>
      <c r="H665" s="80"/>
      <c r="I665" s="80"/>
      <c r="J665" s="185"/>
      <c r="K665" s="91"/>
      <c r="L665" s="98"/>
      <c r="M665" s="177"/>
      <c r="N665" s="177"/>
      <c r="O665" s="177"/>
      <c r="P665" s="137" t="str">
        <f t="shared" si="39"/>
        <v>-</v>
      </c>
    </row>
    <row r="666" spans="2:16" x14ac:dyDescent="0.2">
      <c r="B666" s="45"/>
      <c r="C666" s="43"/>
      <c r="D666" s="260"/>
      <c r="E666" s="261"/>
      <c r="F666" s="186"/>
      <c r="G666" s="186"/>
      <c r="H666" s="80"/>
      <c r="I666" s="80"/>
      <c r="J666" s="185"/>
      <c r="K666" s="91"/>
      <c r="L666" s="98"/>
      <c r="M666" s="177"/>
      <c r="N666" s="177"/>
      <c r="O666" s="177"/>
      <c r="P666" s="137" t="str">
        <f t="shared" si="39"/>
        <v>-</v>
      </c>
    </row>
    <row r="667" spans="2:16" x14ac:dyDescent="0.2">
      <c r="B667" s="45"/>
      <c r="C667" s="42"/>
      <c r="D667" s="260"/>
      <c r="E667" s="261"/>
      <c r="F667" s="186"/>
      <c r="G667" s="186"/>
      <c r="H667" s="80"/>
      <c r="I667" s="80"/>
      <c r="J667" s="185"/>
      <c r="K667" s="91"/>
      <c r="L667" s="98"/>
      <c r="M667" s="177"/>
      <c r="N667" s="177"/>
      <c r="O667" s="177"/>
      <c r="P667" s="137" t="str">
        <f t="shared" si="39"/>
        <v>-</v>
      </c>
    </row>
    <row r="668" spans="2:16" x14ac:dyDescent="0.2">
      <c r="B668" s="45"/>
      <c r="C668" s="43"/>
      <c r="D668" s="260"/>
      <c r="E668" s="261"/>
      <c r="F668" s="186"/>
      <c r="G668" s="186"/>
      <c r="H668" s="80"/>
      <c r="I668" s="80"/>
      <c r="J668" s="185"/>
      <c r="K668" s="91"/>
      <c r="L668" s="98"/>
      <c r="M668" s="177"/>
      <c r="N668" s="177"/>
      <c r="O668" s="177"/>
      <c r="P668" s="137" t="str">
        <f t="shared" si="39"/>
        <v>-</v>
      </c>
    </row>
    <row r="669" spans="2:16" x14ac:dyDescent="0.2">
      <c r="B669" s="45"/>
      <c r="C669" s="43"/>
      <c r="D669" s="260"/>
      <c r="E669" s="261"/>
      <c r="F669" s="186"/>
      <c r="G669" s="186"/>
      <c r="H669" s="80"/>
      <c r="I669" s="80"/>
      <c r="J669" s="185"/>
      <c r="K669" s="91"/>
      <c r="L669" s="98"/>
      <c r="M669" s="177"/>
      <c r="N669" s="177"/>
      <c r="O669" s="177"/>
      <c r="P669" s="137" t="str">
        <f t="shared" si="39"/>
        <v>-</v>
      </c>
    </row>
    <row r="670" spans="2:16" x14ac:dyDescent="0.2">
      <c r="B670" s="45"/>
      <c r="C670" s="42"/>
      <c r="D670" s="260"/>
      <c r="E670" s="261"/>
      <c r="F670" s="186"/>
      <c r="G670" s="186"/>
      <c r="H670" s="80"/>
      <c r="I670" s="80"/>
      <c r="J670" s="185"/>
      <c r="K670" s="91"/>
      <c r="L670" s="98"/>
      <c r="M670" s="177"/>
      <c r="N670" s="177"/>
      <c r="O670" s="177"/>
      <c r="P670" s="137" t="str">
        <f t="shared" si="39"/>
        <v>-</v>
      </c>
    </row>
    <row r="671" spans="2:16" x14ac:dyDescent="0.2">
      <c r="B671" s="45"/>
      <c r="C671" s="43"/>
      <c r="D671" s="260"/>
      <c r="E671" s="261"/>
      <c r="F671" s="186"/>
      <c r="G671" s="186"/>
      <c r="H671" s="80"/>
      <c r="I671" s="80"/>
      <c r="J671" s="185"/>
      <c r="K671" s="91"/>
      <c r="L671" s="98"/>
      <c r="M671" s="177"/>
      <c r="N671" s="177"/>
      <c r="O671" s="177"/>
      <c r="P671" s="137" t="str">
        <f t="shared" si="39"/>
        <v>-</v>
      </c>
    </row>
    <row r="672" spans="2:16" x14ac:dyDescent="0.2">
      <c r="B672" s="45"/>
      <c r="C672" s="43"/>
      <c r="D672" s="260"/>
      <c r="E672" s="261"/>
      <c r="F672" s="186"/>
      <c r="G672" s="186"/>
      <c r="H672" s="80"/>
      <c r="I672" s="80"/>
      <c r="J672" s="185"/>
      <c r="K672" s="91"/>
      <c r="L672" s="98"/>
      <c r="M672" s="177"/>
      <c r="N672" s="177"/>
      <c r="O672" s="177"/>
      <c r="P672" s="137" t="str">
        <f t="shared" si="39"/>
        <v>-</v>
      </c>
    </row>
    <row r="673" spans="2:16" x14ac:dyDescent="0.2">
      <c r="B673" s="45"/>
      <c r="C673" s="42"/>
      <c r="D673" s="260"/>
      <c r="E673" s="261"/>
      <c r="F673" s="186"/>
      <c r="G673" s="186"/>
      <c r="H673" s="80"/>
      <c r="I673" s="80"/>
      <c r="J673" s="185"/>
      <c r="K673" s="91"/>
      <c r="L673" s="98"/>
      <c r="M673" s="177"/>
      <c r="N673" s="177"/>
      <c r="O673" s="177"/>
      <c r="P673" s="137" t="str">
        <f t="shared" si="39"/>
        <v>-</v>
      </c>
    </row>
    <row r="674" spans="2:16" x14ac:dyDescent="0.2">
      <c r="B674" s="45"/>
      <c r="C674" s="43"/>
      <c r="D674" s="260"/>
      <c r="E674" s="261"/>
      <c r="F674" s="186"/>
      <c r="G674" s="186"/>
      <c r="H674" s="80"/>
      <c r="I674" s="80"/>
      <c r="J674" s="185"/>
      <c r="K674" s="91"/>
      <c r="L674" s="98"/>
      <c r="M674" s="177"/>
      <c r="N674" s="177"/>
      <c r="O674" s="177"/>
      <c r="P674" s="137" t="str">
        <f t="shared" si="39"/>
        <v>-</v>
      </c>
    </row>
    <row r="675" spans="2:16" x14ac:dyDescent="0.2">
      <c r="B675" s="45"/>
      <c r="C675" s="43"/>
      <c r="D675" s="260"/>
      <c r="E675" s="261"/>
      <c r="F675" s="186"/>
      <c r="G675" s="186"/>
      <c r="H675" s="80"/>
      <c r="I675" s="80"/>
      <c r="J675" s="185"/>
      <c r="K675" s="91"/>
      <c r="L675" s="98"/>
      <c r="M675" s="177"/>
      <c r="N675" s="177"/>
      <c r="O675" s="177"/>
      <c r="P675" s="137" t="str">
        <f t="shared" si="39"/>
        <v>-</v>
      </c>
    </row>
    <row r="676" spans="2:16" x14ac:dyDescent="0.2">
      <c r="B676" s="45"/>
      <c r="C676" s="42"/>
      <c r="D676" s="260"/>
      <c r="E676" s="261"/>
      <c r="F676" s="186"/>
      <c r="G676" s="186"/>
      <c r="H676" s="80"/>
      <c r="I676" s="80"/>
      <c r="J676" s="185"/>
      <c r="K676" s="91"/>
      <c r="L676" s="98"/>
      <c r="M676" s="177"/>
      <c r="N676" s="177"/>
      <c r="O676" s="177"/>
      <c r="P676" s="137" t="str">
        <f t="shared" si="39"/>
        <v>-</v>
      </c>
    </row>
    <row r="677" spans="2:16" x14ac:dyDescent="0.2">
      <c r="B677" s="45"/>
      <c r="C677" s="43"/>
      <c r="D677" s="260"/>
      <c r="E677" s="261"/>
      <c r="F677" s="186"/>
      <c r="G677" s="186"/>
      <c r="H677" s="80"/>
      <c r="I677" s="80"/>
      <c r="J677" s="185"/>
      <c r="K677" s="91"/>
      <c r="L677" s="98"/>
      <c r="M677" s="177"/>
      <c r="N677" s="177"/>
      <c r="O677" s="177"/>
      <c r="P677" s="137" t="str">
        <f t="shared" si="39"/>
        <v>-</v>
      </c>
    </row>
    <row r="678" spans="2:16" x14ac:dyDescent="0.2">
      <c r="B678" s="45"/>
      <c r="C678" s="43"/>
      <c r="D678" s="260"/>
      <c r="E678" s="261"/>
      <c r="F678" s="186"/>
      <c r="G678" s="186"/>
      <c r="H678" s="80"/>
      <c r="I678" s="80"/>
      <c r="J678" s="185"/>
      <c r="K678" s="91"/>
      <c r="L678" s="98"/>
      <c r="M678" s="177"/>
      <c r="N678" s="177"/>
      <c r="O678" s="177"/>
      <c r="P678" s="137" t="str">
        <f t="shared" si="39"/>
        <v>-</v>
      </c>
    </row>
    <row r="679" spans="2:16" x14ac:dyDescent="0.2">
      <c r="B679" s="45"/>
      <c r="C679" s="42"/>
      <c r="D679" s="260"/>
      <c r="E679" s="261"/>
      <c r="F679" s="186"/>
      <c r="G679" s="186"/>
      <c r="H679" s="80"/>
      <c r="I679" s="80"/>
      <c r="J679" s="185"/>
      <c r="K679" s="91"/>
      <c r="L679" s="98"/>
      <c r="M679" s="177"/>
      <c r="N679" s="177"/>
      <c r="O679" s="177"/>
      <c r="P679" s="137" t="str">
        <f t="shared" si="39"/>
        <v>-</v>
      </c>
    </row>
    <row r="680" spans="2:16" x14ac:dyDescent="0.2">
      <c r="B680" s="45"/>
      <c r="C680" s="43"/>
      <c r="D680" s="260"/>
      <c r="E680" s="261"/>
      <c r="F680" s="186"/>
      <c r="G680" s="186"/>
      <c r="H680" s="80"/>
      <c r="I680" s="80"/>
      <c r="J680" s="185"/>
      <c r="K680" s="91"/>
      <c r="L680" s="98"/>
      <c r="M680" s="177"/>
      <c r="N680" s="177"/>
      <c r="O680" s="177"/>
      <c r="P680" s="137" t="str">
        <f t="shared" si="39"/>
        <v>-</v>
      </c>
    </row>
    <row r="681" spans="2:16" x14ac:dyDescent="0.2">
      <c r="B681" s="45"/>
      <c r="C681" s="43"/>
      <c r="D681" s="260"/>
      <c r="E681" s="261"/>
      <c r="F681" s="186"/>
      <c r="G681" s="186"/>
      <c r="H681" s="80"/>
      <c r="I681" s="80"/>
      <c r="J681" s="185"/>
      <c r="K681" s="91"/>
      <c r="L681" s="98"/>
      <c r="M681" s="177"/>
      <c r="N681" s="177"/>
      <c r="O681" s="177"/>
      <c r="P681" s="137" t="str">
        <f t="shared" si="39"/>
        <v>-</v>
      </c>
    </row>
    <row r="682" spans="2:16" x14ac:dyDescent="0.2">
      <c r="B682" s="45"/>
      <c r="C682" s="42"/>
      <c r="D682" s="260"/>
      <c r="E682" s="261"/>
      <c r="F682" s="186"/>
      <c r="G682" s="186"/>
      <c r="H682" s="80"/>
      <c r="I682" s="80"/>
      <c r="J682" s="185"/>
      <c r="K682" s="91"/>
      <c r="L682" s="98"/>
      <c r="M682" s="177"/>
      <c r="N682" s="177"/>
      <c r="O682" s="177"/>
      <c r="P682" s="137" t="str">
        <f t="shared" si="39"/>
        <v>-</v>
      </c>
    </row>
    <row r="683" spans="2:16" x14ac:dyDescent="0.2">
      <c r="B683" s="45"/>
      <c r="C683" s="43"/>
      <c r="D683" s="260"/>
      <c r="E683" s="261"/>
      <c r="F683" s="186"/>
      <c r="G683" s="186"/>
      <c r="H683" s="80"/>
      <c r="I683" s="80"/>
      <c r="J683" s="185"/>
      <c r="K683" s="91"/>
      <c r="L683" s="98"/>
      <c r="M683" s="177"/>
      <c r="N683" s="177"/>
      <c r="O683" s="177"/>
      <c r="P683" s="137" t="str">
        <f t="shared" si="39"/>
        <v>-</v>
      </c>
    </row>
    <row r="684" spans="2:16" x14ac:dyDescent="0.2">
      <c r="B684" s="45"/>
      <c r="C684" s="43"/>
      <c r="D684" s="260"/>
      <c r="E684" s="261"/>
      <c r="F684" s="186"/>
      <c r="G684" s="186"/>
      <c r="H684" s="80"/>
      <c r="I684" s="80"/>
      <c r="J684" s="185"/>
      <c r="K684" s="91"/>
      <c r="L684" s="98"/>
      <c r="M684" s="177"/>
      <c r="N684" s="177"/>
      <c r="O684" s="177"/>
      <c r="P684" s="137" t="str">
        <f t="shared" si="39"/>
        <v>-</v>
      </c>
    </row>
    <row r="685" spans="2:16" x14ac:dyDescent="0.2">
      <c r="B685" s="45"/>
      <c r="C685" s="42"/>
      <c r="D685" s="260"/>
      <c r="E685" s="261"/>
      <c r="F685" s="186"/>
      <c r="G685" s="186"/>
      <c r="H685" s="80"/>
      <c r="I685" s="80"/>
      <c r="J685" s="185"/>
      <c r="K685" s="91"/>
      <c r="L685" s="98"/>
      <c r="M685" s="177"/>
      <c r="N685" s="177"/>
      <c r="O685" s="177"/>
      <c r="P685" s="137" t="str">
        <f t="shared" si="39"/>
        <v>-</v>
      </c>
    </row>
    <row r="686" spans="2:16" x14ac:dyDescent="0.2">
      <c r="B686" s="45"/>
      <c r="C686" s="43"/>
      <c r="D686" s="260"/>
      <c r="E686" s="261"/>
      <c r="F686" s="186"/>
      <c r="G686" s="186"/>
      <c r="H686" s="80"/>
      <c r="I686" s="80"/>
      <c r="J686" s="185"/>
      <c r="K686" s="91"/>
      <c r="L686" s="98"/>
      <c r="M686" s="177"/>
      <c r="N686" s="177"/>
      <c r="O686" s="177"/>
      <c r="P686" s="137" t="str">
        <f t="shared" si="39"/>
        <v>-</v>
      </c>
    </row>
    <row r="687" spans="2:16" x14ac:dyDescent="0.2">
      <c r="B687" s="45"/>
      <c r="C687" s="43"/>
      <c r="D687" s="260"/>
      <c r="E687" s="261"/>
      <c r="F687" s="186"/>
      <c r="G687" s="186"/>
      <c r="H687" s="80"/>
      <c r="I687" s="80"/>
      <c r="J687" s="185"/>
      <c r="K687" s="91"/>
      <c r="L687" s="98"/>
      <c r="M687" s="177"/>
      <c r="N687" s="177"/>
      <c r="O687" s="177"/>
      <c r="P687" s="137" t="str">
        <f t="shared" si="39"/>
        <v>-</v>
      </c>
    </row>
    <row r="688" spans="2:16" x14ac:dyDescent="0.2">
      <c r="B688" s="45"/>
      <c r="C688" s="42"/>
      <c r="D688" s="260"/>
      <c r="E688" s="261"/>
      <c r="F688" s="186"/>
      <c r="G688" s="186"/>
      <c r="H688" s="80"/>
      <c r="I688" s="80"/>
      <c r="J688" s="185"/>
      <c r="K688" s="91"/>
      <c r="L688" s="98"/>
      <c r="M688" s="177"/>
      <c r="N688" s="177"/>
      <c r="O688" s="177"/>
      <c r="P688" s="137" t="str">
        <f t="shared" si="39"/>
        <v>-</v>
      </c>
    </row>
    <row r="689" spans="2:16" x14ac:dyDescent="0.2">
      <c r="B689" s="45"/>
      <c r="C689" s="43"/>
      <c r="D689" s="260"/>
      <c r="E689" s="261"/>
      <c r="F689" s="186"/>
      <c r="G689" s="186"/>
      <c r="H689" s="80"/>
      <c r="I689" s="80"/>
      <c r="J689" s="185"/>
      <c r="K689" s="91"/>
      <c r="L689" s="98"/>
      <c r="M689" s="177"/>
      <c r="N689" s="177"/>
      <c r="O689" s="177"/>
      <c r="P689" s="137" t="str">
        <f t="shared" si="39"/>
        <v>-</v>
      </c>
    </row>
    <row r="690" spans="2:16" x14ac:dyDescent="0.2">
      <c r="B690" s="45"/>
      <c r="C690" s="43"/>
      <c r="D690" s="260"/>
      <c r="E690" s="261"/>
      <c r="F690" s="186"/>
      <c r="G690" s="186"/>
      <c r="H690" s="80"/>
      <c r="I690" s="80"/>
      <c r="J690" s="185"/>
      <c r="K690" s="91"/>
      <c r="L690" s="98"/>
      <c r="M690" s="177"/>
      <c r="N690" s="177"/>
      <c r="O690" s="177"/>
      <c r="P690" s="137" t="str">
        <f t="shared" si="39"/>
        <v>-</v>
      </c>
    </row>
    <row r="691" spans="2:16" x14ac:dyDescent="0.2">
      <c r="B691" s="45"/>
      <c r="C691" s="42"/>
      <c r="D691" s="260"/>
      <c r="E691" s="261"/>
      <c r="F691" s="186"/>
      <c r="G691" s="186"/>
      <c r="H691" s="80"/>
      <c r="I691" s="80"/>
      <c r="J691" s="185"/>
      <c r="K691" s="91"/>
      <c r="L691" s="98"/>
      <c r="M691" s="177"/>
      <c r="N691" s="177"/>
      <c r="O691" s="177"/>
      <c r="P691" s="137" t="str">
        <f t="shared" si="39"/>
        <v>-</v>
      </c>
    </row>
    <row r="692" spans="2:16" x14ac:dyDescent="0.2">
      <c r="B692" s="45"/>
      <c r="C692" s="43"/>
      <c r="D692" s="260"/>
      <c r="E692" s="261"/>
      <c r="F692" s="186"/>
      <c r="G692" s="186"/>
      <c r="H692" s="80"/>
      <c r="I692" s="80"/>
      <c r="J692" s="185"/>
      <c r="K692" s="91"/>
      <c r="L692" s="98"/>
      <c r="M692" s="177"/>
      <c r="N692" s="177"/>
      <c r="O692" s="177"/>
      <c r="P692" s="137" t="str">
        <f t="shared" si="39"/>
        <v>-</v>
      </c>
    </row>
    <row r="693" spans="2:16" x14ac:dyDescent="0.2">
      <c r="B693" s="45"/>
      <c r="C693" s="43"/>
      <c r="D693" s="260"/>
      <c r="E693" s="261"/>
      <c r="F693" s="186"/>
      <c r="G693" s="186"/>
      <c r="H693" s="80"/>
      <c r="I693" s="80"/>
      <c r="J693" s="185"/>
      <c r="K693" s="91"/>
      <c r="L693" s="98"/>
      <c r="M693" s="177"/>
      <c r="N693" s="177"/>
      <c r="O693" s="177"/>
      <c r="P693" s="137" t="str">
        <f t="shared" si="39"/>
        <v>-</v>
      </c>
    </row>
    <row r="694" spans="2:16" x14ac:dyDescent="0.2">
      <c r="B694" s="45"/>
      <c r="C694" s="42"/>
      <c r="D694" s="260"/>
      <c r="E694" s="261"/>
      <c r="F694" s="186"/>
      <c r="G694" s="186"/>
      <c r="H694" s="80"/>
      <c r="I694" s="80"/>
      <c r="J694" s="185"/>
      <c r="K694" s="91"/>
      <c r="L694" s="98"/>
      <c r="M694" s="177"/>
      <c r="N694" s="177"/>
      <c r="O694" s="177"/>
      <c r="P694" s="137" t="str">
        <f t="shared" si="39"/>
        <v>-</v>
      </c>
    </row>
    <row r="695" spans="2:16" x14ac:dyDescent="0.2">
      <c r="B695" s="45"/>
      <c r="C695" s="43"/>
      <c r="D695" s="260"/>
      <c r="E695" s="261"/>
      <c r="F695" s="186"/>
      <c r="G695" s="186"/>
      <c r="H695" s="80"/>
      <c r="I695" s="80"/>
      <c r="J695" s="185"/>
      <c r="K695" s="91"/>
      <c r="L695" s="98"/>
      <c r="M695" s="177"/>
      <c r="N695" s="177"/>
      <c r="O695" s="177"/>
      <c r="P695" s="137" t="str">
        <f t="shared" si="39"/>
        <v>-</v>
      </c>
    </row>
    <row r="696" spans="2:16" x14ac:dyDescent="0.2">
      <c r="B696" s="45"/>
      <c r="C696" s="43"/>
      <c r="D696" s="260"/>
      <c r="E696" s="261"/>
      <c r="F696" s="186"/>
      <c r="G696" s="186"/>
      <c r="H696" s="80"/>
      <c r="I696" s="80"/>
      <c r="J696" s="185"/>
      <c r="K696" s="91"/>
      <c r="L696" s="98"/>
      <c r="M696" s="177"/>
      <c r="N696" s="177"/>
      <c r="O696" s="177"/>
      <c r="P696" s="137" t="str">
        <f t="shared" si="39"/>
        <v>-</v>
      </c>
    </row>
    <row r="697" spans="2:16" x14ac:dyDescent="0.2">
      <c r="B697" s="45"/>
      <c r="C697" s="42"/>
      <c r="D697" s="260"/>
      <c r="E697" s="261"/>
      <c r="F697" s="186"/>
      <c r="G697" s="186"/>
      <c r="H697" s="80"/>
      <c r="I697" s="80"/>
      <c r="J697" s="185"/>
      <c r="K697" s="91"/>
      <c r="L697" s="98"/>
      <c r="M697" s="177"/>
      <c r="N697" s="177"/>
      <c r="O697" s="177"/>
      <c r="P697" s="137" t="str">
        <f t="shared" si="39"/>
        <v>-</v>
      </c>
    </row>
    <row r="698" spans="2:16" x14ac:dyDescent="0.2">
      <c r="B698" s="45"/>
      <c r="C698" s="43"/>
      <c r="D698" s="260"/>
      <c r="E698" s="261"/>
      <c r="F698" s="186"/>
      <c r="G698" s="186"/>
      <c r="H698" s="80"/>
      <c r="I698" s="80"/>
      <c r="J698" s="185"/>
      <c r="K698" s="91"/>
      <c r="L698" s="98"/>
      <c r="M698" s="177"/>
      <c r="N698" s="177"/>
      <c r="O698" s="177"/>
      <c r="P698" s="137" t="str">
        <f t="shared" si="39"/>
        <v>-</v>
      </c>
    </row>
    <row r="699" spans="2:16" x14ac:dyDescent="0.2">
      <c r="B699" s="45"/>
      <c r="C699" s="43"/>
      <c r="D699" s="260"/>
      <c r="E699" s="261"/>
      <c r="F699" s="186"/>
      <c r="G699" s="186"/>
      <c r="H699" s="80"/>
      <c r="I699" s="80"/>
      <c r="J699" s="185"/>
      <c r="K699" s="91"/>
      <c r="L699" s="98"/>
      <c r="M699" s="177"/>
      <c r="N699" s="177"/>
      <c r="O699" s="177"/>
      <c r="P699" s="137" t="str">
        <f t="shared" si="39"/>
        <v>-</v>
      </c>
    </row>
    <row r="700" spans="2:16" x14ac:dyDescent="0.2">
      <c r="B700" s="45"/>
      <c r="C700" s="42"/>
      <c r="D700" s="260"/>
      <c r="E700" s="261"/>
      <c r="F700" s="186"/>
      <c r="G700" s="186"/>
      <c r="H700" s="80"/>
      <c r="I700" s="80"/>
      <c r="J700" s="185"/>
      <c r="K700" s="91"/>
      <c r="L700" s="98"/>
      <c r="M700" s="177"/>
      <c r="N700" s="177"/>
      <c r="O700" s="177"/>
      <c r="P700" s="137" t="str">
        <f t="shared" si="39"/>
        <v>-</v>
      </c>
    </row>
    <row r="701" spans="2:16" x14ac:dyDescent="0.2">
      <c r="B701" s="45"/>
      <c r="C701" s="43"/>
      <c r="D701" s="260"/>
      <c r="E701" s="261"/>
      <c r="F701" s="186"/>
      <c r="G701" s="186"/>
      <c r="H701" s="80"/>
      <c r="I701" s="80"/>
      <c r="J701" s="185"/>
      <c r="K701" s="91"/>
      <c r="L701" s="98"/>
      <c r="M701" s="177"/>
      <c r="N701" s="177"/>
      <c r="O701" s="177"/>
      <c r="P701" s="137" t="str">
        <f t="shared" si="39"/>
        <v>-</v>
      </c>
    </row>
    <row r="702" spans="2:16" x14ac:dyDescent="0.2">
      <c r="B702" s="45"/>
      <c r="C702" s="43"/>
      <c r="D702" s="260"/>
      <c r="E702" s="261"/>
      <c r="F702" s="186"/>
      <c r="G702" s="186"/>
      <c r="H702" s="80"/>
      <c r="I702" s="80"/>
      <c r="J702" s="185"/>
      <c r="K702" s="91"/>
      <c r="L702" s="98"/>
      <c r="M702" s="177"/>
      <c r="N702" s="177"/>
      <c r="O702" s="177"/>
      <c r="P702" s="137" t="str">
        <f t="shared" si="39"/>
        <v>-</v>
      </c>
    </row>
    <row r="703" spans="2:16" x14ac:dyDescent="0.2">
      <c r="B703" s="45"/>
      <c r="C703" s="42"/>
      <c r="D703" s="260"/>
      <c r="E703" s="261"/>
      <c r="F703" s="186"/>
      <c r="G703" s="186"/>
      <c r="H703" s="80"/>
      <c r="I703" s="80"/>
      <c r="J703" s="185"/>
      <c r="K703" s="91"/>
      <c r="L703" s="98"/>
      <c r="M703" s="177"/>
      <c r="N703" s="177"/>
      <c r="O703" s="177"/>
      <c r="P703" s="137" t="str">
        <f t="shared" si="39"/>
        <v>-</v>
      </c>
    </row>
    <row r="704" spans="2:16" x14ac:dyDescent="0.2">
      <c r="B704" s="45"/>
      <c r="C704" s="43"/>
      <c r="D704" s="260"/>
      <c r="E704" s="261"/>
      <c r="F704" s="186"/>
      <c r="G704" s="186"/>
      <c r="H704" s="80"/>
      <c r="I704" s="80"/>
      <c r="J704" s="185"/>
      <c r="K704" s="91"/>
      <c r="L704" s="98"/>
      <c r="M704" s="177"/>
      <c r="N704" s="177"/>
      <c r="O704" s="177"/>
      <c r="P704" s="137" t="str">
        <f t="shared" ref="P704:P764" si="40">IF(H703="","-",IF(K703="","",K703))</f>
        <v>-</v>
      </c>
    </row>
    <row r="705" spans="2:16" x14ac:dyDescent="0.2">
      <c r="B705" s="45"/>
      <c r="C705" s="43"/>
      <c r="D705" s="260"/>
      <c r="E705" s="261"/>
      <c r="F705" s="186"/>
      <c r="G705" s="186"/>
      <c r="H705" s="80"/>
      <c r="I705" s="80"/>
      <c r="J705" s="185"/>
      <c r="K705" s="91"/>
      <c r="L705" s="98"/>
      <c r="M705" s="177"/>
      <c r="N705" s="177"/>
      <c r="O705" s="177"/>
      <c r="P705" s="137" t="str">
        <f t="shared" si="40"/>
        <v>-</v>
      </c>
    </row>
    <row r="706" spans="2:16" x14ac:dyDescent="0.2">
      <c r="B706" s="45"/>
      <c r="C706" s="42"/>
      <c r="D706" s="260"/>
      <c r="E706" s="261"/>
      <c r="F706" s="186"/>
      <c r="G706" s="186"/>
      <c r="H706" s="80"/>
      <c r="I706" s="80"/>
      <c r="J706" s="185"/>
      <c r="K706" s="91"/>
      <c r="L706" s="98"/>
      <c r="M706" s="177"/>
      <c r="N706" s="177"/>
      <c r="O706" s="177"/>
      <c r="P706" s="137" t="str">
        <f t="shared" si="40"/>
        <v>-</v>
      </c>
    </row>
    <row r="707" spans="2:16" x14ac:dyDescent="0.2">
      <c r="B707" s="30"/>
      <c r="C707" s="25"/>
      <c r="D707" s="72"/>
      <c r="E707" s="72"/>
      <c r="F707" s="72"/>
      <c r="G707" s="72"/>
      <c r="H707" s="83"/>
      <c r="I707" s="116"/>
      <c r="J707" s="109"/>
      <c r="K707" s="91"/>
      <c r="L707" s="98"/>
      <c r="M707" s="177"/>
      <c r="N707" s="177"/>
      <c r="O707" s="177"/>
      <c r="P707" s="137" t="str">
        <f t="shared" si="40"/>
        <v>-</v>
      </c>
    </row>
    <row r="708" spans="2:16" x14ac:dyDescent="0.2">
      <c r="B708" s="30"/>
      <c r="C708" s="25"/>
      <c r="D708" s="72"/>
      <c r="E708" s="72"/>
      <c r="F708" s="72"/>
      <c r="G708" s="72"/>
      <c r="H708" s="83"/>
      <c r="I708" s="116"/>
      <c r="J708" s="109"/>
      <c r="K708" s="91"/>
      <c r="L708" s="98"/>
      <c r="M708" s="177"/>
      <c r="N708" s="177"/>
      <c r="O708" s="177"/>
      <c r="P708" s="137" t="str">
        <f t="shared" si="40"/>
        <v>-</v>
      </c>
    </row>
    <row r="709" spans="2:16" x14ac:dyDescent="0.2">
      <c r="B709" s="30"/>
      <c r="C709" s="25"/>
      <c r="D709" s="72"/>
      <c r="E709" s="72"/>
      <c r="F709" s="72"/>
      <c r="G709" s="72"/>
      <c r="H709" s="83"/>
      <c r="I709" s="116"/>
      <c r="J709" s="109"/>
      <c r="K709" s="91"/>
      <c r="L709" s="98"/>
      <c r="M709" s="177"/>
      <c r="N709" s="177"/>
      <c r="O709" s="177"/>
      <c r="P709" s="137" t="str">
        <f t="shared" si="40"/>
        <v>-</v>
      </c>
    </row>
    <row r="710" spans="2:16" x14ac:dyDescent="0.2">
      <c r="B710" s="30"/>
      <c r="C710" s="25"/>
      <c r="D710" s="72"/>
      <c r="E710" s="72"/>
      <c r="F710" s="72"/>
      <c r="G710" s="72"/>
      <c r="H710" s="83"/>
      <c r="I710" s="116"/>
      <c r="J710" s="109"/>
      <c r="K710" s="91"/>
      <c r="L710" s="98"/>
      <c r="M710" s="177"/>
      <c r="N710" s="177"/>
      <c r="O710" s="177"/>
      <c r="P710" s="137" t="str">
        <f t="shared" si="40"/>
        <v>-</v>
      </c>
    </row>
    <row r="711" spans="2:16" x14ac:dyDescent="0.2">
      <c r="B711" s="30"/>
      <c r="C711" s="25"/>
      <c r="D711" s="72"/>
      <c r="E711" s="72"/>
      <c r="F711" s="72"/>
      <c r="G711" s="72"/>
      <c r="H711" s="83"/>
      <c r="I711" s="116"/>
      <c r="J711" s="109"/>
      <c r="K711" s="91"/>
      <c r="L711" s="98"/>
      <c r="M711" s="177"/>
      <c r="N711" s="177"/>
      <c r="O711" s="177"/>
      <c r="P711" s="137" t="str">
        <f t="shared" si="40"/>
        <v>-</v>
      </c>
    </row>
    <row r="712" spans="2:16" x14ac:dyDescent="0.2">
      <c r="B712" s="30"/>
      <c r="C712" s="25"/>
      <c r="D712" s="72"/>
      <c r="E712" s="72"/>
      <c r="F712" s="72"/>
      <c r="G712" s="72"/>
      <c r="H712" s="83"/>
      <c r="I712" s="116"/>
      <c r="J712" s="109"/>
      <c r="K712" s="91"/>
      <c r="L712" s="98"/>
      <c r="M712" s="177"/>
      <c r="N712" s="177"/>
      <c r="O712" s="177"/>
      <c r="P712" s="137" t="str">
        <f t="shared" si="40"/>
        <v>-</v>
      </c>
    </row>
    <row r="713" spans="2:16" x14ac:dyDescent="0.2">
      <c r="B713" s="30"/>
      <c r="C713" s="25"/>
      <c r="D713" s="72"/>
      <c r="E713" s="72"/>
      <c r="F713" s="72"/>
      <c r="G713" s="72"/>
      <c r="H713" s="83"/>
      <c r="I713" s="116"/>
      <c r="J713" s="109"/>
      <c r="K713" s="91"/>
      <c r="L713" s="98"/>
      <c r="M713" s="177"/>
      <c r="N713" s="177"/>
      <c r="O713" s="177"/>
      <c r="P713" s="137" t="str">
        <f t="shared" si="40"/>
        <v>-</v>
      </c>
    </row>
    <row r="714" spans="2:16" x14ac:dyDescent="0.2">
      <c r="B714" s="30"/>
      <c r="C714" s="25"/>
      <c r="D714" s="72"/>
      <c r="E714" s="72"/>
      <c r="F714" s="72"/>
      <c r="G714" s="72"/>
      <c r="H714" s="83"/>
      <c r="I714" s="116"/>
      <c r="J714" s="109"/>
      <c r="K714" s="91"/>
      <c r="L714" s="98"/>
      <c r="M714" s="177"/>
      <c r="N714" s="177"/>
      <c r="O714" s="177"/>
      <c r="P714" s="137" t="str">
        <f t="shared" si="40"/>
        <v>-</v>
      </c>
    </row>
    <row r="715" spans="2:16" x14ac:dyDescent="0.2">
      <c r="B715" s="30"/>
      <c r="C715" s="25"/>
      <c r="D715" s="72"/>
      <c r="E715" s="72"/>
      <c r="F715" s="72"/>
      <c r="G715" s="72"/>
      <c r="H715" s="83"/>
      <c r="I715" s="116"/>
      <c r="J715" s="109"/>
      <c r="K715" s="91"/>
      <c r="L715" s="98"/>
      <c r="M715" s="177"/>
      <c r="N715" s="177"/>
      <c r="O715" s="177"/>
      <c r="P715" s="137" t="str">
        <f t="shared" si="40"/>
        <v>-</v>
      </c>
    </row>
    <row r="716" spans="2:16" x14ac:dyDescent="0.2">
      <c r="B716" s="30"/>
      <c r="C716" s="25"/>
      <c r="D716" s="72"/>
      <c r="E716" s="72"/>
      <c r="F716" s="72"/>
      <c r="G716" s="72"/>
      <c r="H716" s="83"/>
      <c r="I716" s="116"/>
      <c r="J716" s="109"/>
      <c r="K716" s="91"/>
      <c r="L716" s="98"/>
      <c r="M716" s="177"/>
      <c r="N716" s="177"/>
      <c r="O716" s="177"/>
      <c r="P716" s="137" t="str">
        <f t="shared" si="40"/>
        <v>-</v>
      </c>
    </row>
    <row r="717" spans="2:16" x14ac:dyDescent="0.2">
      <c r="B717" s="30"/>
      <c r="C717" s="25"/>
      <c r="D717" s="72"/>
      <c r="E717" s="72"/>
      <c r="F717" s="72"/>
      <c r="G717" s="72"/>
      <c r="H717" s="83"/>
      <c r="I717" s="116"/>
      <c r="J717" s="109"/>
      <c r="K717" s="91"/>
      <c r="L717" s="98"/>
      <c r="M717" s="177"/>
      <c r="N717" s="177"/>
      <c r="O717" s="177"/>
      <c r="P717" s="137" t="str">
        <f t="shared" si="40"/>
        <v>-</v>
      </c>
    </row>
    <row r="718" spans="2:16" x14ac:dyDescent="0.2">
      <c r="B718" s="30"/>
      <c r="C718" s="25"/>
      <c r="D718" s="72"/>
      <c r="E718" s="72"/>
      <c r="F718" s="72"/>
      <c r="G718" s="72"/>
      <c r="H718" s="83"/>
      <c r="I718" s="116"/>
      <c r="J718" s="109"/>
      <c r="K718" s="91"/>
      <c r="L718" s="98"/>
      <c r="M718" s="177"/>
      <c r="N718" s="177"/>
      <c r="O718" s="177"/>
      <c r="P718" s="137" t="str">
        <f t="shared" si="40"/>
        <v>-</v>
      </c>
    </row>
    <row r="719" spans="2:16" x14ac:dyDescent="0.2">
      <c r="B719" s="30"/>
      <c r="C719" s="25"/>
      <c r="D719" s="72"/>
      <c r="E719" s="72"/>
      <c r="F719" s="72"/>
      <c r="G719" s="72"/>
      <c r="H719" s="83"/>
      <c r="I719" s="116"/>
      <c r="J719" s="109"/>
      <c r="K719" s="91"/>
      <c r="L719" s="98"/>
      <c r="M719" s="177"/>
      <c r="N719" s="177"/>
      <c r="O719" s="177"/>
      <c r="P719" s="137" t="str">
        <f t="shared" si="40"/>
        <v>-</v>
      </c>
    </row>
    <row r="720" spans="2:16" x14ac:dyDescent="0.2">
      <c r="B720" s="30"/>
      <c r="C720" s="25"/>
      <c r="D720" s="72"/>
      <c r="E720" s="72"/>
      <c r="F720" s="72"/>
      <c r="G720" s="72"/>
      <c r="H720" s="83"/>
      <c r="I720" s="116"/>
      <c r="J720" s="109"/>
      <c r="K720" s="91"/>
      <c r="L720" s="98"/>
      <c r="M720" s="177"/>
      <c r="N720" s="177"/>
      <c r="O720" s="177"/>
      <c r="P720" s="137" t="str">
        <f t="shared" si="40"/>
        <v>-</v>
      </c>
    </row>
    <row r="721" spans="2:16" x14ac:dyDescent="0.2">
      <c r="B721" s="30"/>
      <c r="C721" s="25"/>
      <c r="D721" s="72"/>
      <c r="E721" s="72"/>
      <c r="F721" s="72"/>
      <c r="G721" s="72"/>
      <c r="H721" s="83"/>
      <c r="I721" s="116"/>
      <c r="J721" s="109"/>
      <c r="K721" s="91"/>
      <c r="L721" s="98"/>
      <c r="M721" s="177"/>
      <c r="N721" s="177"/>
      <c r="O721" s="177"/>
      <c r="P721" s="137" t="str">
        <f t="shared" si="40"/>
        <v>-</v>
      </c>
    </row>
    <row r="722" spans="2:16" x14ac:dyDescent="0.2">
      <c r="B722" s="30"/>
      <c r="C722" s="25"/>
      <c r="D722" s="72"/>
      <c r="E722" s="72"/>
      <c r="F722" s="72"/>
      <c r="G722" s="72"/>
      <c r="H722" s="83"/>
      <c r="I722" s="116"/>
      <c r="J722" s="109"/>
      <c r="K722" s="91"/>
      <c r="L722" s="98"/>
      <c r="M722" s="177"/>
      <c r="N722" s="177"/>
      <c r="O722" s="177"/>
      <c r="P722" s="137" t="str">
        <f t="shared" si="40"/>
        <v>-</v>
      </c>
    </row>
    <row r="723" spans="2:16" x14ac:dyDescent="0.2">
      <c r="B723" s="30"/>
      <c r="C723" s="25"/>
      <c r="D723" s="72"/>
      <c r="E723" s="72"/>
      <c r="F723" s="72"/>
      <c r="G723" s="72"/>
      <c r="H723" s="83"/>
      <c r="I723" s="116"/>
      <c r="J723" s="109"/>
      <c r="K723" s="91"/>
      <c r="L723" s="98"/>
      <c r="M723" s="177"/>
      <c r="N723" s="177"/>
      <c r="O723" s="177"/>
      <c r="P723" s="137" t="str">
        <f t="shared" si="40"/>
        <v>-</v>
      </c>
    </row>
    <row r="724" spans="2:16" x14ac:dyDescent="0.2">
      <c r="B724" s="30"/>
      <c r="C724" s="25"/>
      <c r="D724" s="72"/>
      <c r="E724" s="72"/>
      <c r="F724" s="72"/>
      <c r="G724" s="72"/>
      <c r="H724" s="83"/>
      <c r="I724" s="116"/>
      <c r="J724" s="109"/>
      <c r="K724" s="91"/>
      <c r="L724" s="98"/>
      <c r="M724" s="177"/>
      <c r="N724" s="177"/>
      <c r="O724" s="177"/>
      <c r="P724" s="137" t="str">
        <f t="shared" si="40"/>
        <v>-</v>
      </c>
    </row>
    <row r="725" spans="2:16" x14ac:dyDescent="0.2">
      <c r="B725" s="30"/>
      <c r="C725" s="25"/>
      <c r="D725" s="72"/>
      <c r="E725" s="72"/>
      <c r="F725" s="72"/>
      <c r="G725" s="72"/>
      <c r="H725" s="83"/>
      <c r="I725" s="116"/>
      <c r="J725" s="109"/>
      <c r="K725" s="91"/>
      <c r="L725" s="98"/>
      <c r="M725" s="177"/>
      <c r="N725" s="177"/>
      <c r="O725" s="177"/>
      <c r="P725" s="137" t="str">
        <f t="shared" si="40"/>
        <v>-</v>
      </c>
    </row>
    <row r="726" spans="2:16" x14ac:dyDescent="0.2">
      <c r="B726" s="30"/>
      <c r="C726" s="25"/>
      <c r="D726" s="72"/>
      <c r="E726" s="72"/>
      <c r="F726" s="72"/>
      <c r="G726" s="72"/>
      <c r="H726" s="83"/>
      <c r="I726" s="116"/>
      <c r="J726" s="109"/>
      <c r="K726" s="91"/>
      <c r="L726" s="98"/>
      <c r="M726" s="177"/>
      <c r="N726" s="177"/>
      <c r="O726" s="177"/>
      <c r="P726" s="137" t="str">
        <f t="shared" si="40"/>
        <v>-</v>
      </c>
    </row>
    <row r="727" spans="2:16" x14ac:dyDescent="0.2">
      <c r="B727" s="30"/>
      <c r="C727" s="25"/>
      <c r="D727" s="72"/>
      <c r="E727" s="72"/>
      <c r="F727" s="72"/>
      <c r="G727" s="72"/>
      <c r="H727" s="83"/>
      <c r="I727" s="116"/>
      <c r="J727" s="109"/>
      <c r="K727" s="91"/>
      <c r="L727" s="98"/>
      <c r="M727" s="177"/>
      <c r="N727" s="177"/>
      <c r="O727" s="177"/>
      <c r="P727" s="137" t="str">
        <f t="shared" si="40"/>
        <v>-</v>
      </c>
    </row>
    <row r="728" spans="2:16" x14ac:dyDescent="0.2">
      <c r="B728" s="30"/>
      <c r="C728" s="25"/>
      <c r="D728" s="72"/>
      <c r="E728" s="72"/>
      <c r="F728" s="72"/>
      <c r="G728" s="72"/>
      <c r="H728" s="83"/>
      <c r="I728" s="116"/>
      <c r="J728" s="109"/>
      <c r="K728" s="91"/>
      <c r="L728" s="98"/>
      <c r="M728" s="177"/>
      <c r="N728" s="177"/>
      <c r="O728" s="177"/>
      <c r="P728" s="137" t="str">
        <f t="shared" si="40"/>
        <v>-</v>
      </c>
    </row>
    <row r="729" spans="2:16" x14ac:dyDescent="0.2">
      <c r="B729" s="30"/>
      <c r="C729" s="25"/>
      <c r="D729" s="72"/>
      <c r="E729" s="72"/>
      <c r="F729" s="72"/>
      <c r="G729" s="72"/>
      <c r="H729" s="83"/>
      <c r="I729" s="116"/>
      <c r="J729" s="109"/>
      <c r="K729" s="91"/>
      <c r="L729" s="98"/>
      <c r="M729" s="177"/>
      <c r="N729" s="177"/>
      <c r="O729" s="177"/>
      <c r="P729" s="137" t="str">
        <f t="shared" si="40"/>
        <v>-</v>
      </c>
    </row>
    <row r="730" spans="2:16" x14ac:dyDescent="0.2">
      <c r="B730" s="30"/>
      <c r="C730" s="25"/>
      <c r="D730" s="72"/>
      <c r="E730" s="72"/>
      <c r="F730" s="72"/>
      <c r="G730" s="72"/>
      <c r="H730" s="83"/>
      <c r="I730" s="116"/>
      <c r="J730" s="109"/>
      <c r="K730" s="91"/>
      <c r="L730" s="98"/>
      <c r="M730" s="177"/>
      <c r="N730" s="177"/>
      <c r="O730" s="177"/>
      <c r="P730" s="137" t="str">
        <f t="shared" si="40"/>
        <v>-</v>
      </c>
    </row>
    <row r="731" spans="2:16" x14ac:dyDescent="0.2">
      <c r="B731" s="30"/>
      <c r="C731" s="25"/>
      <c r="D731" s="72"/>
      <c r="E731" s="72"/>
      <c r="F731" s="72"/>
      <c r="G731" s="72"/>
      <c r="H731" s="83"/>
      <c r="I731" s="116"/>
      <c r="J731" s="109"/>
      <c r="K731" s="91"/>
      <c r="L731" s="98"/>
      <c r="M731" s="177"/>
      <c r="N731" s="177"/>
      <c r="O731" s="177"/>
      <c r="P731" s="137" t="str">
        <f t="shared" si="40"/>
        <v>-</v>
      </c>
    </row>
    <row r="732" spans="2:16" x14ac:dyDescent="0.2">
      <c r="B732" s="30"/>
      <c r="C732" s="25"/>
      <c r="D732" s="72"/>
      <c r="E732" s="72"/>
      <c r="F732" s="72"/>
      <c r="G732" s="72"/>
      <c r="H732" s="83"/>
      <c r="I732" s="116"/>
      <c r="J732" s="109"/>
      <c r="K732" s="91"/>
      <c r="L732" s="98"/>
      <c r="M732" s="177"/>
      <c r="N732" s="177"/>
      <c r="O732" s="177"/>
      <c r="P732" s="137" t="str">
        <f t="shared" si="40"/>
        <v>-</v>
      </c>
    </row>
    <row r="733" spans="2:16" x14ac:dyDescent="0.2">
      <c r="B733" s="30"/>
      <c r="C733" s="25"/>
      <c r="D733" s="72"/>
      <c r="E733" s="72"/>
      <c r="F733" s="72"/>
      <c r="G733" s="72"/>
      <c r="H733" s="83"/>
      <c r="I733" s="116"/>
      <c r="J733" s="109"/>
      <c r="K733" s="91"/>
      <c r="L733" s="98"/>
      <c r="M733" s="177"/>
      <c r="N733" s="177"/>
      <c r="O733" s="177"/>
      <c r="P733" s="137" t="str">
        <f t="shared" si="40"/>
        <v>-</v>
      </c>
    </row>
    <row r="734" spans="2:16" x14ac:dyDescent="0.2">
      <c r="B734" s="30"/>
      <c r="C734" s="25"/>
      <c r="D734" s="72"/>
      <c r="E734" s="72"/>
      <c r="F734" s="72"/>
      <c r="G734" s="72"/>
      <c r="H734" s="83"/>
      <c r="I734" s="116"/>
      <c r="J734" s="109"/>
      <c r="K734" s="91"/>
      <c r="L734" s="98"/>
      <c r="M734" s="177"/>
      <c r="N734" s="177"/>
      <c r="O734" s="177"/>
      <c r="P734" s="137" t="str">
        <f t="shared" si="40"/>
        <v>-</v>
      </c>
    </row>
    <row r="735" spans="2:16" x14ac:dyDescent="0.2">
      <c r="B735" s="30"/>
      <c r="C735" s="25"/>
      <c r="D735" s="72"/>
      <c r="E735" s="72"/>
      <c r="F735" s="72"/>
      <c r="G735" s="72"/>
      <c r="H735" s="83"/>
      <c r="I735" s="116"/>
      <c r="J735" s="109"/>
      <c r="K735" s="91"/>
      <c r="L735" s="98"/>
      <c r="M735" s="177"/>
      <c r="N735" s="177"/>
      <c r="O735" s="177"/>
      <c r="P735" s="137" t="str">
        <f t="shared" si="40"/>
        <v>-</v>
      </c>
    </row>
    <row r="736" spans="2:16" x14ac:dyDescent="0.2">
      <c r="B736" s="30"/>
      <c r="C736" s="25"/>
      <c r="D736" s="72"/>
      <c r="E736" s="72"/>
      <c r="F736" s="72"/>
      <c r="G736" s="72"/>
      <c r="H736" s="83"/>
      <c r="I736" s="116"/>
      <c r="J736" s="109"/>
      <c r="K736" s="91"/>
      <c r="L736" s="98"/>
      <c r="M736" s="177"/>
      <c r="N736" s="177"/>
      <c r="O736" s="177"/>
      <c r="P736" s="137" t="str">
        <f t="shared" si="40"/>
        <v>-</v>
      </c>
    </row>
    <row r="737" spans="2:16" x14ac:dyDescent="0.2">
      <c r="B737" s="30"/>
      <c r="C737" s="25"/>
      <c r="D737" s="72"/>
      <c r="E737" s="72"/>
      <c r="F737" s="72"/>
      <c r="G737" s="72"/>
      <c r="H737" s="83"/>
      <c r="I737" s="116"/>
      <c r="J737" s="109"/>
      <c r="K737" s="91"/>
      <c r="L737" s="98"/>
      <c r="M737" s="177"/>
      <c r="N737" s="177"/>
      <c r="O737" s="177"/>
      <c r="P737" s="137" t="str">
        <f t="shared" si="40"/>
        <v>-</v>
      </c>
    </row>
    <row r="738" spans="2:16" x14ac:dyDescent="0.2">
      <c r="B738" s="30"/>
      <c r="C738" s="25"/>
      <c r="D738" s="72"/>
      <c r="E738" s="72"/>
      <c r="F738" s="72"/>
      <c r="G738" s="72"/>
      <c r="H738" s="83"/>
      <c r="I738" s="116"/>
      <c r="J738" s="109"/>
      <c r="K738" s="91"/>
      <c r="L738" s="98"/>
      <c r="M738" s="177"/>
      <c r="N738" s="177"/>
      <c r="O738" s="177"/>
      <c r="P738" s="137" t="str">
        <f t="shared" si="40"/>
        <v>-</v>
      </c>
    </row>
    <row r="739" spans="2:16" x14ac:dyDescent="0.2">
      <c r="B739" s="30"/>
      <c r="C739" s="25"/>
      <c r="D739" s="72"/>
      <c r="E739" s="72"/>
      <c r="F739" s="72"/>
      <c r="G739" s="72"/>
      <c r="H739" s="83"/>
      <c r="I739" s="116"/>
      <c r="J739" s="109"/>
      <c r="K739" s="91"/>
      <c r="L739" s="98"/>
      <c r="M739" s="177"/>
      <c r="N739" s="177"/>
      <c r="O739" s="177"/>
      <c r="P739" s="137" t="str">
        <f t="shared" si="40"/>
        <v>-</v>
      </c>
    </row>
    <row r="740" spans="2:16" x14ac:dyDescent="0.2">
      <c r="B740" s="30"/>
      <c r="C740" s="25"/>
      <c r="D740" s="72"/>
      <c r="E740" s="72"/>
      <c r="F740" s="72"/>
      <c r="G740" s="72"/>
      <c r="H740" s="83"/>
      <c r="I740" s="116"/>
      <c r="J740" s="109"/>
      <c r="K740" s="91"/>
      <c r="L740" s="98"/>
      <c r="M740" s="177"/>
      <c r="N740" s="177"/>
      <c r="O740" s="177"/>
      <c r="P740" s="137" t="str">
        <f t="shared" si="40"/>
        <v>-</v>
      </c>
    </row>
    <row r="741" spans="2:16" x14ac:dyDescent="0.2">
      <c r="B741" s="30"/>
      <c r="C741" s="25"/>
      <c r="D741" s="72"/>
      <c r="E741" s="72"/>
      <c r="F741" s="72"/>
      <c r="G741" s="72"/>
      <c r="H741" s="83"/>
      <c r="I741" s="116"/>
      <c r="J741" s="109"/>
      <c r="K741" s="91"/>
      <c r="L741" s="98"/>
      <c r="M741" s="177"/>
      <c r="N741" s="177"/>
      <c r="O741" s="177"/>
      <c r="P741" s="137" t="str">
        <f t="shared" si="40"/>
        <v>-</v>
      </c>
    </row>
    <row r="742" spans="2:16" x14ac:dyDescent="0.2">
      <c r="B742" s="30"/>
      <c r="C742" s="25"/>
      <c r="D742" s="72"/>
      <c r="E742" s="72"/>
      <c r="F742" s="72"/>
      <c r="G742" s="72"/>
      <c r="H742" s="83"/>
      <c r="I742" s="116"/>
      <c r="J742" s="109"/>
      <c r="K742" s="91"/>
      <c r="L742" s="98"/>
      <c r="M742" s="177"/>
      <c r="N742" s="177"/>
      <c r="O742" s="177"/>
      <c r="P742" s="137" t="str">
        <f t="shared" si="40"/>
        <v>-</v>
      </c>
    </row>
    <row r="743" spans="2:16" x14ac:dyDescent="0.2">
      <c r="B743" s="30"/>
      <c r="C743" s="25"/>
      <c r="D743" s="72"/>
      <c r="E743" s="72"/>
      <c r="F743" s="72"/>
      <c r="G743" s="72"/>
      <c r="H743" s="83"/>
      <c r="I743" s="116"/>
      <c r="J743" s="109"/>
      <c r="K743" s="91"/>
      <c r="L743" s="98"/>
      <c r="M743" s="177"/>
      <c r="N743" s="177"/>
      <c r="O743" s="177"/>
      <c r="P743" s="137" t="str">
        <f t="shared" si="40"/>
        <v>-</v>
      </c>
    </row>
    <row r="744" spans="2:16" x14ac:dyDescent="0.2">
      <c r="B744" s="30"/>
      <c r="C744" s="25"/>
      <c r="D744" s="72"/>
      <c r="E744" s="72"/>
      <c r="F744" s="72"/>
      <c r="G744" s="72"/>
      <c r="H744" s="83"/>
      <c r="I744" s="116"/>
      <c r="J744" s="109"/>
      <c r="K744" s="91"/>
      <c r="L744" s="98"/>
      <c r="M744" s="177"/>
      <c r="N744" s="177"/>
      <c r="O744" s="177"/>
      <c r="P744" s="137" t="str">
        <f t="shared" si="40"/>
        <v>-</v>
      </c>
    </row>
    <row r="745" spans="2:16" x14ac:dyDescent="0.2">
      <c r="B745" s="30"/>
      <c r="C745" s="25"/>
      <c r="D745" s="72"/>
      <c r="E745" s="72"/>
      <c r="F745" s="72"/>
      <c r="G745" s="72"/>
      <c r="H745" s="83"/>
      <c r="I745" s="116"/>
      <c r="J745" s="109"/>
      <c r="K745" s="91"/>
      <c r="L745" s="98"/>
      <c r="M745" s="177"/>
      <c r="N745" s="177"/>
      <c r="O745" s="177"/>
      <c r="P745" s="137" t="str">
        <f t="shared" si="40"/>
        <v>-</v>
      </c>
    </row>
    <row r="746" spans="2:16" x14ac:dyDescent="0.2">
      <c r="B746" s="30"/>
      <c r="C746" s="25"/>
      <c r="D746" s="72"/>
      <c r="E746" s="72"/>
      <c r="F746" s="72"/>
      <c r="G746" s="72"/>
      <c r="H746" s="83"/>
      <c r="I746" s="116"/>
      <c r="J746" s="109"/>
      <c r="K746" s="91"/>
      <c r="L746" s="98"/>
      <c r="M746" s="177"/>
      <c r="N746" s="177"/>
      <c r="O746" s="177"/>
      <c r="P746" s="137" t="str">
        <f t="shared" si="40"/>
        <v>-</v>
      </c>
    </row>
    <row r="747" spans="2:16" x14ac:dyDescent="0.2">
      <c r="B747" s="30"/>
      <c r="C747" s="25"/>
      <c r="D747" s="72"/>
      <c r="E747" s="72"/>
      <c r="F747" s="72"/>
      <c r="G747" s="72"/>
      <c r="H747" s="83"/>
      <c r="I747" s="116"/>
      <c r="J747" s="109"/>
      <c r="K747" s="91"/>
      <c r="L747" s="98"/>
      <c r="M747" s="177"/>
      <c r="N747" s="177"/>
      <c r="O747" s="177"/>
      <c r="P747" s="137" t="str">
        <f t="shared" si="40"/>
        <v>-</v>
      </c>
    </row>
    <row r="748" spans="2:16" x14ac:dyDescent="0.2">
      <c r="B748" s="30"/>
      <c r="C748" s="25"/>
      <c r="D748" s="72"/>
      <c r="E748" s="72"/>
      <c r="F748" s="72"/>
      <c r="G748" s="72"/>
      <c r="H748" s="83"/>
      <c r="I748" s="116"/>
      <c r="J748" s="109"/>
      <c r="K748" s="91"/>
      <c r="L748" s="98"/>
      <c r="M748" s="177"/>
      <c r="N748" s="177"/>
      <c r="O748" s="177"/>
      <c r="P748" s="137" t="str">
        <f t="shared" si="40"/>
        <v>-</v>
      </c>
    </row>
    <row r="749" spans="2:16" x14ac:dyDescent="0.2">
      <c r="B749" s="30"/>
      <c r="C749" s="25"/>
      <c r="D749" s="72"/>
      <c r="E749" s="72"/>
      <c r="F749" s="72"/>
      <c r="G749" s="72"/>
      <c r="H749" s="83"/>
      <c r="I749" s="116"/>
      <c r="J749" s="109"/>
      <c r="K749" s="91"/>
      <c r="L749" s="98"/>
      <c r="M749" s="177"/>
      <c r="N749" s="177"/>
      <c r="O749" s="177"/>
      <c r="P749" s="137" t="str">
        <f t="shared" si="40"/>
        <v>-</v>
      </c>
    </row>
    <row r="750" spans="2:16" x14ac:dyDescent="0.2">
      <c r="B750" s="30"/>
      <c r="C750" s="25"/>
      <c r="D750" s="72"/>
      <c r="E750" s="72"/>
      <c r="F750" s="72"/>
      <c r="G750" s="72"/>
      <c r="H750" s="83"/>
      <c r="I750" s="116"/>
      <c r="J750" s="109"/>
      <c r="K750" s="91"/>
      <c r="L750" s="98"/>
      <c r="M750" s="177"/>
      <c r="N750" s="177"/>
      <c r="O750" s="177"/>
      <c r="P750" s="137" t="str">
        <f t="shared" si="40"/>
        <v>-</v>
      </c>
    </row>
    <row r="751" spans="2:16" x14ac:dyDescent="0.2">
      <c r="B751" s="30"/>
      <c r="C751" s="25"/>
      <c r="D751" s="72"/>
      <c r="E751" s="72"/>
      <c r="F751" s="72"/>
      <c r="G751" s="72"/>
      <c r="H751" s="83"/>
      <c r="I751" s="116"/>
      <c r="J751" s="109"/>
      <c r="K751" s="91"/>
      <c r="L751" s="98"/>
      <c r="M751" s="177"/>
      <c r="N751" s="177"/>
      <c r="O751" s="177"/>
      <c r="P751" s="137" t="str">
        <f t="shared" si="40"/>
        <v>-</v>
      </c>
    </row>
    <row r="752" spans="2:16" x14ac:dyDescent="0.2">
      <c r="B752" s="30"/>
      <c r="C752" s="25"/>
      <c r="D752" s="72"/>
      <c r="E752" s="72"/>
      <c r="F752" s="72"/>
      <c r="G752" s="72"/>
      <c r="H752" s="83"/>
      <c r="I752" s="116"/>
      <c r="J752" s="109"/>
      <c r="K752" s="91"/>
      <c r="L752" s="98"/>
      <c r="M752" s="177"/>
      <c r="N752" s="177"/>
      <c r="O752" s="177"/>
      <c r="P752" s="137" t="str">
        <f t="shared" si="40"/>
        <v>-</v>
      </c>
    </row>
    <row r="753" spans="2:16" x14ac:dyDescent="0.2">
      <c r="B753" s="30"/>
      <c r="C753" s="25"/>
      <c r="D753" s="72"/>
      <c r="E753" s="72"/>
      <c r="F753" s="72"/>
      <c r="G753" s="72"/>
      <c r="H753" s="83"/>
      <c r="I753" s="116"/>
      <c r="J753" s="109"/>
      <c r="K753" s="91"/>
      <c r="L753" s="98"/>
      <c r="M753" s="177"/>
      <c r="N753" s="177"/>
      <c r="O753" s="177"/>
      <c r="P753" s="137" t="str">
        <f t="shared" si="40"/>
        <v>-</v>
      </c>
    </row>
    <row r="754" spans="2:16" x14ac:dyDescent="0.2">
      <c r="B754" s="30"/>
      <c r="C754" s="25"/>
      <c r="D754" s="72"/>
      <c r="E754" s="72"/>
      <c r="F754" s="72"/>
      <c r="G754" s="72"/>
      <c r="H754" s="83"/>
      <c r="I754" s="116"/>
      <c r="J754" s="109"/>
      <c r="K754" s="91"/>
      <c r="L754" s="98"/>
      <c r="M754" s="177"/>
      <c r="N754" s="177"/>
      <c r="O754" s="177"/>
      <c r="P754" s="137" t="str">
        <f t="shared" si="40"/>
        <v>-</v>
      </c>
    </row>
    <row r="755" spans="2:16" x14ac:dyDescent="0.2">
      <c r="B755" s="30"/>
      <c r="C755" s="25"/>
      <c r="D755" s="72"/>
      <c r="E755" s="72"/>
      <c r="F755" s="72"/>
      <c r="G755" s="72"/>
      <c r="H755" s="83"/>
      <c r="I755" s="116"/>
      <c r="J755" s="109"/>
      <c r="K755" s="91"/>
      <c r="L755" s="98"/>
      <c r="M755" s="177"/>
      <c r="N755" s="177"/>
      <c r="O755" s="177"/>
      <c r="P755" s="137" t="str">
        <f t="shared" si="40"/>
        <v>-</v>
      </c>
    </row>
    <row r="756" spans="2:16" x14ac:dyDescent="0.2">
      <c r="B756" s="30"/>
      <c r="C756" s="25"/>
      <c r="D756" s="72"/>
      <c r="E756" s="72"/>
      <c r="F756" s="72"/>
      <c r="G756" s="72"/>
      <c r="H756" s="83"/>
      <c r="I756" s="116"/>
      <c r="J756" s="109"/>
      <c r="K756" s="91"/>
      <c r="L756" s="98"/>
      <c r="M756" s="177"/>
      <c r="N756" s="177"/>
      <c r="O756" s="177"/>
      <c r="P756" s="137" t="str">
        <f t="shared" si="40"/>
        <v>-</v>
      </c>
    </row>
    <row r="757" spans="2:16" x14ac:dyDescent="0.2">
      <c r="B757" s="30"/>
      <c r="C757" s="25"/>
      <c r="D757" s="72"/>
      <c r="E757" s="72"/>
      <c r="F757" s="72"/>
      <c r="G757" s="72"/>
      <c r="H757" s="83"/>
      <c r="I757" s="116"/>
      <c r="J757" s="109"/>
      <c r="K757" s="91"/>
      <c r="L757" s="98"/>
      <c r="M757" s="177"/>
      <c r="N757" s="177"/>
      <c r="O757" s="177"/>
      <c r="P757" s="137" t="str">
        <f t="shared" si="40"/>
        <v>-</v>
      </c>
    </row>
    <row r="758" spans="2:16" x14ac:dyDescent="0.2">
      <c r="B758" s="30"/>
      <c r="C758" s="25"/>
      <c r="D758" s="72"/>
      <c r="E758" s="72"/>
      <c r="F758" s="72"/>
      <c r="G758" s="72"/>
      <c r="H758" s="83"/>
      <c r="I758" s="116"/>
      <c r="J758" s="109"/>
      <c r="K758" s="91"/>
      <c r="L758" s="98"/>
      <c r="M758" s="177"/>
      <c r="N758" s="177"/>
      <c r="O758" s="177"/>
      <c r="P758" s="137" t="str">
        <f t="shared" si="40"/>
        <v>-</v>
      </c>
    </row>
    <row r="759" spans="2:16" x14ac:dyDescent="0.2">
      <c r="B759" s="30"/>
      <c r="C759" s="25"/>
      <c r="D759" s="72"/>
      <c r="E759" s="72"/>
      <c r="F759" s="72"/>
      <c r="G759" s="72"/>
      <c r="H759" s="83"/>
      <c r="I759" s="116"/>
      <c r="J759" s="109"/>
      <c r="K759" s="91"/>
      <c r="L759" s="98"/>
      <c r="M759" s="177"/>
      <c r="N759" s="177"/>
      <c r="O759" s="177"/>
      <c r="P759" s="137" t="str">
        <f t="shared" si="40"/>
        <v>-</v>
      </c>
    </row>
    <row r="760" spans="2:16" x14ac:dyDescent="0.2">
      <c r="B760" s="30"/>
      <c r="C760" s="25"/>
      <c r="D760" s="72"/>
      <c r="E760" s="72"/>
      <c r="F760" s="72"/>
      <c r="G760" s="72"/>
      <c r="H760" s="83"/>
      <c r="I760" s="116"/>
      <c r="J760" s="109"/>
      <c r="K760" s="91"/>
      <c r="L760" s="98"/>
      <c r="M760" s="177"/>
      <c r="N760" s="177"/>
      <c r="O760" s="177"/>
      <c r="P760" s="137" t="str">
        <f t="shared" si="40"/>
        <v>-</v>
      </c>
    </row>
    <row r="761" spans="2:16" x14ac:dyDescent="0.2">
      <c r="B761" s="30"/>
      <c r="C761" s="25"/>
      <c r="D761" s="72"/>
      <c r="E761" s="72"/>
      <c r="F761" s="72"/>
      <c r="G761" s="72"/>
      <c r="H761" s="83"/>
      <c r="I761" s="116"/>
      <c r="J761" s="109"/>
      <c r="K761" s="91"/>
      <c r="L761" s="98"/>
      <c r="M761" s="177"/>
      <c r="N761" s="177"/>
      <c r="O761" s="177"/>
      <c r="P761" s="137" t="str">
        <f t="shared" si="40"/>
        <v>-</v>
      </c>
    </row>
    <row r="762" spans="2:16" x14ac:dyDescent="0.2">
      <c r="B762" s="30"/>
      <c r="C762" s="25"/>
      <c r="D762" s="72"/>
      <c r="E762" s="72"/>
      <c r="F762" s="72"/>
      <c r="G762" s="72"/>
      <c r="H762" s="83"/>
      <c r="I762" s="116"/>
      <c r="J762" s="109"/>
      <c r="K762" s="91"/>
      <c r="L762" s="98"/>
      <c r="M762" s="177"/>
      <c r="N762" s="177"/>
      <c r="O762" s="177"/>
      <c r="P762" s="137" t="str">
        <f t="shared" si="40"/>
        <v>-</v>
      </c>
    </row>
    <row r="763" spans="2:16" ht="13.5" thickBot="1" x14ac:dyDescent="0.25">
      <c r="B763" s="31"/>
      <c r="C763" s="26"/>
      <c r="D763" s="73"/>
      <c r="E763" s="73"/>
      <c r="F763" s="73"/>
      <c r="G763" s="73"/>
      <c r="H763" s="84"/>
      <c r="I763" s="120"/>
      <c r="J763" s="121"/>
      <c r="K763" s="122"/>
      <c r="L763" s="123"/>
      <c r="M763" s="178"/>
      <c r="N763" s="178"/>
      <c r="O763" s="178"/>
      <c r="P763" s="137" t="str">
        <f t="shared" si="40"/>
        <v>-</v>
      </c>
    </row>
    <row r="764" spans="2:16" x14ac:dyDescent="0.2">
      <c r="B764" s="74"/>
      <c r="C764"/>
      <c r="D764" s="74"/>
      <c r="E764" s="74"/>
      <c r="F764" s="74"/>
      <c r="G764" s="74"/>
      <c r="H764" s="74"/>
      <c r="J764" s="110"/>
      <c r="K764" s="119"/>
      <c r="L764"/>
      <c r="M764"/>
      <c r="N764"/>
      <c r="O764"/>
      <c r="P764" s="137" t="str">
        <f t="shared" si="40"/>
        <v>-</v>
      </c>
    </row>
    <row r="765" spans="2:16" x14ac:dyDescent="0.2">
      <c r="B765" s="74"/>
      <c r="C765"/>
      <c r="D765" s="74"/>
      <c r="E765" s="74"/>
      <c r="F765" s="74"/>
      <c r="G765" s="74"/>
      <c r="H765" s="74"/>
      <c r="J765" s="110"/>
      <c r="K765" s="111"/>
      <c r="L765"/>
      <c r="M765"/>
      <c r="N765"/>
      <c r="O765"/>
    </row>
    <row r="766" spans="2:16" x14ac:dyDescent="0.2">
      <c r="B766" s="74"/>
      <c r="C766"/>
      <c r="D766" s="74"/>
      <c r="E766" s="74"/>
      <c r="F766" s="74"/>
      <c r="G766" s="74"/>
      <c r="H766" s="74"/>
      <c r="J766" s="110"/>
      <c r="K766" s="111"/>
      <c r="L766"/>
      <c r="M766"/>
      <c r="N766"/>
      <c r="O766"/>
    </row>
    <row r="767" spans="2:16" x14ac:dyDescent="0.2">
      <c r="B767" s="74"/>
      <c r="C767"/>
      <c r="D767" s="74"/>
      <c r="E767" s="74"/>
      <c r="F767" s="74"/>
      <c r="G767" s="74"/>
      <c r="H767" s="74"/>
      <c r="J767" s="110"/>
      <c r="K767" s="111"/>
      <c r="L767"/>
      <c r="M767"/>
      <c r="N767"/>
      <c r="O767"/>
    </row>
    <row r="768" spans="2:16" x14ac:dyDescent="0.2">
      <c r="B768" s="74"/>
      <c r="C768"/>
      <c r="D768" s="74"/>
      <c r="E768" s="74"/>
      <c r="F768" s="74"/>
      <c r="G768" s="74"/>
      <c r="H768" s="74"/>
      <c r="J768" s="110"/>
      <c r="K768" s="111"/>
      <c r="L768"/>
      <c r="M768"/>
      <c r="N768"/>
      <c r="O768"/>
    </row>
    <row r="769" spans="2:15" x14ac:dyDescent="0.2">
      <c r="B769" s="74"/>
      <c r="C769"/>
      <c r="D769" s="74"/>
      <c r="E769" s="74"/>
      <c r="F769" s="74"/>
      <c r="G769" s="74"/>
      <c r="H769" s="74"/>
      <c r="J769" s="110"/>
      <c r="K769" s="111"/>
      <c r="L769"/>
      <c r="M769"/>
      <c r="N769"/>
      <c r="O769"/>
    </row>
    <row r="770" spans="2:15" x14ac:dyDescent="0.2">
      <c r="B770" s="74"/>
      <c r="C770"/>
      <c r="D770" s="74"/>
      <c r="E770" s="74"/>
      <c r="F770" s="74"/>
      <c r="G770" s="74"/>
      <c r="H770" s="74"/>
      <c r="J770" s="110"/>
      <c r="K770" s="111"/>
      <c r="L770"/>
      <c r="M770"/>
      <c r="N770"/>
      <c r="O770"/>
    </row>
    <row r="771" spans="2:15" x14ac:dyDescent="0.2">
      <c r="B771" s="74"/>
      <c r="C771"/>
      <c r="D771" s="74"/>
      <c r="E771" s="74"/>
      <c r="F771" s="74"/>
      <c r="G771" s="74"/>
      <c r="H771" s="74"/>
      <c r="J771" s="110"/>
      <c r="K771" s="111"/>
      <c r="L771"/>
      <c r="M771"/>
      <c r="N771"/>
      <c r="O771"/>
    </row>
    <row r="772" spans="2:15" x14ac:dyDescent="0.2">
      <c r="B772" s="74"/>
      <c r="C772"/>
      <c r="D772" s="74"/>
      <c r="E772" s="74"/>
      <c r="F772" s="74"/>
      <c r="G772" s="74"/>
      <c r="H772" s="74"/>
      <c r="J772" s="110"/>
      <c r="K772" s="111"/>
      <c r="L772"/>
      <c r="M772"/>
      <c r="N772"/>
      <c r="O772"/>
    </row>
    <row r="773" spans="2:15" x14ac:dyDescent="0.2">
      <c r="B773" s="74"/>
      <c r="C773"/>
      <c r="D773" s="74"/>
      <c r="E773" s="74"/>
      <c r="F773" s="74"/>
      <c r="G773" s="74"/>
      <c r="H773" s="74"/>
      <c r="J773" s="110"/>
      <c r="K773" s="111"/>
      <c r="L773"/>
      <c r="M773"/>
      <c r="N773"/>
      <c r="O773"/>
    </row>
    <row r="774" spans="2:15" x14ac:dyDescent="0.2">
      <c r="B774" s="74"/>
      <c r="C774"/>
      <c r="D774" s="74"/>
      <c r="E774" s="74"/>
      <c r="F774" s="74"/>
      <c r="G774" s="74"/>
      <c r="H774" s="74"/>
      <c r="J774" s="110"/>
      <c r="K774" s="111"/>
      <c r="L774"/>
      <c r="M774"/>
      <c r="N774"/>
      <c r="O774"/>
    </row>
    <row r="775" spans="2:15" x14ac:dyDescent="0.2">
      <c r="B775" s="74"/>
      <c r="C775"/>
      <c r="D775" s="74"/>
      <c r="E775" s="74"/>
      <c r="F775" s="74"/>
      <c r="G775" s="74"/>
      <c r="H775" s="74"/>
      <c r="J775" s="110"/>
      <c r="K775" s="111"/>
      <c r="L775"/>
      <c r="M775"/>
      <c r="N775"/>
      <c r="O775"/>
    </row>
    <row r="776" spans="2:15" x14ac:dyDescent="0.2">
      <c r="B776" s="74"/>
      <c r="C776"/>
      <c r="D776" s="74"/>
      <c r="E776" s="74"/>
      <c r="F776" s="74"/>
      <c r="G776" s="74"/>
      <c r="H776" s="74"/>
      <c r="J776" s="110"/>
      <c r="K776" s="111"/>
      <c r="L776"/>
      <c r="M776"/>
      <c r="N776"/>
      <c r="O776"/>
    </row>
    <row r="777" spans="2:15" x14ac:dyDescent="0.2">
      <c r="B777" s="74"/>
      <c r="C777"/>
      <c r="D777" s="74"/>
      <c r="E777" s="74"/>
      <c r="F777" s="74"/>
      <c r="G777" s="74"/>
      <c r="H777" s="74"/>
      <c r="J777" s="110"/>
      <c r="K777" s="111"/>
      <c r="L777"/>
      <c r="M777"/>
      <c r="N777"/>
      <c r="O777"/>
    </row>
    <row r="778" spans="2:15" x14ac:dyDescent="0.2">
      <c r="B778" s="74"/>
      <c r="C778"/>
      <c r="D778" s="74"/>
      <c r="E778" s="74"/>
      <c r="F778" s="74"/>
      <c r="G778" s="74"/>
      <c r="H778" s="74"/>
      <c r="J778" s="110"/>
      <c r="K778" s="111"/>
      <c r="L778"/>
      <c r="M778"/>
      <c r="N778"/>
      <c r="O778"/>
    </row>
    <row r="779" spans="2:15" x14ac:dyDescent="0.2">
      <c r="B779" s="74"/>
      <c r="C779"/>
      <c r="D779" s="74"/>
      <c r="E779" s="74"/>
      <c r="F779" s="74"/>
      <c r="G779" s="74"/>
      <c r="H779" s="74"/>
      <c r="J779" s="110"/>
      <c r="K779" s="111"/>
      <c r="L779"/>
      <c r="M779"/>
      <c r="N779"/>
      <c r="O779"/>
    </row>
    <row r="780" spans="2:15" x14ac:dyDescent="0.2">
      <c r="B780" s="74"/>
      <c r="C780"/>
      <c r="D780" s="74"/>
      <c r="E780" s="74"/>
      <c r="F780" s="74"/>
      <c r="G780" s="74"/>
      <c r="H780" s="74"/>
      <c r="J780" s="110"/>
      <c r="K780" s="111"/>
      <c r="L780"/>
      <c r="M780"/>
      <c r="N780"/>
      <c r="O780"/>
    </row>
    <row r="781" spans="2:15" x14ac:dyDescent="0.2">
      <c r="B781" s="74"/>
      <c r="C781"/>
      <c r="D781" s="74"/>
      <c r="E781" s="74"/>
      <c r="F781" s="74"/>
      <c r="G781" s="74"/>
      <c r="H781" s="74"/>
      <c r="J781" s="110"/>
      <c r="K781" s="111"/>
      <c r="L781"/>
      <c r="M781"/>
      <c r="N781"/>
      <c r="O781"/>
    </row>
    <row r="782" spans="2:15" x14ac:dyDescent="0.2">
      <c r="B782" s="74"/>
      <c r="C782"/>
      <c r="D782" s="74"/>
      <c r="E782" s="74"/>
      <c r="F782" s="74"/>
      <c r="G782" s="74"/>
      <c r="H782" s="74"/>
      <c r="J782" s="110"/>
      <c r="K782" s="111"/>
      <c r="L782"/>
      <c r="M782"/>
      <c r="N782"/>
      <c r="O782"/>
    </row>
    <row r="783" spans="2:15" x14ac:dyDescent="0.2">
      <c r="B783" s="74"/>
      <c r="C783"/>
      <c r="D783" s="74"/>
      <c r="E783" s="74"/>
      <c r="F783" s="74"/>
      <c r="G783" s="74"/>
      <c r="H783" s="74"/>
      <c r="J783" s="110"/>
      <c r="K783" s="111"/>
      <c r="L783"/>
      <c r="M783"/>
      <c r="N783"/>
      <c r="O783"/>
    </row>
    <row r="784" spans="2:15" x14ac:dyDescent="0.2">
      <c r="B784" s="74"/>
      <c r="C784"/>
      <c r="D784" s="74"/>
      <c r="E784" s="74"/>
      <c r="F784" s="74"/>
      <c r="G784" s="74"/>
      <c r="H784" s="74"/>
      <c r="J784" s="110"/>
      <c r="K784" s="111"/>
      <c r="L784"/>
      <c r="M784"/>
      <c r="N784"/>
      <c r="O784"/>
    </row>
    <row r="785" spans="2:15" x14ac:dyDescent="0.2">
      <c r="B785" s="74"/>
      <c r="C785"/>
      <c r="D785" s="74"/>
      <c r="E785" s="74"/>
      <c r="F785" s="74"/>
      <c r="G785" s="74"/>
      <c r="H785" s="74"/>
      <c r="J785" s="110"/>
      <c r="K785" s="111"/>
      <c r="L785"/>
      <c r="M785"/>
      <c r="N785"/>
      <c r="O785"/>
    </row>
    <row r="786" spans="2:15" x14ac:dyDescent="0.2">
      <c r="B786" s="74"/>
      <c r="C786"/>
      <c r="D786" s="74"/>
      <c r="E786" s="74"/>
      <c r="F786" s="74"/>
      <c r="G786" s="74"/>
      <c r="H786" s="74"/>
      <c r="J786" s="110"/>
      <c r="K786" s="111"/>
      <c r="L786"/>
      <c r="M786"/>
      <c r="N786"/>
      <c r="O786"/>
    </row>
    <row r="787" spans="2:15" x14ac:dyDescent="0.2">
      <c r="B787" s="74"/>
      <c r="C787"/>
      <c r="D787" s="74"/>
      <c r="E787" s="74"/>
      <c r="F787" s="74"/>
      <c r="G787" s="74"/>
      <c r="H787" s="74"/>
      <c r="J787" s="110"/>
      <c r="K787" s="111"/>
      <c r="L787"/>
      <c r="M787"/>
      <c r="N787"/>
      <c r="O787"/>
    </row>
    <row r="788" spans="2:15" x14ac:dyDescent="0.2">
      <c r="B788" s="74"/>
      <c r="C788"/>
      <c r="D788" s="74"/>
      <c r="E788" s="74"/>
      <c r="F788" s="74"/>
      <c r="G788" s="74"/>
      <c r="H788" s="74"/>
      <c r="J788" s="110"/>
      <c r="K788" s="111"/>
      <c r="L788"/>
      <c r="M788"/>
      <c r="N788"/>
      <c r="O788"/>
    </row>
    <row r="789" spans="2:15" x14ac:dyDescent="0.2">
      <c r="B789" s="74"/>
      <c r="C789"/>
      <c r="D789" s="74"/>
      <c r="E789" s="74"/>
      <c r="F789" s="74"/>
      <c r="G789" s="74"/>
      <c r="H789" s="74"/>
      <c r="J789" s="110"/>
      <c r="K789" s="111"/>
      <c r="L789"/>
      <c r="M789"/>
      <c r="N789"/>
      <c r="O789"/>
    </row>
    <row r="790" spans="2:15" x14ac:dyDescent="0.2">
      <c r="B790" s="74"/>
      <c r="C790"/>
      <c r="D790" s="74"/>
      <c r="E790" s="74"/>
      <c r="F790" s="74"/>
      <c r="G790" s="74"/>
      <c r="H790" s="74"/>
      <c r="J790" s="110"/>
      <c r="K790" s="111"/>
      <c r="L790"/>
      <c r="M790"/>
      <c r="N790"/>
      <c r="O790"/>
    </row>
    <row r="791" spans="2:15" x14ac:dyDescent="0.2">
      <c r="B791" s="74"/>
      <c r="C791"/>
      <c r="D791" s="74"/>
      <c r="E791" s="74"/>
      <c r="F791" s="74"/>
      <c r="G791" s="74"/>
      <c r="H791" s="74"/>
      <c r="J791" s="110"/>
      <c r="K791" s="111"/>
      <c r="L791"/>
      <c r="M791"/>
      <c r="N791"/>
      <c r="O791"/>
    </row>
    <row r="792" spans="2:15" x14ac:dyDescent="0.2">
      <c r="B792" s="74"/>
      <c r="C792"/>
      <c r="D792" s="74"/>
      <c r="E792" s="74"/>
      <c r="F792" s="74"/>
      <c r="G792" s="74"/>
      <c r="H792" s="74"/>
      <c r="J792" s="110"/>
      <c r="K792" s="111"/>
      <c r="L792"/>
      <c r="M792"/>
      <c r="N792"/>
      <c r="O792"/>
    </row>
    <row r="793" spans="2:15" x14ac:dyDescent="0.2">
      <c r="B793" s="74"/>
      <c r="C793"/>
      <c r="D793" s="74"/>
      <c r="E793" s="74"/>
      <c r="F793" s="74"/>
      <c r="G793" s="74"/>
      <c r="H793" s="74"/>
      <c r="J793" s="110"/>
      <c r="K793" s="111"/>
      <c r="L793"/>
      <c r="M793"/>
      <c r="N793"/>
      <c r="O793"/>
    </row>
    <row r="794" spans="2:15" x14ac:dyDescent="0.2">
      <c r="B794" s="74"/>
      <c r="C794"/>
      <c r="D794" s="74"/>
      <c r="E794" s="74"/>
      <c r="F794" s="74"/>
      <c r="G794" s="74"/>
      <c r="H794" s="74"/>
      <c r="J794" s="110"/>
      <c r="K794" s="111"/>
      <c r="L794"/>
      <c r="M794"/>
      <c r="N794"/>
      <c r="O794"/>
    </row>
    <row r="795" spans="2:15" x14ac:dyDescent="0.2">
      <c r="B795" s="74"/>
      <c r="C795"/>
      <c r="D795" s="74"/>
      <c r="E795" s="74"/>
      <c r="F795" s="74"/>
      <c r="G795" s="74"/>
      <c r="H795" s="74"/>
      <c r="J795" s="110"/>
      <c r="K795" s="111"/>
      <c r="L795"/>
      <c r="M795"/>
      <c r="N795"/>
      <c r="O795"/>
    </row>
    <row r="796" spans="2:15" x14ac:dyDescent="0.2">
      <c r="B796" s="74"/>
      <c r="C796"/>
      <c r="D796" s="74"/>
      <c r="E796" s="74"/>
      <c r="F796" s="74"/>
      <c r="G796" s="74"/>
      <c r="H796" s="74"/>
      <c r="J796" s="110"/>
      <c r="K796" s="111"/>
      <c r="L796"/>
      <c r="M796"/>
      <c r="N796"/>
      <c r="O796"/>
    </row>
    <row r="797" spans="2:15" x14ac:dyDescent="0.2">
      <c r="B797" s="74"/>
      <c r="C797"/>
      <c r="D797" s="74"/>
      <c r="E797" s="74"/>
      <c r="F797" s="74"/>
      <c r="G797" s="74"/>
      <c r="H797" s="74"/>
      <c r="J797" s="110"/>
      <c r="K797" s="111"/>
      <c r="L797"/>
      <c r="M797"/>
      <c r="N797"/>
      <c r="O797"/>
    </row>
    <row r="798" spans="2:15" x14ac:dyDescent="0.2">
      <c r="B798" s="74"/>
      <c r="C798"/>
      <c r="D798" s="74"/>
      <c r="E798" s="74"/>
      <c r="F798" s="74"/>
      <c r="G798" s="74"/>
      <c r="H798" s="74"/>
      <c r="J798" s="110"/>
      <c r="K798" s="111"/>
      <c r="L798"/>
      <c r="M798"/>
      <c r="N798"/>
      <c r="O798"/>
    </row>
    <row r="799" spans="2:15" x14ac:dyDescent="0.2">
      <c r="B799" s="74"/>
      <c r="C799"/>
      <c r="D799" s="74"/>
      <c r="E799" s="74"/>
      <c r="F799" s="74"/>
      <c r="G799" s="74"/>
      <c r="H799" s="74"/>
      <c r="J799" s="110"/>
      <c r="K799" s="111"/>
      <c r="L799"/>
      <c r="M799"/>
      <c r="N799"/>
      <c r="O799"/>
    </row>
    <row r="800" spans="2:15" x14ac:dyDescent="0.2">
      <c r="B800" s="74"/>
      <c r="C800"/>
      <c r="D800" s="74"/>
      <c r="E800" s="74"/>
      <c r="F800" s="74"/>
      <c r="G800" s="74"/>
      <c r="H800" s="74"/>
      <c r="J800" s="110"/>
      <c r="K800" s="111"/>
      <c r="L800"/>
      <c r="M800"/>
      <c r="N800"/>
      <c r="O800"/>
    </row>
    <row r="801" spans="2:15" x14ac:dyDescent="0.2">
      <c r="B801" s="74"/>
      <c r="C801"/>
      <c r="D801" s="74"/>
      <c r="E801" s="74"/>
      <c r="F801" s="74"/>
      <c r="G801" s="74"/>
      <c r="H801" s="74"/>
      <c r="J801" s="110"/>
      <c r="K801" s="111"/>
      <c r="L801"/>
      <c r="M801"/>
      <c r="N801"/>
      <c r="O801"/>
    </row>
    <row r="802" spans="2:15" x14ac:dyDescent="0.2">
      <c r="B802" s="74"/>
      <c r="C802"/>
      <c r="D802" s="74"/>
      <c r="E802" s="74"/>
      <c r="F802" s="74"/>
      <c r="G802" s="74"/>
      <c r="H802" s="74"/>
      <c r="J802" s="110"/>
      <c r="K802" s="111"/>
      <c r="L802"/>
      <c r="M802"/>
      <c r="N802"/>
      <c r="O802"/>
    </row>
    <row r="803" spans="2:15" x14ac:dyDescent="0.2">
      <c r="B803" s="74"/>
      <c r="C803"/>
      <c r="D803" s="74"/>
      <c r="E803" s="74"/>
      <c r="F803" s="74"/>
      <c r="G803" s="74"/>
      <c r="H803" s="74"/>
      <c r="J803" s="110"/>
      <c r="K803" s="111"/>
      <c r="L803"/>
      <c r="M803"/>
      <c r="N803"/>
      <c r="O803"/>
    </row>
    <row r="804" spans="2:15" x14ac:dyDescent="0.2">
      <c r="B804" s="74"/>
      <c r="C804"/>
      <c r="D804" s="74"/>
      <c r="E804" s="74"/>
      <c r="F804" s="74"/>
      <c r="G804" s="74"/>
      <c r="H804" s="74"/>
      <c r="J804" s="110"/>
      <c r="K804" s="111"/>
      <c r="L804"/>
      <c r="M804"/>
      <c r="N804"/>
      <c r="O804"/>
    </row>
    <row r="805" spans="2:15" x14ac:dyDescent="0.2">
      <c r="B805" s="74"/>
      <c r="C805"/>
      <c r="D805" s="74"/>
      <c r="E805" s="74"/>
      <c r="F805" s="74"/>
      <c r="G805" s="74"/>
      <c r="H805" s="74"/>
      <c r="J805" s="110"/>
      <c r="K805" s="111"/>
      <c r="L805"/>
      <c r="M805"/>
      <c r="N805"/>
      <c r="O805"/>
    </row>
    <row r="806" spans="2:15" x14ac:dyDescent="0.2">
      <c r="B806" s="74"/>
      <c r="C806"/>
      <c r="D806" s="74"/>
      <c r="E806" s="74"/>
      <c r="F806" s="74"/>
      <c r="G806" s="74"/>
      <c r="H806" s="74"/>
      <c r="J806" s="110"/>
      <c r="K806" s="111"/>
      <c r="L806"/>
      <c r="M806"/>
      <c r="N806"/>
      <c r="O806"/>
    </row>
    <row r="807" spans="2:15" x14ac:dyDescent="0.2">
      <c r="B807" s="74"/>
      <c r="C807"/>
      <c r="D807" s="74"/>
      <c r="E807" s="74"/>
      <c r="F807" s="74"/>
      <c r="G807" s="74"/>
      <c r="H807" s="74"/>
      <c r="J807" s="110"/>
      <c r="K807" s="111"/>
      <c r="L807"/>
      <c r="M807"/>
      <c r="N807"/>
      <c r="O807"/>
    </row>
    <row r="808" spans="2:15" x14ac:dyDescent="0.2">
      <c r="B808" s="74"/>
      <c r="C808"/>
      <c r="D808" s="74"/>
      <c r="E808" s="74"/>
      <c r="F808" s="74"/>
      <c r="G808" s="74"/>
      <c r="H808" s="74"/>
      <c r="J808" s="110"/>
      <c r="K808" s="111"/>
      <c r="L808"/>
      <c r="M808"/>
      <c r="N808"/>
      <c r="O808"/>
    </row>
    <row r="809" spans="2:15" x14ac:dyDescent="0.2">
      <c r="B809" s="74"/>
      <c r="C809"/>
      <c r="D809" s="74"/>
      <c r="E809" s="74"/>
      <c r="F809" s="74"/>
      <c r="G809" s="74"/>
      <c r="H809" s="74"/>
      <c r="J809" s="110"/>
      <c r="K809" s="111"/>
      <c r="L809"/>
      <c r="M809"/>
      <c r="N809"/>
      <c r="O809"/>
    </row>
    <row r="810" spans="2:15" x14ac:dyDescent="0.2">
      <c r="B810" s="74"/>
      <c r="C810"/>
      <c r="D810" s="74"/>
      <c r="E810" s="74"/>
      <c r="F810" s="74"/>
      <c r="G810" s="74"/>
      <c r="H810" s="74"/>
      <c r="J810" s="110"/>
      <c r="K810" s="111"/>
      <c r="L810"/>
      <c r="M810"/>
      <c r="N810"/>
      <c r="O810"/>
    </row>
    <row r="811" spans="2:15" x14ac:dyDescent="0.2">
      <c r="B811" s="74"/>
      <c r="C811"/>
      <c r="D811" s="74"/>
      <c r="E811" s="74"/>
      <c r="F811" s="74"/>
      <c r="G811" s="74"/>
      <c r="H811" s="74"/>
      <c r="J811" s="110"/>
      <c r="K811" s="111"/>
      <c r="L811"/>
      <c r="M811"/>
      <c r="N811"/>
      <c r="O811"/>
    </row>
    <row r="812" spans="2:15" x14ac:dyDescent="0.2">
      <c r="B812" s="74"/>
      <c r="C812"/>
      <c r="D812" s="74"/>
      <c r="E812" s="74"/>
      <c r="F812" s="74"/>
      <c r="G812" s="74"/>
      <c r="H812" s="74"/>
      <c r="J812" s="110"/>
      <c r="K812" s="111"/>
      <c r="L812"/>
      <c r="M812"/>
      <c r="N812"/>
      <c r="O812"/>
    </row>
    <row r="813" spans="2:15" x14ac:dyDescent="0.2">
      <c r="B813" s="74"/>
      <c r="C813"/>
      <c r="D813" s="74"/>
      <c r="E813" s="74"/>
      <c r="F813" s="74"/>
      <c r="G813" s="74"/>
      <c r="H813" s="74"/>
      <c r="J813" s="110"/>
      <c r="K813" s="111"/>
      <c r="L813"/>
      <c r="M813"/>
      <c r="N813"/>
      <c r="O813"/>
    </row>
    <row r="814" spans="2:15" x14ac:dyDescent="0.2">
      <c r="B814" s="74"/>
      <c r="C814"/>
      <c r="D814" s="74"/>
      <c r="E814" s="74"/>
      <c r="F814" s="74"/>
      <c r="G814" s="74"/>
      <c r="H814" s="74"/>
      <c r="J814" s="110"/>
      <c r="K814" s="111"/>
      <c r="L814"/>
      <c r="M814"/>
      <c r="N814"/>
      <c r="O814"/>
    </row>
    <row r="815" spans="2:15" x14ac:dyDescent="0.2">
      <c r="B815" s="74"/>
      <c r="C815"/>
      <c r="D815" s="74"/>
      <c r="E815" s="74"/>
      <c r="F815" s="74"/>
      <c r="G815" s="74"/>
      <c r="H815" s="74"/>
      <c r="J815" s="110"/>
      <c r="K815" s="111"/>
      <c r="L815"/>
      <c r="M815"/>
      <c r="N815"/>
      <c r="O815"/>
    </row>
    <row r="816" spans="2:15" x14ac:dyDescent="0.2">
      <c r="B816" s="74"/>
      <c r="C816"/>
      <c r="D816" s="74"/>
      <c r="E816" s="74"/>
      <c r="F816" s="74"/>
      <c r="G816" s="74"/>
      <c r="H816" s="74"/>
      <c r="J816" s="110"/>
      <c r="K816" s="111"/>
      <c r="L816"/>
      <c r="M816"/>
      <c r="N816"/>
      <c r="O816"/>
    </row>
    <row r="817" spans="2:15" x14ac:dyDescent="0.2">
      <c r="B817" s="74"/>
      <c r="C817"/>
      <c r="D817" s="74"/>
      <c r="E817" s="74"/>
      <c r="F817" s="74"/>
      <c r="G817" s="74"/>
      <c r="H817" s="74"/>
      <c r="J817" s="110"/>
      <c r="K817" s="111"/>
      <c r="L817"/>
      <c r="M817"/>
      <c r="N817"/>
      <c r="O817"/>
    </row>
    <row r="818" spans="2:15" x14ac:dyDescent="0.2">
      <c r="B818" s="74"/>
      <c r="C818"/>
      <c r="D818" s="74"/>
      <c r="E818" s="74"/>
      <c r="F818" s="74"/>
      <c r="G818" s="74"/>
      <c r="H818" s="74"/>
      <c r="J818" s="110"/>
      <c r="K818" s="111"/>
      <c r="L818"/>
      <c r="M818"/>
      <c r="N818"/>
      <c r="O818"/>
    </row>
    <row r="819" spans="2:15" x14ac:dyDescent="0.2">
      <c r="B819" s="74"/>
      <c r="C819"/>
      <c r="D819" s="74"/>
      <c r="E819" s="74"/>
      <c r="F819" s="74"/>
      <c r="G819" s="74"/>
      <c r="H819" s="74"/>
      <c r="J819" s="110"/>
      <c r="K819" s="111"/>
      <c r="L819"/>
      <c r="M819"/>
      <c r="N819"/>
      <c r="O819"/>
    </row>
    <row r="820" spans="2:15" x14ac:dyDescent="0.2">
      <c r="B820" s="74"/>
      <c r="C820"/>
      <c r="D820" s="74"/>
      <c r="E820" s="74"/>
      <c r="F820" s="74"/>
      <c r="G820" s="74"/>
      <c r="H820" s="74"/>
      <c r="J820" s="110"/>
      <c r="K820" s="111"/>
      <c r="L820"/>
      <c r="M820"/>
      <c r="N820"/>
      <c r="O820"/>
    </row>
    <row r="821" spans="2:15" x14ac:dyDescent="0.2">
      <c r="B821" s="74"/>
      <c r="C821"/>
      <c r="D821" s="74"/>
      <c r="E821" s="74"/>
      <c r="F821" s="74"/>
      <c r="G821" s="74"/>
      <c r="H821" s="74"/>
      <c r="J821" s="110"/>
      <c r="K821" s="111"/>
      <c r="L821"/>
      <c r="M821"/>
      <c r="N821"/>
      <c r="O821"/>
    </row>
    <row r="822" spans="2:15" x14ac:dyDescent="0.2">
      <c r="B822" s="74"/>
      <c r="C822"/>
      <c r="D822" s="74"/>
      <c r="E822" s="74"/>
      <c r="F822" s="74"/>
      <c r="G822" s="74"/>
      <c r="H822" s="74"/>
      <c r="J822" s="110"/>
      <c r="K822" s="111"/>
      <c r="L822"/>
      <c r="M822"/>
      <c r="N822"/>
      <c r="O822"/>
    </row>
    <row r="823" spans="2:15" x14ac:dyDescent="0.2">
      <c r="B823" s="74"/>
      <c r="C823"/>
      <c r="D823" s="74"/>
      <c r="E823" s="74"/>
      <c r="F823" s="74"/>
      <c r="G823" s="74"/>
      <c r="H823" s="74"/>
      <c r="J823" s="110"/>
      <c r="K823" s="111"/>
      <c r="L823"/>
      <c r="M823"/>
      <c r="N823"/>
      <c r="O823"/>
    </row>
    <row r="824" spans="2:15" x14ac:dyDescent="0.2">
      <c r="B824" s="74"/>
      <c r="C824"/>
      <c r="D824" s="74"/>
      <c r="E824" s="74"/>
      <c r="F824" s="74"/>
      <c r="G824" s="74"/>
      <c r="H824" s="74"/>
      <c r="J824" s="110"/>
      <c r="K824" s="111"/>
      <c r="L824"/>
      <c r="M824"/>
      <c r="N824"/>
      <c r="O824"/>
    </row>
    <row r="825" spans="2:15" x14ac:dyDescent="0.2">
      <c r="B825" s="74"/>
      <c r="C825"/>
      <c r="D825" s="74"/>
      <c r="E825" s="74"/>
      <c r="F825" s="74"/>
      <c r="G825" s="74"/>
      <c r="H825" s="74"/>
      <c r="J825" s="110"/>
      <c r="K825" s="111"/>
      <c r="L825"/>
      <c r="M825"/>
      <c r="N825"/>
      <c r="O825"/>
    </row>
    <row r="826" spans="2:15" x14ac:dyDescent="0.2">
      <c r="B826" s="74"/>
      <c r="C826"/>
      <c r="D826" s="74"/>
      <c r="E826" s="74"/>
      <c r="F826" s="74"/>
      <c r="G826" s="74"/>
      <c r="H826" s="74"/>
      <c r="J826" s="110"/>
      <c r="K826" s="111"/>
      <c r="L826"/>
      <c r="M826"/>
      <c r="N826"/>
      <c r="O826"/>
    </row>
    <row r="827" spans="2:15" x14ac:dyDescent="0.2">
      <c r="B827" s="74"/>
      <c r="C827"/>
      <c r="D827" s="74"/>
      <c r="E827" s="74"/>
      <c r="F827" s="74"/>
      <c r="G827" s="74"/>
      <c r="H827" s="74"/>
      <c r="J827" s="110"/>
      <c r="K827" s="111"/>
      <c r="L827"/>
      <c r="M827"/>
      <c r="N827"/>
      <c r="O827"/>
    </row>
    <row r="828" spans="2:15" x14ac:dyDescent="0.2">
      <c r="B828" s="74"/>
      <c r="C828"/>
      <c r="D828" s="74"/>
      <c r="E828" s="74"/>
      <c r="F828" s="74"/>
      <c r="G828" s="74"/>
      <c r="H828" s="74"/>
      <c r="J828" s="110"/>
      <c r="K828" s="111"/>
      <c r="L828"/>
      <c r="M828"/>
      <c r="N828"/>
      <c r="O828"/>
    </row>
    <row r="829" spans="2:15" x14ac:dyDescent="0.2">
      <c r="B829" s="74"/>
      <c r="C829"/>
      <c r="D829" s="74"/>
      <c r="E829" s="74"/>
      <c r="F829" s="74"/>
      <c r="G829" s="74"/>
      <c r="H829" s="74"/>
      <c r="J829" s="110"/>
      <c r="K829" s="111"/>
      <c r="L829"/>
      <c r="M829"/>
      <c r="N829"/>
      <c r="O829"/>
    </row>
    <row r="830" spans="2:15" x14ac:dyDescent="0.2">
      <c r="B830" s="74"/>
      <c r="C830"/>
      <c r="D830" s="74"/>
      <c r="E830" s="74"/>
      <c r="F830" s="74"/>
      <c r="G830" s="74"/>
      <c r="H830" s="74"/>
      <c r="J830" s="110"/>
      <c r="K830" s="111"/>
      <c r="L830"/>
      <c r="M830"/>
      <c r="N830"/>
      <c r="O830"/>
    </row>
    <row r="831" spans="2:15" x14ac:dyDescent="0.2">
      <c r="B831" s="74"/>
      <c r="C831"/>
      <c r="D831" s="74"/>
      <c r="E831" s="74"/>
      <c r="F831" s="74"/>
      <c r="G831" s="74"/>
      <c r="H831" s="74"/>
      <c r="J831" s="110"/>
      <c r="K831" s="111"/>
      <c r="L831"/>
      <c r="M831"/>
      <c r="N831"/>
      <c r="O831"/>
    </row>
    <row r="832" spans="2:15" x14ac:dyDescent="0.2">
      <c r="B832" s="74"/>
      <c r="C832"/>
      <c r="D832" s="74"/>
      <c r="E832" s="74"/>
      <c r="F832" s="74"/>
      <c r="G832" s="74"/>
      <c r="H832" s="74"/>
      <c r="J832" s="110"/>
      <c r="K832" s="111"/>
      <c r="L832"/>
      <c r="M832"/>
      <c r="N832"/>
      <c r="O832"/>
    </row>
    <row r="833" spans="2:15" x14ac:dyDescent="0.2">
      <c r="B833" s="74"/>
      <c r="C833"/>
      <c r="D833" s="74"/>
      <c r="E833" s="74"/>
      <c r="F833" s="74"/>
      <c r="G833" s="74"/>
      <c r="H833" s="74"/>
      <c r="J833" s="110"/>
      <c r="K833" s="111"/>
      <c r="L833"/>
      <c r="M833"/>
      <c r="N833"/>
      <c r="O833"/>
    </row>
    <row r="834" spans="2:15" x14ac:dyDescent="0.2">
      <c r="B834" s="74"/>
      <c r="C834"/>
      <c r="D834" s="74"/>
      <c r="E834" s="74"/>
      <c r="F834" s="74"/>
      <c r="G834" s="74"/>
      <c r="H834" s="74"/>
      <c r="J834" s="110"/>
      <c r="K834" s="111"/>
      <c r="L834"/>
      <c r="M834"/>
      <c r="N834"/>
      <c r="O834"/>
    </row>
    <row r="835" spans="2:15" x14ac:dyDescent="0.2">
      <c r="B835" s="74"/>
      <c r="C835"/>
      <c r="D835" s="74"/>
      <c r="E835" s="74"/>
      <c r="F835" s="74"/>
      <c r="G835" s="74"/>
      <c r="H835" s="74"/>
      <c r="J835" s="110"/>
      <c r="K835" s="111"/>
      <c r="L835"/>
      <c r="M835"/>
      <c r="N835"/>
      <c r="O835"/>
    </row>
    <row r="836" spans="2:15" x14ac:dyDescent="0.2">
      <c r="B836" s="74"/>
      <c r="C836"/>
      <c r="D836" s="74"/>
      <c r="E836" s="74"/>
      <c r="F836" s="74"/>
      <c r="G836" s="74"/>
      <c r="H836" s="74"/>
      <c r="J836" s="110"/>
      <c r="K836" s="111"/>
      <c r="L836"/>
      <c r="M836"/>
      <c r="N836"/>
      <c r="O836"/>
    </row>
    <row r="837" spans="2:15" x14ac:dyDescent="0.2">
      <c r="B837" s="74"/>
      <c r="C837"/>
      <c r="D837" s="74"/>
      <c r="E837" s="74"/>
      <c r="F837" s="74"/>
      <c r="G837" s="74"/>
      <c r="H837" s="74"/>
      <c r="J837" s="110"/>
      <c r="K837" s="111"/>
      <c r="L837"/>
      <c r="M837"/>
      <c r="N837"/>
      <c r="O837"/>
    </row>
    <row r="838" spans="2:15" x14ac:dyDescent="0.2">
      <c r="B838" s="74"/>
      <c r="C838"/>
      <c r="D838" s="74"/>
      <c r="E838" s="74"/>
      <c r="F838" s="74"/>
      <c r="G838" s="74"/>
      <c r="H838" s="74"/>
      <c r="J838" s="110"/>
      <c r="K838" s="111"/>
      <c r="L838"/>
      <c r="M838"/>
      <c r="N838"/>
      <c r="O838"/>
    </row>
    <row r="839" spans="2:15" x14ac:dyDescent="0.2">
      <c r="B839" s="74"/>
      <c r="C839"/>
      <c r="D839" s="74"/>
      <c r="E839" s="74"/>
      <c r="F839" s="74"/>
      <c r="G839" s="74"/>
      <c r="H839" s="74"/>
      <c r="J839" s="110"/>
      <c r="K839" s="111"/>
      <c r="L839"/>
      <c r="M839"/>
      <c r="N839"/>
      <c r="O839"/>
    </row>
    <row r="840" spans="2:15" x14ac:dyDescent="0.2">
      <c r="B840" s="74"/>
      <c r="C840"/>
      <c r="D840" s="74"/>
      <c r="E840" s="74"/>
      <c r="F840" s="74"/>
      <c r="G840" s="74"/>
      <c r="H840" s="74"/>
      <c r="J840" s="110"/>
      <c r="K840" s="111"/>
      <c r="L840"/>
      <c r="M840"/>
      <c r="N840"/>
      <c r="O840"/>
    </row>
    <row r="841" spans="2:15" x14ac:dyDescent="0.2">
      <c r="B841" s="74"/>
      <c r="C841"/>
      <c r="D841" s="74"/>
      <c r="E841" s="74"/>
      <c r="F841" s="74"/>
      <c r="G841" s="74"/>
      <c r="H841" s="74"/>
      <c r="J841" s="110"/>
      <c r="K841" s="111"/>
      <c r="L841"/>
      <c r="M841"/>
      <c r="N841"/>
      <c r="O841"/>
    </row>
    <row r="842" spans="2:15" x14ac:dyDescent="0.2">
      <c r="B842" s="74"/>
      <c r="C842"/>
      <c r="D842" s="74"/>
      <c r="E842" s="74"/>
      <c r="F842" s="74"/>
      <c r="G842" s="74"/>
      <c r="H842" s="74"/>
      <c r="J842" s="110"/>
      <c r="K842" s="111"/>
      <c r="L842"/>
      <c r="M842"/>
      <c r="N842"/>
      <c r="O842"/>
    </row>
    <row r="843" spans="2:15" x14ac:dyDescent="0.2">
      <c r="B843" s="74"/>
      <c r="C843"/>
      <c r="D843" s="74"/>
      <c r="E843" s="74"/>
      <c r="F843" s="74"/>
      <c r="G843" s="74"/>
      <c r="H843" s="74"/>
      <c r="J843" s="110"/>
      <c r="K843" s="111"/>
      <c r="L843"/>
      <c r="M843"/>
      <c r="N843"/>
      <c r="O843"/>
    </row>
    <row r="844" spans="2:15" x14ac:dyDescent="0.2">
      <c r="B844" s="74"/>
      <c r="C844"/>
      <c r="D844" s="74"/>
      <c r="E844" s="74"/>
      <c r="F844" s="74"/>
      <c r="G844" s="74"/>
      <c r="H844" s="74"/>
      <c r="J844" s="110"/>
      <c r="K844" s="111"/>
      <c r="L844"/>
      <c r="M844"/>
      <c r="N844"/>
      <c r="O844"/>
    </row>
    <row r="845" spans="2:15" x14ac:dyDescent="0.2">
      <c r="B845" s="74"/>
      <c r="C845"/>
      <c r="D845" s="74"/>
      <c r="E845" s="74"/>
      <c r="F845" s="74"/>
      <c r="G845" s="74"/>
      <c r="H845" s="74"/>
      <c r="J845" s="110"/>
      <c r="K845" s="111"/>
      <c r="L845"/>
      <c r="M845"/>
      <c r="N845"/>
      <c r="O845"/>
    </row>
    <row r="846" spans="2:15" x14ac:dyDescent="0.2">
      <c r="B846" s="74"/>
      <c r="C846"/>
      <c r="D846" s="74"/>
      <c r="E846" s="74"/>
      <c r="F846" s="74"/>
      <c r="G846" s="74"/>
      <c r="H846" s="74"/>
      <c r="J846" s="110"/>
      <c r="K846" s="111"/>
      <c r="L846"/>
      <c r="M846"/>
      <c r="N846"/>
      <c r="O846"/>
    </row>
    <row r="847" spans="2:15" x14ac:dyDescent="0.2">
      <c r="B847" s="74"/>
      <c r="C847"/>
      <c r="D847" s="74"/>
      <c r="E847" s="74"/>
      <c r="F847" s="74"/>
      <c r="G847" s="74"/>
      <c r="H847" s="74"/>
      <c r="J847" s="110"/>
      <c r="K847" s="111"/>
      <c r="L847"/>
      <c r="M847"/>
      <c r="N847"/>
      <c r="O847"/>
    </row>
    <row r="848" spans="2:15" x14ac:dyDescent="0.2">
      <c r="B848" s="74"/>
      <c r="C848"/>
      <c r="D848" s="74"/>
      <c r="E848" s="74"/>
      <c r="F848" s="74"/>
      <c r="G848" s="74"/>
      <c r="H848" s="74"/>
      <c r="J848" s="110"/>
      <c r="K848" s="111"/>
      <c r="L848"/>
      <c r="M848"/>
      <c r="N848"/>
      <c r="O848"/>
    </row>
    <row r="849" spans="2:15" x14ac:dyDescent="0.2">
      <c r="B849" s="74"/>
      <c r="C849"/>
      <c r="D849" s="74"/>
      <c r="E849" s="74"/>
      <c r="F849" s="74"/>
      <c r="G849" s="74"/>
      <c r="H849" s="74"/>
      <c r="J849" s="110"/>
      <c r="K849" s="111"/>
      <c r="L849"/>
      <c r="M849"/>
      <c r="N849"/>
      <c r="O849"/>
    </row>
    <row r="850" spans="2:15" x14ac:dyDescent="0.2">
      <c r="B850" s="74"/>
      <c r="C850"/>
      <c r="D850" s="74"/>
      <c r="E850" s="74"/>
      <c r="F850" s="74"/>
      <c r="G850" s="74"/>
      <c r="H850" s="74"/>
      <c r="J850" s="110"/>
      <c r="K850" s="111"/>
      <c r="L850"/>
      <c r="M850"/>
      <c r="N850"/>
      <c r="O850"/>
    </row>
    <row r="851" spans="2:15" x14ac:dyDescent="0.2">
      <c r="B851" s="74"/>
      <c r="C851"/>
      <c r="D851" s="74"/>
      <c r="E851" s="74"/>
      <c r="F851" s="74"/>
      <c r="G851" s="74"/>
      <c r="H851" s="74"/>
      <c r="J851" s="110"/>
      <c r="K851" s="111"/>
      <c r="L851"/>
      <c r="M851"/>
      <c r="N851"/>
      <c r="O851"/>
    </row>
    <row r="852" spans="2:15" x14ac:dyDescent="0.2">
      <c r="B852" s="74"/>
      <c r="C852"/>
      <c r="D852" s="74"/>
      <c r="E852" s="74"/>
      <c r="F852" s="74"/>
      <c r="G852" s="74"/>
      <c r="H852" s="74"/>
      <c r="J852" s="110"/>
      <c r="K852" s="111"/>
      <c r="L852"/>
      <c r="M852"/>
      <c r="N852"/>
      <c r="O852"/>
    </row>
    <row r="853" spans="2:15" x14ac:dyDescent="0.2">
      <c r="B853" s="74"/>
      <c r="C853"/>
      <c r="D853" s="74"/>
      <c r="E853" s="74"/>
      <c r="F853" s="74"/>
      <c r="G853" s="74"/>
      <c r="H853" s="74"/>
      <c r="J853" s="110"/>
      <c r="K853" s="111"/>
      <c r="L853"/>
      <c r="M853"/>
      <c r="N853"/>
      <c r="O853"/>
    </row>
    <row r="854" spans="2:15" x14ac:dyDescent="0.2">
      <c r="B854" s="74"/>
      <c r="C854"/>
      <c r="D854" s="74"/>
      <c r="E854" s="74"/>
      <c r="F854" s="74"/>
      <c r="G854" s="74"/>
      <c r="H854" s="74"/>
      <c r="J854" s="110"/>
      <c r="K854" s="111"/>
      <c r="L854"/>
      <c r="M854"/>
      <c r="N854"/>
      <c r="O854"/>
    </row>
    <row r="855" spans="2:15" x14ac:dyDescent="0.2">
      <c r="B855" s="74"/>
      <c r="C855"/>
      <c r="D855" s="74"/>
      <c r="E855" s="74"/>
      <c r="F855" s="74"/>
      <c r="G855" s="74"/>
      <c r="H855" s="74"/>
      <c r="J855" s="110"/>
      <c r="K855" s="111"/>
      <c r="L855"/>
      <c r="M855"/>
      <c r="N855"/>
      <c r="O855"/>
    </row>
    <row r="856" spans="2:15" x14ac:dyDescent="0.2">
      <c r="B856" s="74"/>
      <c r="C856"/>
      <c r="D856" s="74"/>
      <c r="E856" s="74"/>
      <c r="F856" s="74"/>
      <c r="G856" s="74"/>
      <c r="H856" s="74"/>
      <c r="J856" s="110"/>
      <c r="K856" s="111"/>
      <c r="L856"/>
      <c r="M856"/>
      <c r="N856"/>
      <c r="O856"/>
    </row>
    <row r="857" spans="2:15" x14ac:dyDescent="0.2">
      <c r="B857" s="74"/>
      <c r="C857"/>
      <c r="D857" s="74"/>
      <c r="E857" s="74"/>
      <c r="F857" s="74"/>
      <c r="G857" s="74"/>
      <c r="H857" s="74"/>
      <c r="J857" s="110"/>
      <c r="K857" s="111"/>
      <c r="L857"/>
      <c r="M857"/>
      <c r="N857"/>
      <c r="O857"/>
    </row>
    <row r="858" spans="2:15" x14ac:dyDescent="0.2">
      <c r="B858" s="74"/>
      <c r="C858"/>
      <c r="D858" s="74"/>
      <c r="E858" s="74"/>
      <c r="F858" s="74"/>
      <c r="G858" s="74"/>
      <c r="H858" s="74"/>
      <c r="J858" s="110"/>
      <c r="K858" s="111"/>
      <c r="L858"/>
      <c r="M858"/>
      <c r="N858"/>
      <c r="O858"/>
    </row>
    <row r="859" spans="2:15" x14ac:dyDescent="0.2">
      <c r="B859" s="74"/>
      <c r="C859"/>
      <c r="D859" s="74"/>
      <c r="E859" s="74"/>
      <c r="F859" s="74"/>
      <c r="G859" s="74"/>
      <c r="H859" s="74"/>
      <c r="J859" s="110"/>
      <c r="K859" s="111"/>
      <c r="L859"/>
      <c r="M859"/>
      <c r="N859"/>
      <c r="O859"/>
    </row>
    <row r="860" spans="2:15" x14ac:dyDescent="0.2">
      <c r="B860" s="74"/>
      <c r="C860"/>
      <c r="D860" s="74"/>
      <c r="E860" s="74"/>
      <c r="F860" s="74"/>
      <c r="G860" s="74"/>
      <c r="H860" s="74"/>
      <c r="J860" s="110"/>
      <c r="K860" s="111"/>
      <c r="L860"/>
      <c r="M860"/>
      <c r="N860"/>
      <c r="O860"/>
    </row>
    <row r="861" spans="2:15" x14ac:dyDescent="0.2">
      <c r="B861" s="74"/>
      <c r="C861"/>
      <c r="D861" s="74"/>
      <c r="E861" s="74"/>
      <c r="F861" s="74"/>
      <c r="G861" s="74"/>
      <c r="H861" s="74"/>
      <c r="J861" s="110"/>
      <c r="K861" s="111"/>
      <c r="L861"/>
      <c r="M861"/>
      <c r="N861"/>
      <c r="O861"/>
    </row>
    <row r="862" spans="2:15" x14ac:dyDescent="0.2">
      <c r="B862" s="74"/>
      <c r="C862"/>
      <c r="D862" s="74"/>
      <c r="E862" s="74"/>
      <c r="F862" s="74"/>
      <c r="G862" s="74"/>
      <c r="H862" s="74"/>
      <c r="J862" s="110"/>
      <c r="K862" s="111"/>
      <c r="L862"/>
      <c r="M862"/>
      <c r="N862"/>
      <c r="O862"/>
    </row>
    <row r="863" spans="2:15" x14ac:dyDescent="0.2">
      <c r="B863" s="74"/>
      <c r="C863"/>
      <c r="D863" s="74"/>
      <c r="E863" s="74"/>
      <c r="F863" s="74"/>
      <c r="G863" s="74"/>
      <c r="H863" s="74"/>
      <c r="J863" s="110"/>
      <c r="K863" s="111"/>
      <c r="L863"/>
      <c r="M863"/>
      <c r="N863"/>
      <c r="O863"/>
    </row>
    <row r="864" spans="2:15" x14ac:dyDescent="0.2">
      <c r="B864" s="74"/>
      <c r="C864"/>
      <c r="D864" s="74"/>
      <c r="E864" s="74"/>
      <c r="F864" s="74"/>
      <c r="G864" s="74"/>
      <c r="H864" s="74"/>
      <c r="J864" s="110"/>
      <c r="K864" s="111"/>
      <c r="L864"/>
      <c r="M864"/>
      <c r="N864"/>
      <c r="O864"/>
    </row>
    <row r="865" spans="2:15" x14ac:dyDescent="0.2">
      <c r="B865" s="74"/>
      <c r="C865"/>
      <c r="D865" s="74"/>
      <c r="E865" s="74"/>
      <c r="F865" s="74"/>
      <c r="G865" s="74"/>
      <c r="H865" s="74"/>
      <c r="J865" s="110"/>
      <c r="K865" s="111"/>
      <c r="L865"/>
      <c r="M865"/>
      <c r="N865"/>
      <c r="O865"/>
    </row>
    <row r="866" spans="2:15" x14ac:dyDescent="0.2">
      <c r="B866" s="74"/>
      <c r="C866"/>
      <c r="D866" s="74"/>
      <c r="E866" s="74"/>
      <c r="F866" s="74"/>
      <c r="G866" s="74"/>
      <c r="H866" s="74"/>
      <c r="J866" s="110"/>
      <c r="K866" s="111"/>
      <c r="L866"/>
      <c r="M866"/>
      <c r="N866"/>
      <c r="O866"/>
    </row>
    <row r="867" spans="2:15" x14ac:dyDescent="0.2">
      <c r="B867" s="74"/>
      <c r="C867"/>
      <c r="D867" s="74"/>
      <c r="E867" s="74"/>
      <c r="F867" s="74"/>
      <c r="G867" s="74"/>
      <c r="H867" s="74"/>
      <c r="J867" s="110"/>
      <c r="K867" s="111"/>
      <c r="L867"/>
      <c r="M867"/>
      <c r="N867"/>
      <c r="O867"/>
    </row>
    <row r="868" spans="2:15" x14ac:dyDescent="0.2">
      <c r="B868" s="74"/>
      <c r="C868"/>
      <c r="D868" s="74"/>
      <c r="E868" s="74"/>
      <c r="F868" s="74"/>
      <c r="G868" s="74"/>
      <c r="H868" s="74"/>
      <c r="J868" s="110"/>
      <c r="K868" s="111"/>
      <c r="L868"/>
      <c r="M868"/>
      <c r="N868"/>
      <c r="O868"/>
    </row>
    <row r="869" spans="2:15" x14ac:dyDescent="0.2">
      <c r="B869" s="74"/>
      <c r="C869"/>
      <c r="D869" s="74"/>
      <c r="E869" s="74"/>
      <c r="F869" s="74"/>
      <c r="G869" s="74"/>
      <c r="H869" s="74"/>
      <c r="J869" s="110"/>
      <c r="K869" s="111"/>
      <c r="L869"/>
      <c r="M869"/>
      <c r="N869"/>
      <c r="O869"/>
    </row>
    <row r="870" spans="2:15" x14ac:dyDescent="0.2">
      <c r="B870" s="74"/>
      <c r="C870"/>
      <c r="D870" s="74"/>
      <c r="E870" s="74"/>
      <c r="F870" s="74"/>
      <c r="G870" s="74"/>
      <c r="H870" s="74"/>
      <c r="J870" s="110"/>
      <c r="K870" s="111"/>
      <c r="L870"/>
      <c r="M870"/>
      <c r="N870"/>
      <c r="O870"/>
    </row>
    <row r="871" spans="2:15" x14ac:dyDescent="0.2">
      <c r="B871" s="74"/>
      <c r="C871"/>
      <c r="D871" s="74"/>
      <c r="E871" s="74"/>
      <c r="F871" s="74"/>
      <c r="G871" s="74"/>
      <c r="H871" s="74"/>
      <c r="J871" s="110"/>
      <c r="K871" s="111"/>
      <c r="L871"/>
      <c r="M871"/>
      <c r="N871"/>
      <c r="O871"/>
    </row>
    <row r="872" spans="2:15" x14ac:dyDescent="0.2">
      <c r="B872" s="74"/>
      <c r="C872"/>
      <c r="D872" s="74"/>
      <c r="E872" s="74"/>
      <c r="F872" s="74"/>
      <c r="G872" s="74"/>
      <c r="H872" s="74"/>
      <c r="J872" s="110"/>
      <c r="K872" s="111"/>
      <c r="L872"/>
      <c r="M872"/>
      <c r="N872"/>
      <c r="O872"/>
    </row>
    <row r="873" spans="2:15" x14ac:dyDescent="0.2">
      <c r="B873" s="74"/>
      <c r="C873"/>
      <c r="D873" s="74"/>
      <c r="E873" s="74"/>
      <c r="F873" s="74"/>
      <c r="G873" s="74"/>
      <c r="H873" s="74"/>
      <c r="J873" s="110"/>
      <c r="K873" s="111"/>
      <c r="L873"/>
      <c r="M873"/>
      <c r="N873"/>
      <c r="O873"/>
    </row>
    <row r="874" spans="2:15" x14ac:dyDescent="0.2">
      <c r="B874" s="74"/>
      <c r="C874"/>
      <c r="D874" s="74"/>
      <c r="E874" s="74"/>
      <c r="F874" s="74"/>
      <c r="G874" s="74"/>
      <c r="H874" s="74"/>
      <c r="J874" s="110"/>
      <c r="K874" s="111"/>
      <c r="L874"/>
      <c r="M874"/>
      <c r="N874"/>
      <c r="O874"/>
    </row>
    <row r="875" spans="2:15" x14ac:dyDescent="0.2">
      <c r="B875" s="74"/>
      <c r="C875"/>
      <c r="D875" s="74"/>
      <c r="E875" s="74"/>
      <c r="F875" s="74"/>
      <c r="G875" s="74"/>
      <c r="H875" s="74"/>
      <c r="J875" s="110"/>
      <c r="K875" s="111"/>
      <c r="L875"/>
      <c r="M875"/>
      <c r="N875"/>
      <c r="O875"/>
    </row>
    <row r="876" spans="2:15" x14ac:dyDescent="0.2">
      <c r="B876" s="74"/>
      <c r="C876"/>
      <c r="D876" s="74"/>
      <c r="E876" s="74"/>
      <c r="F876" s="74"/>
      <c r="G876" s="74"/>
      <c r="H876" s="74"/>
      <c r="J876" s="110"/>
      <c r="K876" s="111"/>
      <c r="L876"/>
      <c r="M876"/>
      <c r="N876"/>
      <c r="O876"/>
    </row>
    <row r="877" spans="2:15" x14ac:dyDescent="0.2">
      <c r="B877" s="74"/>
      <c r="C877"/>
      <c r="D877" s="74"/>
      <c r="E877" s="74"/>
      <c r="F877" s="74"/>
      <c r="G877" s="74"/>
      <c r="H877" s="74"/>
      <c r="J877" s="110"/>
      <c r="K877" s="111"/>
      <c r="L877"/>
      <c r="M877"/>
      <c r="N877"/>
      <c r="O877"/>
    </row>
    <row r="878" spans="2:15" x14ac:dyDescent="0.2">
      <c r="B878" s="74"/>
      <c r="C878"/>
      <c r="D878" s="74"/>
      <c r="E878" s="74"/>
      <c r="F878" s="74"/>
      <c r="G878" s="74"/>
      <c r="H878" s="74"/>
      <c r="J878" s="110"/>
      <c r="K878" s="111"/>
      <c r="L878"/>
      <c r="M878"/>
      <c r="N878"/>
      <c r="O878"/>
    </row>
    <row r="879" spans="2:15" x14ac:dyDescent="0.2">
      <c r="B879" s="74"/>
      <c r="C879"/>
      <c r="D879" s="74"/>
      <c r="E879" s="74"/>
      <c r="F879" s="74"/>
      <c r="G879" s="74"/>
      <c r="H879" s="74"/>
      <c r="J879" s="110"/>
      <c r="K879" s="111"/>
      <c r="L879"/>
      <c r="M879"/>
      <c r="N879"/>
      <c r="O879"/>
    </row>
    <row r="880" spans="2:15" x14ac:dyDescent="0.2">
      <c r="B880" s="74"/>
      <c r="C880"/>
      <c r="D880" s="74"/>
      <c r="E880" s="74"/>
      <c r="F880" s="74"/>
      <c r="G880" s="74"/>
      <c r="H880" s="74"/>
      <c r="J880" s="110"/>
      <c r="K880" s="111"/>
      <c r="L880"/>
      <c r="M880"/>
      <c r="N880"/>
      <c r="O880"/>
    </row>
    <row r="881" spans="2:15" x14ac:dyDescent="0.2">
      <c r="B881" s="74"/>
      <c r="C881"/>
      <c r="D881" s="74"/>
      <c r="E881" s="74"/>
      <c r="F881" s="74"/>
      <c r="G881" s="74"/>
      <c r="H881" s="74"/>
      <c r="J881" s="110"/>
      <c r="K881" s="111"/>
      <c r="L881"/>
      <c r="M881"/>
      <c r="N881"/>
      <c r="O881"/>
    </row>
    <row r="882" spans="2:15" x14ac:dyDescent="0.2">
      <c r="B882" s="74"/>
      <c r="C882"/>
      <c r="D882" s="74"/>
      <c r="E882" s="74"/>
      <c r="F882" s="74"/>
      <c r="G882" s="74"/>
      <c r="H882" s="74"/>
      <c r="J882" s="110"/>
      <c r="K882" s="111"/>
      <c r="L882"/>
      <c r="M882"/>
      <c r="N882"/>
      <c r="O882"/>
    </row>
    <row r="883" spans="2:15" x14ac:dyDescent="0.2">
      <c r="B883" s="74"/>
      <c r="C883"/>
      <c r="D883" s="74"/>
      <c r="E883" s="74"/>
      <c r="F883" s="74"/>
      <c r="G883" s="74"/>
      <c r="H883" s="74"/>
      <c r="J883" s="110"/>
      <c r="K883" s="111"/>
      <c r="L883"/>
      <c r="M883"/>
      <c r="N883"/>
      <c r="O883"/>
    </row>
    <row r="884" spans="2:15" x14ac:dyDescent="0.2">
      <c r="B884" s="74"/>
      <c r="C884"/>
      <c r="D884" s="74"/>
      <c r="E884" s="74"/>
      <c r="F884" s="74"/>
      <c r="G884" s="74"/>
      <c r="H884" s="74"/>
      <c r="J884" s="110"/>
      <c r="K884" s="111"/>
      <c r="L884"/>
      <c r="M884"/>
      <c r="N884"/>
      <c r="O884"/>
    </row>
    <row r="885" spans="2:15" x14ac:dyDescent="0.2">
      <c r="B885" s="74"/>
      <c r="C885"/>
      <c r="D885" s="74"/>
      <c r="E885" s="74"/>
      <c r="F885" s="74"/>
      <c r="G885" s="74"/>
      <c r="H885" s="74"/>
      <c r="J885" s="110"/>
      <c r="K885" s="111"/>
      <c r="L885"/>
      <c r="M885"/>
      <c r="N885"/>
      <c r="O885"/>
    </row>
    <row r="886" spans="2:15" x14ac:dyDescent="0.2">
      <c r="B886" s="74"/>
      <c r="C886"/>
      <c r="D886" s="74"/>
      <c r="E886" s="74"/>
      <c r="F886" s="74"/>
      <c r="G886" s="74"/>
      <c r="H886" s="74"/>
      <c r="J886" s="110"/>
      <c r="K886" s="111"/>
      <c r="L886"/>
      <c r="M886"/>
      <c r="N886"/>
      <c r="O886"/>
    </row>
    <row r="887" spans="2:15" x14ac:dyDescent="0.2">
      <c r="B887" s="74"/>
      <c r="C887"/>
      <c r="D887" s="74"/>
      <c r="E887" s="74"/>
      <c r="F887" s="74"/>
      <c r="G887" s="74"/>
      <c r="H887" s="74"/>
      <c r="J887" s="110"/>
      <c r="K887" s="111"/>
      <c r="L887"/>
      <c r="M887"/>
      <c r="N887"/>
      <c r="O887"/>
    </row>
    <row r="888" spans="2:15" x14ac:dyDescent="0.2">
      <c r="B888" s="74"/>
      <c r="C888"/>
      <c r="D888" s="74"/>
      <c r="E888" s="74"/>
      <c r="F888" s="74"/>
      <c r="G888" s="74"/>
      <c r="H888" s="74"/>
      <c r="J888" s="110"/>
      <c r="K888" s="111"/>
      <c r="L888"/>
      <c r="M888"/>
      <c r="N888"/>
      <c r="O888"/>
    </row>
    <row r="889" spans="2:15" x14ac:dyDescent="0.2">
      <c r="B889" s="74"/>
      <c r="C889"/>
      <c r="D889" s="74"/>
      <c r="E889" s="74"/>
      <c r="F889" s="74"/>
      <c r="G889" s="74"/>
      <c r="H889" s="74"/>
      <c r="J889" s="110"/>
      <c r="K889" s="111"/>
      <c r="L889"/>
      <c r="M889"/>
      <c r="N889"/>
      <c r="O889"/>
    </row>
    <row r="890" spans="2:15" x14ac:dyDescent="0.2">
      <c r="B890" s="74"/>
      <c r="C890"/>
      <c r="D890" s="74"/>
      <c r="E890" s="74"/>
      <c r="F890" s="74"/>
      <c r="G890" s="74"/>
      <c r="H890" s="74"/>
      <c r="J890" s="110"/>
      <c r="K890" s="111"/>
      <c r="L890"/>
      <c r="M890"/>
      <c r="N890"/>
      <c r="O890"/>
    </row>
    <row r="891" spans="2:15" x14ac:dyDescent="0.2">
      <c r="B891" s="74"/>
      <c r="C891"/>
      <c r="D891" s="74"/>
      <c r="E891" s="74"/>
      <c r="F891" s="74"/>
      <c r="G891" s="74"/>
      <c r="H891" s="74"/>
      <c r="J891" s="110"/>
      <c r="K891" s="111"/>
      <c r="L891"/>
      <c r="M891"/>
      <c r="N891"/>
      <c r="O891"/>
    </row>
    <row r="892" spans="2:15" x14ac:dyDescent="0.2">
      <c r="B892" s="74"/>
      <c r="C892"/>
      <c r="D892" s="74"/>
      <c r="E892" s="74"/>
      <c r="F892" s="74"/>
      <c r="G892" s="74"/>
      <c r="H892" s="74"/>
      <c r="J892" s="110"/>
      <c r="K892" s="111"/>
      <c r="L892"/>
      <c r="M892"/>
      <c r="N892"/>
      <c r="O892"/>
    </row>
    <row r="893" spans="2:15" x14ac:dyDescent="0.2">
      <c r="B893" s="74"/>
      <c r="C893"/>
      <c r="D893" s="74"/>
      <c r="E893" s="74"/>
      <c r="F893" s="74"/>
      <c r="G893" s="74"/>
      <c r="H893" s="74"/>
      <c r="J893" s="110"/>
      <c r="K893" s="111"/>
      <c r="L893"/>
      <c r="M893"/>
      <c r="N893"/>
      <c r="O893"/>
    </row>
    <row r="894" spans="2:15" x14ac:dyDescent="0.2">
      <c r="B894" s="74"/>
      <c r="C894"/>
      <c r="D894" s="74"/>
      <c r="E894" s="74"/>
      <c r="F894" s="74"/>
      <c r="G894" s="74"/>
      <c r="H894" s="74"/>
      <c r="J894" s="110"/>
      <c r="K894" s="111"/>
      <c r="L894"/>
      <c r="M894"/>
      <c r="N894"/>
      <c r="O894"/>
    </row>
    <row r="895" spans="2:15" x14ac:dyDescent="0.2">
      <c r="B895" s="74"/>
      <c r="C895"/>
      <c r="D895" s="74"/>
      <c r="E895" s="74"/>
      <c r="F895" s="74"/>
      <c r="G895" s="74"/>
      <c r="H895" s="74"/>
      <c r="J895" s="110"/>
      <c r="K895" s="111"/>
      <c r="L895"/>
      <c r="M895"/>
      <c r="N895"/>
      <c r="O895"/>
    </row>
    <row r="896" spans="2:15" x14ac:dyDescent="0.2">
      <c r="B896" s="74"/>
      <c r="C896"/>
      <c r="D896" s="74"/>
      <c r="E896" s="74"/>
      <c r="F896" s="74"/>
      <c r="G896" s="74"/>
      <c r="H896" s="74"/>
      <c r="J896" s="110"/>
      <c r="K896" s="111"/>
      <c r="L896"/>
      <c r="M896"/>
      <c r="N896"/>
      <c r="O896"/>
    </row>
    <row r="897" spans="2:15" x14ac:dyDescent="0.2">
      <c r="B897" s="74"/>
      <c r="C897"/>
      <c r="D897" s="74"/>
      <c r="E897" s="74"/>
      <c r="F897" s="74"/>
      <c r="G897" s="74"/>
      <c r="H897" s="74"/>
      <c r="J897" s="110"/>
      <c r="K897" s="111"/>
      <c r="L897"/>
      <c r="M897"/>
      <c r="N897"/>
      <c r="O897"/>
    </row>
    <row r="898" spans="2:15" x14ac:dyDescent="0.2">
      <c r="B898" s="74"/>
      <c r="C898"/>
      <c r="D898" s="74"/>
      <c r="E898" s="74"/>
      <c r="F898" s="74"/>
      <c r="G898" s="74"/>
      <c r="H898" s="74"/>
      <c r="J898" s="110"/>
      <c r="K898" s="111"/>
      <c r="L898"/>
      <c r="M898"/>
      <c r="N898"/>
      <c r="O898"/>
    </row>
    <row r="899" spans="2:15" x14ac:dyDescent="0.2">
      <c r="B899" s="74"/>
      <c r="C899"/>
      <c r="D899" s="74"/>
      <c r="E899" s="74"/>
      <c r="F899" s="74"/>
      <c r="G899" s="74"/>
      <c r="H899" s="74"/>
      <c r="J899" s="110"/>
      <c r="K899" s="111"/>
      <c r="L899"/>
      <c r="M899"/>
      <c r="N899"/>
      <c r="O899"/>
    </row>
    <row r="900" spans="2:15" x14ac:dyDescent="0.2">
      <c r="B900" s="74"/>
      <c r="C900"/>
      <c r="D900" s="74"/>
      <c r="E900" s="74"/>
      <c r="F900" s="74"/>
      <c r="G900" s="74"/>
      <c r="H900" s="74"/>
      <c r="J900" s="110"/>
      <c r="K900" s="111"/>
      <c r="L900"/>
      <c r="M900"/>
      <c r="N900"/>
      <c r="O900"/>
    </row>
    <row r="901" spans="2:15" x14ac:dyDescent="0.2">
      <c r="B901" s="74"/>
      <c r="C901"/>
      <c r="D901" s="74"/>
      <c r="E901" s="74"/>
      <c r="F901" s="74"/>
      <c r="G901" s="74"/>
      <c r="H901" s="74"/>
      <c r="J901" s="110"/>
      <c r="K901" s="111"/>
      <c r="L901"/>
      <c r="M901"/>
      <c r="N901"/>
      <c r="O901"/>
    </row>
    <row r="902" spans="2:15" x14ac:dyDescent="0.2">
      <c r="B902" s="74"/>
      <c r="C902"/>
      <c r="D902" s="74"/>
      <c r="E902" s="74"/>
      <c r="F902" s="74"/>
      <c r="G902" s="74"/>
      <c r="H902" s="74"/>
      <c r="J902" s="110"/>
      <c r="K902" s="111"/>
      <c r="L902"/>
      <c r="M902"/>
      <c r="N902"/>
      <c r="O902"/>
    </row>
    <row r="903" spans="2:15" x14ac:dyDescent="0.2">
      <c r="B903" s="74"/>
      <c r="C903"/>
      <c r="D903" s="74"/>
      <c r="E903" s="74"/>
      <c r="F903" s="74"/>
      <c r="G903" s="74"/>
      <c r="H903" s="74"/>
      <c r="J903" s="110"/>
      <c r="K903" s="111"/>
      <c r="L903"/>
      <c r="M903"/>
      <c r="N903"/>
      <c r="O903"/>
    </row>
    <row r="904" spans="2:15" x14ac:dyDescent="0.2">
      <c r="B904" s="74"/>
      <c r="C904"/>
      <c r="D904" s="74"/>
      <c r="E904" s="74"/>
      <c r="F904" s="74"/>
      <c r="G904" s="74"/>
      <c r="H904" s="74"/>
      <c r="J904" s="110"/>
      <c r="K904" s="111"/>
      <c r="L904"/>
      <c r="M904"/>
      <c r="N904"/>
      <c r="O904"/>
    </row>
    <row r="905" spans="2:15" x14ac:dyDescent="0.2">
      <c r="B905" s="74"/>
      <c r="C905"/>
      <c r="D905" s="74"/>
      <c r="E905" s="74"/>
      <c r="F905" s="74"/>
      <c r="G905" s="74"/>
      <c r="H905" s="74"/>
      <c r="J905" s="110"/>
      <c r="K905" s="111"/>
      <c r="L905"/>
      <c r="M905"/>
      <c r="N905"/>
      <c r="O905"/>
    </row>
    <row r="906" spans="2:15" x14ac:dyDescent="0.2">
      <c r="B906" s="74"/>
      <c r="C906"/>
      <c r="D906" s="74"/>
      <c r="E906" s="74"/>
      <c r="F906" s="74"/>
      <c r="G906" s="74"/>
      <c r="H906" s="74"/>
      <c r="J906" s="110"/>
      <c r="K906" s="111"/>
      <c r="L906"/>
      <c r="M906"/>
      <c r="N906"/>
      <c r="O906"/>
    </row>
    <row r="907" spans="2:15" x14ac:dyDescent="0.2">
      <c r="B907" s="74"/>
      <c r="C907"/>
      <c r="D907" s="74"/>
      <c r="E907" s="74"/>
      <c r="F907" s="74"/>
      <c r="G907" s="74"/>
      <c r="H907" s="74"/>
      <c r="J907" s="110"/>
      <c r="K907" s="111"/>
      <c r="L907"/>
      <c r="M907"/>
      <c r="N907"/>
      <c r="O907"/>
    </row>
    <row r="908" spans="2:15" x14ac:dyDescent="0.2">
      <c r="B908" s="74"/>
      <c r="C908"/>
      <c r="D908" s="74"/>
      <c r="E908" s="74"/>
      <c r="F908" s="74"/>
      <c r="G908" s="74"/>
      <c r="H908" s="74"/>
      <c r="J908" s="110"/>
      <c r="K908" s="111"/>
      <c r="L908"/>
      <c r="M908"/>
      <c r="N908"/>
      <c r="O908"/>
    </row>
    <row r="909" spans="2:15" x14ac:dyDescent="0.2">
      <c r="B909" s="74"/>
      <c r="C909"/>
      <c r="D909" s="74"/>
      <c r="E909" s="74"/>
      <c r="F909" s="74"/>
      <c r="G909" s="74"/>
      <c r="H909" s="74"/>
      <c r="J909" s="110"/>
      <c r="K909" s="111"/>
      <c r="L909"/>
      <c r="M909"/>
      <c r="N909"/>
      <c r="O909"/>
    </row>
    <row r="910" spans="2:15" x14ac:dyDescent="0.2">
      <c r="B910" s="74"/>
      <c r="C910"/>
      <c r="D910" s="74"/>
      <c r="E910" s="74"/>
      <c r="F910" s="74"/>
      <c r="G910" s="74"/>
      <c r="H910" s="74"/>
      <c r="J910" s="110"/>
      <c r="K910" s="111"/>
      <c r="L910"/>
      <c r="M910"/>
      <c r="N910"/>
      <c r="O910"/>
    </row>
    <row r="911" spans="2:15" x14ac:dyDescent="0.2">
      <c r="B911" s="74"/>
      <c r="C911"/>
      <c r="D911" s="74"/>
      <c r="E911" s="74"/>
      <c r="F911" s="74"/>
      <c r="G911" s="74"/>
      <c r="H911" s="74"/>
      <c r="J911" s="110"/>
      <c r="K911" s="111"/>
      <c r="L911"/>
      <c r="M911"/>
      <c r="N911"/>
      <c r="O911"/>
    </row>
    <row r="912" spans="2:15" x14ac:dyDescent="0.2">
      <c r="B912" s="74"/>
      <c r="C912"/>
      <c r="D912" s="74"/>
      <c r="E912" s="74"/>
      <c r="F912" s="74"/>
      <c r="G912" s="74"/>
      <c r="H912" s="74"/>
      <c r="J912" s="110"/>
      <c r="K912" s="111"/>
      <c r="L912"/>
      <c r="M912"/>
      <c r="N912"/>
      <c r="O912"/>
    </row>
    <row r="913" spans="2:15" x14ac:dyDescent="0.2">
      <c r="B913" s="74"/>
      <c r="C913"/>
      <c r="D913" s="74"/>
      <c r="E913" s="74"/>
      <c r="F913" s="74"/>
      <c r="G913" s="74"/>
      <c r="H913" s="74"/>
      <c r="J913" s="110"/>
      <c r="K913" s="111"/>
      <c r="L913"/>
      <c r="M913"/>
      <c r="N913"/>
      <c r="O913"/>
    </row>
    <row r="914" spans="2:15" x14ac:dyDescent="0.2">
      <c r="B914" s="74"/>
      <c r="C914"/>
      <c r="D914" s="74"/>
      <c r="E914" s="74"/>
      <c r="F914" s="74"/>
      <c r="G914" s="74"/>
      <c r="H914" s="74"/>
      <c r="J914" s="110"/>
      <c r="K914" s="111"/>
      <c r="L914"/>
      <c r="M914"/>
      <c r="N914"/>
      <c r="O914"/>
    </row>
    <row r="915" spans="2:15" x14ac:dyDescent="0.2">
      <c r="B915" s="74"/>
      <c r="C915"/>
      <c r="D915" s="74"/>
      <c r="E915" s="74"/>
      <c r="F915" s="74"/>
      <c r="G915" s="74"/>
      <c r="H915" s="74"/>
      <c r="J915" s="110"/>
      <c r="K915" s="111"/>
      <c r="L915"/>
      <c r="M915"/>
      <c r="N915"/>
      <c r="O915"/>
    </row>
    <row r="916" spans="2:15" x14ac:dyDescent="0.2">
      <c r="B916" s="74"/>
      <c r="C916"/>
      <c r="D916" s="74"/>
      <c r="E916" s="74"/>
      <c r="F916" s="74"/>
      <c r="G916" s="74"/>
      <c r="H916" s="74"/>
      <c r="J916" s="110"/>
      <c r="K916" s="111"/>
      <c r="L916"/>
      <c r="M916"/>
      <c r="N916"/>
      <c r="O916"/>
    </row>
    <row r="917" spans="2:15" x14ac:dyDescent="0.2">
      <c r="B917" s="74"/>
      <c r="C917"/>
      <c r="D917" s="74"/>
      <c r="E917" s="74"/>
      <c r="F917" s="74"/>
      <c r="G917" s="74"/>
      <c r="H917" s="74"/>
      <c r="J917" s="110"/>
      <c r="K917" s="111"/>
      <c r="L917"/>
      <c r="M917"/>
      <c r="N917"/>
      <c r="O917"/>
    </row>
    <row r="918" spans="2:15" x14ac:dyDescent="0.2">
      <c r="B918" s="74"/>
      <c r="C918"/>
      <c r="D918" s="74"/>
      <c r="E918" s="74"/>
      <c r="F918" s="74"/>
      <c r="G918" s="74"/>
      <c r="H918" s="74"/>
      <c r="J918" s="110"/>
      <c r="K918" s="111"/>
      <c r="L918"/>
      <c r="M918"/>
      <c r="N918"/>
      <c r="O918"/>
    </row>
    <row r="919" spans="2:15" x14ac:dyDescent="0.2">
      <c r="B919" s="74"/>
      <c r="C919"/>
      <c r="D919" s="74"/>
      <c r="E919" s="74"/>
      <c r="F919" s="74"/>
      <c r="G919" s="74"/>
      <c r="H919" s="74"/>
      <c r="J919" s="110"/>
      <c r="K919" s="111"/>
      <c r="L919"/>
      <c r="M919"/>
      <c r="N919"/>
      <c r="O919"/>
    </row>
    <row r="920" spans="2:15" x14ac:dyDescent="0.2">
      <c r="B920" s="74"/>
      <c r="C920"/>
      <c r="D920" s="74"/>
      <c r="E920" s="74"/>
      <c r="F920" s="74"/>
      <c r="G920" s="74"/>
      <c r="H920" s="74"/>
      <c r="J920" s="110"/>
      <c r="K920" s="111"/>
      <c r="L920"/>
      <c r="M920"/>
      <c r="N920"/>
      <c r="O920"/>
    </row>
    <row r="921" spans="2:15" x14ac:dyDescent="0.2">
      <c r="B921" s="74"/>
      <c r="C921"/>
      <c r="D921" s="74"/>
      <c r="E921" s="74"/>
      <c r="F921" s="74"/>
      <c r="G921" s="74"/>
      <c r="H921" s="74"/>
      <c r="J921" s="110"/>
      <c r="K921" s="111"/>
      <c r="L921"/>
      <c r="M921"/>
      <c r="N921"/>
      <c r="O921"/>
    </row>
    <row r="922" spans="2:15" x14ac:dyDescent="0.2">
      <c r="B922" s="74"/>
      <c r="C922"/>
      <c r="D922" s="74"/>
      <c r="E922" s="74"/>
      <c r="F922" s="74"/>
      <c r="G922" s="74"/>
      <c r="H922" s="74"/>
      <c r="J922" s="110"/>
      <c r="K922" s="111"/>
      <c r="L922"/>
      <c r="M922"/>
      <c r="N922"/>
      <c r="O922"/>
    </row>
    <row r="923" spans="2:15" x14ac:dyDescent="0.2">
      <c r="B923" s="74"/>
      <c r="C923"/>
      <c r="D923" s="74"/>
      <c r="E923" s="74"/>
      <c r="F923" s="74"/>
      <c r="G923" s="74"/>
      <c r="H923" s="74"/>
      <c r="J923" s="110"/>
      <c r="K923" s="111"/>
      <c r="L923"/>
      <c r="M923"/>
      <c r="N923"/>
      <c r="O923"/>
    </row>
    <row r="924" spans="2:15" x14ac:dyDescent="0.2">
      <c r="B924" s="74"/>
      <c r="C924"/>
      <c r="D924" s="74"/>
      <c r="E924" s="74"/>
      <c r="F924" s="74"/>
      <c r="G924" s="74"/>
      <c r="H924" s="74"/>
      <c r="J924" s="110"/>
      <c r="K924" s="111"/>
      <c r="L924"/>
      <c r="M924"/>
      <c r="N924"/>
      <c r="O924"/>
    </row>
    <row r="925" spans="2:15" x14ac:dyDescent="0.2">
      <c r="B925" s="74"/>
      <c r="C925"/>
      <c r="D925" s="74"/>
      <c r="E925" s="74"/>
      <c r="F925" s="74"/>
      <c r="G925" s="74"/>
      <c r="H925" s="74"/>
      <c r="J925" s="110"/>
      <c r="K925" s="111"/>
      <c r="L925"/>
      <c r="M925"/>
      <c r="N925"/>
      <c r="O925"/>
    </row>
    <row r="926" spans="2:15" x14ac:dyDescent="0.2">
      <c r="B926" s="74"/>
      <c r="C926"/>
      <c r="D926" s="74"/>
      <c r="E926" s="74"/>
      <c r="F926" s="74"/>
      <c r="G926" s="74"/>
      <c r="H926" s="74"/>
      <c r="J926" s="110"/>
      <c r="K926" s="111"/>
      <c r="L926"/>
      <c r="M926"/>
      <c r="N926"/>
      <c r="O926"/>
    </row>
    <row r="927" spans="2:15" x14ac:dyDescent="0.2">
      <c r="B927" s="74"/>
      <c r="C927"/>
      <c r="D927" s="74"/>
      <c r="E927" s="74"/>
      <c r="F927" s="74"/>
      <c r="G927" s="74"/>
      <c r="H927" s="74"/>
      <c r="J927" s="110"/>
      <c r="K927" s="111"/>
      <c r="L927"/>
      <c r="M927"/>
      <c r="N927"/>
      <c r="O927"/>
    </row>
    <row r="928" spans="2:15" x14ac:dyDescent="0.2">
      <c r="B928" s="74"/>
      <c r="C928"/>
      <c r="D928" s="74"/>
      <c r="E928" s="74"/>
      <c r="F928" s="74"/>
      <c r="G928" s="74"/>
      <c r="H928" s="74"/>
      <c r="J928" s="110"/>
      <c r="K928" s="111"/>
      <c r="L928"/>
      <c r="M928"/>
      <c r="N928"/>
      <c r="O928"/>
    </row>
    <row r="929" spans="2:15" x14ac:dyDescent="0.2">
      <c r="B929" s="74"/>
      <c r="C929"/>
      <c r="D929" s="74"/>
      <c r="E929" s="74"/>
      <c r="F929" s="74"/>
      <c r="G929" s="74"/>
      <c r="H929" s="74"/>
      <c r="J929" s="110"/>
      <c r="K929" s="111"/>
      <c r="L929"/>
      <c r="M929"/>
      <c r="N929"/>
      <c r="O929"/>
    </row>
    <row r="930" spans="2:15" x14ac:dyDescent="0.2">
      <c r="B930" s="74"/>
      <c r="C930"/>
      <c r="D930" s="74"/>
      <c r="E930" s="74"/>
      <c r="F930" s="74"/>
      <c r="G930" s="74"/>
      <c r="H930" s="74"/>
      <c r="J930" s="110"/>
      <c r="K930" s="111"/>
      <c r="L930"/>
      <c r="M930"/>
      <c r="N930"/>
      <c r="O930"/>
    </row>
    <row r="931" spans="2:15" x14ac:dyDescent="0.2">
      <c r="B931" s="74"/>
      <c r="C931"/>
      <c r="D931" s="74"/>
      <c r="E931" s="74"/>
      <c r="F931" s="74"/>
      <c r="G931" s="74"/>
      <c r="H931" s="74"/>
      <c r="J931" s="110"/>
      <c r="K931" s="111"/>
      <c r="L931"/>
      <c r="M931"/>
      <c r="N931"/>
      <c r="O931"/>
    </row>
    <row r="932" spans="2:15" x14ac:dyDescent="0.2">
      <c r="B932" s="74"/>
      <c r="C932"/>
      <c r="D932" s="74"/>
      <c r="E932" s="74"/>
      <c r="F932" s="74"/>
      <c r="G932" s="74"/>
      <c r="H932" s="74"/>
      <c r="J932" s="110"/>
      <c r="K932" s="111"/>
      <c r="L932"/>
      <c r="M932"/>
      <c r="N932"/>
      <c r="O932"/>
    </row>
    <row r="933" spans="2:15" x14ac:dyDescent="0.2">
      <c r="B933" s="74"/>
      <c r="C933"/>
      <c r="D933" s="74"/>
      <c r="E933" s="74"/>
      <c r="F933" s="74"/>
      <c r="G933" s="74"/>
      <c r="H933" s="74"/>
      <c r="J933" s="110"/>
      <c r="K933" s="111"/>
      <c r="L933"/>
      <c r="M933"/>
      <c r="N933"/>
      <c r="O933"/>
    </row>
    <row r="934" spans="2:15" x14ac:dyDescent="0.2">
      <c r="B934" s="74"/>
      <c r="C934"/>
      <c r="D934" s="74"/>
      <c r="E934" s="74"/>
      <c r="F934" s="74"/>
      <c r="G934" s="74"/>
      <c r="H934" s="74"/>
      <c r="J934" s="110"/>
      <c r="K934" s="111"/>
      <c r="L934"/>
      <c r="M934"/>
      <c r="N934"/>
      <c r="O934"/>
    </row>
    <row r="935" spans="2:15" x14ac:dyDescent="0.2">
      <c r="B935" s="74"/>
      <c r="C935"/>
      <c r="D935" s="74"/>
      <c r="E935" s="74"/>
      <c r="F935" s="74"/>
      <c r="G935" s="74"/>
      <c r="H935" s="74"/>
      <c r="J935" s="110"/>
      <c r="K935" s="111"/>
      <c r="L935"/>
      <c r="M935"/>
      <c r="N935"/>
      <c r="O935"/>
    </row>
    <row r="936" spans="2:15" x14ac:dyDescent="0.2">
      <c r="B936" s="74"/>
      <c r="C936"/>
      <c r="D936" s="74"/>
      <c r="E936" s="74"/>
      <c r="F936" s="74"/>
      <c r="G936" s="74"/>
      <c r="H936" s="74"/>
      <c r="J936" s="110"/>
      <c r="K936" s="111"/>
      <c r="L936"/>
      <c r="M936"/>
      <c r="N936"/>
      <c r="O936"/>
    </row>
    <row r="937" spans="2:15" x14ac:dyDescent="0.2">
      <c r="B937" s="74"/>
      <c r="C937"/>
      <c r="D937" s="74"/>
      <c r="E937" s="74"/>
      <c r="F937" s="74"/>
      <c r="G937" s="74"/>
      <c r="H937" s="74"/>
      <c r="J937" s="110"/>
      <c r="K937" s="111"/>
      <c r="L937"/>
      <c r="M937"/>
      <c r="N937"/>
      <c r="O937"/>
    </row>
    <row r="938" spans="2:15" x14ac:dyDescent="0.2">
      <c r="B938" s="74"/>
      <c r="C938"/>
      <c r="D938" s="74"/>
      <c r="E938" s="74"/>
      <c r="F938" s="74"/>
      <c r="G938" s="74"/>
      <c r="H938" s="74"/>
      <c r="J938" s="110"/>
      <c r="K938" s="111"/>
      <c r="L938"/>
      <c r="M938"/>
      <c r="N938"/>
      <c r="O938"/>
    </row>
    <row r="939" spans="2:15" x14ac:dyDescent="0.2">
      <c r="B939" s="74"/>
      <c r="C939"/>
      <c r="D939" s="74"/>
      <c r="E939" s="74"/>
      <c r="F939" s="74"/>
      <c r="G939" s="74"/>
      <c r="H939" s="74"/>
      <c r="J939" s="110"/>
      <c r="K939" s="111"/>
      <c r="L939"/>
      <c r="M939"/>
      <c r="N939"/>
      <c r="O939"/>
    </row>
    <row r="940" spans="2:15" x14ac:dyDescent="0.2">
      <c r="B940" s="74"/>
      <c r="C940"/>
      <c r="D940" s="74"/>
      <c r="E940" s="74"/>
      <c r="F940" s="74"/>
      <c r="G940" s="74"/>
      <c r="H940" s="74"/>
      <c r="J940" s="110"/>
      <c r="K940" s="111"/>
      <c r="L940"/>
      <c r="M940"/>
      <c r="N940"/>
      <c r="O940"/>
    </row>
    <row r="941" spans="2:15" x14ac:dyDescent="0.2">
      <c r="B941" s="74"/>
      <c r="C941"/>
      <c r="D941" s="74"/>
      <c r="E941" s="74"/>
      <c r="F941" s="74"/>
      <c r="G941" s="74"/>
      <c r="H941" s="74"/>
      <c r="J941" s="110"/>
      <c r="K941" s="111"/>
      <c r="L941"/>
      <c r="M941"/>
      <c r="N941"/>
      <c r="O941"/>
    </row>
    <row r="942" spans="2:15" x14ac:dyDescent="0.2">
      <c r="B942" s="74"/>
      <c r="C942"/>
      <c r="D942" s="74"/>
      <c r="E942" s="74"/>
      <c r="F942" s="74"/>
      <c r="G942" s="74"/>
      <c r="H942" s="74"/>
      <c r="J942" s="110"/>
      <c r="K942" s="111"/>
      <c r="L942"/>
      <c r="M942"/>
      <c r="N942"/>
      <c r="O942"/>
    </row>
    <row r="943" spans="2:15" x14ac:dyDescent="0.2">
      <c r="B943" s="74"/>
      <c r="C943"/>
      <c r="D943" s="74"/>
      <c r="E943" s="74"/>
      <c r="F943" s="74"/>
      <c r="G943" s="74"/>
      <c r="H943" s="74"/>
      <c r="J943" s="110"/>
      <c r="K943" s="111"/>
      <c r="L943"/>
      <c r="M943"/>
      <c r="N943"/>
      <c r="O943"/>
    </row>
    <row r="944" spans="2:15" x14ac:dyDescent="0.2">
      <c r="B944" s="74"/>
      <c r="C944"/>
      <c r="D944" s="74"/>
      <c r="E944" s="74"/>
      <c r="F944" s="74"/>
      <c r="G944" s="74"/>
      <c r="H944" s="74"/>
      <c r="J944" s="110"/>
      <c r="K944" s="111"/>
      <c r="L944"/>
      <c r="M944"/>
      <c r="N944"/>
      <c r="O944"/>
    </row>
    <row r="945" spans="2:15" x14ac:dyDescent="0.2">
      <c r="B945" s="74"/>
      <c r="C945"/>
      <c r="D945" s="74"/>
      <c r="E945" s="74"/>
      <c r="F945" s="74"/>
      <c r="G945" s="74"/>
      <c r="H945" s="74"/>
      <c r="J945" s="110"/>
      <c r="K945" s="111"/>
      <c r="L945"/>
      <c r="M945"/>
      <c r="N945"/>
      <c r="O945"/>
    </row>
    <row r="946" spans="2:15" x14ac:dyDescent="0.2">
      <c r="B946" s="74"/>
      <c r="C946"/>
      <c r="D946" s="74"/>
      <c r="E946" s="74"/>
      <c r="F946" s="74"/>
      <c r="G946" s="74"/>
      <c r="H946" s="74"/>
      <c r="J946" s="110"/>
      <c r="K946" s="111"/>
      <c r="L946"/>
      <c r="M946"/>
      <c r="N946"/>
      <c r="O946"/>
    </row>
    <row r="947" spans="2:15" x14ac:dyDescent="0.2">
      <c r="B947" s="74"/>
      <c r="C947"/>
      <c r="D947" s="74"/>
      <c r="E947" s="74"/>
      <c r="F947" s="74"/>
      <c r="G947" s="74"/>
      <c r="H947" s="74"/>
      <c r="J947" s="110"/>
      <c r="K947" s="111"/>
      <c r="L947"/>
      <c r="M947"/>
      <c r="N947"/>
      <c r="O947"/>
    </row>
    <row r="948" spans="2:15" x14ac:dyDescent="0.2">
      <c r="B948" s="74"/>
      <c r="C948"/>
      <c r="D948" s="74"/>
      <c r="E948" s="74"/>
      <c r="F948" s="74"/>
      <c r="G948" s="74"/>
      <c r="H948" s="74"/>
      <c r="J948" s="110"/>
      <c r="K948" s="111"/>
      <c r="L948"/>
      <c r="M948"/>
      <c r="N948"/>
      <c r="O948"/>
    </row>
    <row r="949" spans="2:15" x14ac:dyDescent="0.2">
      <c r="B949" s="74"/>
      <c r="C949"/>
      <c r="D949" s="74"/>
      <c r="E949" s="74"/>
      <c r="F949" s="74"/>
      <c r="G949" s="74"/>
      <c r="H949" s="74"/>
      <c r="J949" s="110"/>
      <c r="K949" s="111"/>
      <c r="L949"/>
      <c r="M949"/>
      <c r="N949"/>
      <c r="O949"/>
    </row>
    <row r="950" spans="2:15" x14ac:dyDescent="0.2">
      <c r="B950" s="74"/>
      <c r="C950"/>
      <c r="D950" s="74"/>
      <c r="E950" s="74"/>
      <c r="F950" s="74"/>
      <c r="G950" s="74"/>
      <c r="H950" s="74"/>
      <c r="J950" s="110"/>
      <c r="K950" s="111"/>
      <c r="L950"/>
      <c r="M950"/>
      <c r="N950"/>
      <c r="O950"/>
    </row>
    <row r="951" spans="2:15" x14ac:dyDescent="0.2">
      <c r="B951" s="74"/>
      <c r="C951"/>
      <c r="D951" s="74"/>
      <c r="E951" s="74"/>
      <c r="F951" s="74"/>
      <c r="G951" s="74"/>
      <c r="H951" s="74"/>
      <c r="J951" s="110"/>
      <c r="K951" s="111"/>
      <c r="L951"/>
      <c r="M951"/>
      <c r="N951"/>
      <c r="O951"/>
    </row>
    <row r="952" spans="2:15" x14ac:dyDescent="0.2">
      <c r="B952" s="74"/>
      <c r="C952"/>
      <c r="D952" s="74"/>
      <c r="E952" s="74"/>
      <c r="F952" s="74"/>
      <c r="G952" s="74"/>
      <c r="H952" s="74"/>
      <c r="J952" s="110"/>
      <c r="K952" s="111"/>
      <c r="L952"/>
      <c r="M952"/>
      <c r="N952"/>
      <c r="O952"/>
    </row>
    <row r="953" spans="2:15" x14ac:dyDescent="0.2">
      <c r="B953" s="74"/>
      <c r="C953"/>
      <c r="D953" s="74"/>
      <c r="E953" s="74"/>
      <c r="F953" s="74"/>
      <c r="G953" s="74"/>
      <c r="H953" s="74"/>
      <c r="J953" s="110"/>
      <c r="K953" s="111"/>
      <c r="L953"/>
      <c r="M953"/>
      <c r="N953"/>
      <c r="O953"/>
    </row>
    <row r="954" spans="2:15" x14ac:dyDescent="0.2">
      <c r="B954" s="74"/>
      <c r="C954"/>
      <c r="D954" s="74"/>
      <c r="E954" s="74"/>
      <c r="F954" s="74"/>
      <c r="G954" s="74"/>
      <c r="H954" s="74"/>
      <c r="J954" s="110"/>
      <c r="K954" s="111"/>
      <c r="L954"/>
      <c r="M954"/>
      <c r="N954"/>
      <c r="O954"/>
    </row>
    <row r="955" spans="2:15" x14ac:dyDescent="0.2">
      <c r="B955" s="74"/>
      <c r="C955"/>
      <c r="D955" s="74"/>
      <c r="E955" s="74"/>
      <c r="F955" s="74"/>
      <c r="G955" s="74"/>
      <c r="H955" s="74"/>
      <c r="J955" s="110"/>
      <c r="K955" s="111"/>
      <c r="L955"/>
      <c r="M955"/>
      <c r="N955"/>
      <c r="O955"/>
    </row>
    <row r="956" spans="2:15" x14ac:dyDescent="0.2">
      <c r="B956" s="74"/>
      <c r="C956"/>
      <c r="D956" s="74"/>
      <c r="E956" s="74"/>
      <c r="F956" s="74"/>
      <c r="G956" s="74"/>
      <c r="H956" s="74"/>
      <c r="J956" s="110"/>
      <c r="K956" s="111"/>
      <c r="L956"/>
      <c r="M956"/>
      <c r="N956"/>
      <c r="O956"/>
    </row>
    <row r="957" spans="2:15" x14ac:dyDescent="0.2">
      <c r="B957" s="74"/>
      <c r="C957"/>
      <c r="D957" s="74"/>
      <c r="E957" s="74"/>
      <c r="F957" s="74"/>
      <c r="G957" s="74"/>
      <c r="H957" s="74"/>
      <c r="J957" s="110"/>
      <c r="K957" s="111"/>
      <c r="L957"/>
      <c r="M957"/>
      <c r="N957"/>
      <c r="O957"/>
    </row>
    <row r="958" spans="2:15" x14ac:dyDescent="0.2">
      <c r="B958" s="74"/>
      <c r="C958"/>
      <c r="D958" s="74"/>
      <c r="E958" s="74"/>
      <c r="F958" s="74"/>
      <c r="G958" s="74"/>
      <c r="H958" s="74"/>
      <c r="J958" s="110"/>
      <c r="K958" s="111"/>
      <c r="L958"/>
      <c r="M958"/>
      <c r="N958"/>
      <c r="O958"/>
    </row>
    <row r="959" spans="2:15" x14ac:dyDescent="0.2">
      <c r="B959" s="74"/>
      <c r="C959"/>
      <c r="D959" s="74"/>
      <c r="E959" s="74"/>
      <c r="F959" s="74"/>
      <c r="G959" s="74"/>
      <c r="H959" s="74"/>
      <c r="J959" s="110"/>
      <c r="K959" s="111"/>
      <c r="L959"/>
      <c r="M959"/>
      <c r="N959"/>
      <c r="O959"/>
    </row>
    <row r="960" spans="2:15" x14ac:dyDescent="0.2">
      <c r="B960" s="74"/>
      <c r="C960"/>
      <c r="D960" s="74"/>
      <c r="E960" s="74"/>
      <c r="F960" s="74"/>
      <c r="G960" s="74"/>
      <c r="H960" s="74"/>
      <c r="J960" s="110"/>
      <c r="K960" s="111"/>
      <c r="L960"/>
      <c r="M960"/>
      <c r="N960"/>
      <c r="O960"/>
    </row>
    <row r="961" spans="2:15" x14ac:dyDescent="0.2">
      <c r="B961" s="74"/>
      <c r="C961"/>
      <c r="D961" s="74"/>
      <c r="E961" s="74"/>
      <c r="F961" s="74"/>
      <c r="G961" s="74"/>
      <c r="H961" s="74"/>
      <c r="J961" s="110"/>
      <c r="K961" s="111"/>
      <c r="L961"/>
      <c r="M961"/>
      <c r="N961"/>
      <c r="O961"/>
    </row>
    <row r="962" spans="2:15" x14ac:dyDescent="0.2">
      <c r="B962" s="74"/>
      <c r="C962"/>
      <c r="D962" s="74"/>
      <c r="E962" s="74"/>
      <c r="F962" s="74"/>
      <c r="G962" s="74"/>
      <c r="H962" s="74"/>
      <c r="J962" s="110"/>
      <c r="K962" s="111"/>
      <c r="L962"/>
      <c r="M962"/>
      <c r="N962"/>
      <c r="O962"/>
    </row>
    <row r="963" spans="2:15" x14ac:dyDescent="0.2">
      <c r="B963" s="74"/>
      <c r="C963"/>
      <c r="D963" s="74"/>
      <c r="E963" s="74"/>
      <c r="F963" s="74"/>
      <c r="G963" s="74"/>
      <c r="H963" s="74"/>
      <c r="J963" s="110"/>
      <c r="K963" s="111"/>
      <c r="L963"/>
      <c r="M963"/>
      <c r="N963"/>
      <c r="O963"/>
    </row>
    <row r="964" spans="2:15" x14ac:dyDescent="0.2">
      <c r="B964" s="74"/>
      <c r="C964"/>
      <c r="D964" s="74"/>
      <c r="E964" s="74"/>
      <c r="F964" s="74"/>
      <c r="G964" s="74"/>
      <c r="H964" s="74"/>
      <c r="J964" s="110"/>
      <c r="K964" s="111"/>
      <c r="L964"/>
      <c r="M964"/>
      <c r="N964"/>
      <c r="O964"/>
    </row>
    <row r="965" spans="2:15" x14ac:dyDescent="0.2">
      <c r="B965" s="74"/>
      <c r="C965"/>
      <c r="D965" s="74"/>
      <c r="E965" s="74"/>
      <c r="F965" s="74"/>
      <c r="G965" s="74"/>
      <c r="H965" s="74"/>
      <c r="J965" s="110"/>
      <c r="K965" s="111"/>
      <c r="L965"/>
      <c r="M965"/>
      <c r="N965"/>
      <c r="O965"/>
    </row>
    <row r="966" spans="2:15" x14ac:dyDescent="0.2">
      <c r="B966" s="74"/>
      <c r="C966"/>
      <c r="D966" s="74"/>
      <c r="E966" s="74"/>
      <c r="F966" s="74"/>
      <c r="G966" s="74"/>
      <c r="H966" s="74"/>
      <c r="J966" s="110"/>
      <c r="K966" s="111"/>
      <c r="L966"/>
      <c r="M966"/>
      <c r="N966"/>
      <c r="O966"/>
    </row>
    <row r="967" spans="2:15" x14ac:dyDescent="0.2">
      <c r="B967" s="74"/>
      <c r="C967"/>
      <c r="D967" s="74"/>
      <c r="E967" s="74"/>
      <c r="F967" s="74"/>
      <c r="G967" s="74"/>
      <c r="H967" s="74"/>
      <c r="J967" s="110"/>
      <c r="K967" s="111"/>
      <c r="L967"/>
      <c r="M967"/>
      <c r="N967"/>
      <c r="O967"/>
    </row>
    <row r="968" spans="2:15" x14ac:dyDescent="0.2">
      <c r="B968" s="74"/>
      <c r="C968"/>
      <c r="D968" s="74"/>
      <c r="E968" s="74"/>
      <c r="F968" s="74"/>
      <c r="G968" s="74"/>
      <c r="H968" s="74"/>
      <c r="J968" s="110"/>
      <c r="K968" s="111"/>
      <c r="L968"/>
      <c r="M968"/>
      <c r="N968"/>
      <c r="O968"/>
    </row>
    <row r="969" spans="2:15" x14ac:dyDescent="0.2">
      <c r="B969" s="74"/>
      <c r="C969"/>
      <c r="D969" s="74"/>
      <c r="E969" s="74"/>
      <c r="F969" s="74"/>
      <c r="G969" s="74"/>
      <c r="H969" s="74"/>
      <c r="J969" s="110"/>
      <c r="K969" s="111"/>
      <c r="L969"/>
      <c r="M969"/>
      <c r="N969"/>
      <c r="O969"/>
    </row>
    <row r="970" spans="2:15" x14ac:dyDescent="0.2">
      <c r="B970" s="74"/>
      <c r="C970"/>
      <c r="D970" s="74"/>
      <c r="E970" s="74"/>
      <c r="F970" s="74"/>
      <c r="G970" s="74"/>
      <c r="H970" s="74"/>
      <c r="J970" s="110"/>
      <c r="K970" s="111"/>
      <c r="L970"/>
      <c r="M970"/>
      <c r="N970"/>
      <c r="O970"/>
    </row>
    <row r="971" spans="2:15" x14ac:dyDescent="0.2">
      <c r="B971" s="74"/>
      <c r="C971"/>
      <c r="D971" s="74"/>
      <c r="E971" s="74"/>
      <c r="F971" s="74"/>
      <c r="G971" s="74"/>
      <c r="H971" s="74"/>
      <c r="J971" s="110"/>
      <c r="K971" s="111"/>
      <c r="L971"/>
      <c r="M971"/>
      <c r="N971"/>
      <c r="O971"/>
    </row>
    <row r="972" spans="2:15" x14ac:dyDescent="0.2">
      <c r="B972" s="74"/>
      <c r="C972"/>
      <c r="D972" s="74"/>
      <c r="E972" s="74"/>
      <c r="F972" s="74"/>
      <c r="G972" s="74"/>
      <c r="H972" s="74"/>
      <c r="J972" s="110"/>
      <c r="K972" s="111"/>
      <c r="L972"/>
      <c r="M972"/>
      <c r="N972"/>
      <c r="O972"/>
    </row>
    <row r="973" spans="2:15" x14ac:dyDescent="0.2">
      <c r="B973" s="74"/>
      <c r="C973"/>
      <c r="D973" s="74"/>
      <c r="E973" s="74"/>
      <c r="F973" s="74"/>
      <c r="G973" s="74"/>
      <c r="H973" s="74"/>
      <c r="J973" s="110"/>
      <c r="K973" s="111"/>
      <c r="L973"/>
      <c r="M973"/>
      <c r="N973"/>
      <c r="O973"/>
    </row>
    <row r="974" spans="2:15" x14ac:dyDescent="0.2">
      <c r="B974" s="74"/>
      <c r="C974"/>
      <c r="D974" s="74"/>
      <c r="E974" s="74"/>
      <c r="F974" s="74"/>
      <c r="G974" s="74"/>
      <c r="H974" s="74"/>
      <c r="J974" s="110"/>
      <c r="K974" s="111"/>
      <c r="L974"/>
      <c r="M974"/>
      <c r="N974"/>
      <c r="O974"/>
    </row>
    <row r="975" spans="2:15" x14ac:dyDescent="0.2">
      <c r="B975" s="74"/>
      <c r="C975"/>
      <c r="D975" s="74"/>
      <c r="E975" s="74"/>
      <c r="F975" s="74"/>
      <c r="G975" s="74"/>
      <c r="H975" s="74"/>
      <c r="J975" s="110"/>
      <c r="K975" s="111"/>
      <c r="L975"/>
      <c r="M975"/>
      <c r="N975"/>
      <c r="O975"/>
    </row>
    <row r="976" spans="2:15" x14ac:dyDescent="0.2">
      <c r="B976" s="74"/>
      <c r="C976"/>
      <c r="D976" s="74"/>
      <c r="E976" s="74"/>
      <c r="F976" s="74"/>
      <c r="G976" s="74"/>
      <c r="H976" s="74"/>
      <c r="J976" s="110"/>
      <c r="K976" s="111"/>
      <c r="L976"/>
      <c r="M976"/>
      <c r="N976"/>
      <c r="O976"/>
    </row>
    <row r="977" spans="2:15" x14ac:dyDescent="0.2">
      <c r="B977" s="74"/>
      <c r="C977"/>
      <c r="D977" s="74"/>
      <c r="E977" s="74"/>
      <c r="F977" s="74"/>
      <c r="G977" s="74"/>
      <c r="H977" s="74"/>
      <c r="J977" s="110"/>
      <c r="K977" s="111"/>
      <c r="L977"/>
      <c r="M977"/>
      <c r="N977"/>
      <c r="O977"/>
    </row>
    <row r="978" spans="2:15" x14ac:dyDescent="0.2">
      <c r="B978" s="74"/>
      <c r="C978"/>
      <c r="D978" s="74"/>
      <c r="E978" s="74"/>
      <c r="F978" s="74"/>
      <c r="G978" s="74"/>
      <c r="H978" s="74"/>
      <c r="J978" s="110"/>
      <c r="K978" s="111"/>
      <c r="L978"/>
      <c r="M978"/>
      <c r="N978"/>
      <c r="O978"/>
    </row>
    <row r="979" spans="2:15" x14ac:dyDescent="0.2">
      <c r="B979" s="74"/>
      <c r="C979"/>
      <c r="D979" s="74"/>
      <c r="E979" s="74"/>
      <c r="F979" s="74"/>
      <c r="G979" s="74"/>
      <c r="H979" s="74"/>
      <c r="J979" s="110"/>
      <c r="K979" s="111"/>
      <c r="L979"/>
      <c r="M979"/>
      <c r="N979"/>
      <c r="O979"/>
    </row>
    <row r="980" spans="2:15" x14ac:dyDescent="0.2">
      <c r="B980" s="74"/>
      <c r="C980"/>
      <c r="D980" s="74"/>
      <c r="E980" s="74"/>
      <c r="F980" s="74"/>
      <c r="G980" s="74"/>
      <c r="H980" s="74"/>
      <c r="J980" s="110"/>
      <c r="K980" s="111"/>
      <c r="L980"/>
      <c r="M980"/>
      <c r="N980"/>
      <c r="O980"/>
    </row>
    <row r="981" spans="2:15" x14ac:dyDescent="0.2">
      <c r="B981" s="74"/>
      <c r="C981"/>
      <c r="D981" s="74"/>
      <c r="E981" s="74"/>
      <c r="F981" s="74"/>
      <c r="G981" s="74"/>
      <c r="H981" s="74"/>
      <c r="J981" s="110"/>
      <c r="K981" s="111"/>
      <c r="L981"/>
      <c r="M981"/>
      <c r="N981"/>
      <c r="O981"/>
    </row>
    <row r="982" spans="2:15" x14ac:dyDescent="0.2">
      <c r="B982" s="74"/>
      <c r="C982"/>
      <c r="D982" s="74"/>
      <c r="E982" s="74"/>
      <c r="F982" s="74"/>
      <c r="G982" s="74"/>
      <c r="H982" s="74"/>
      <c r="J982" s="110"/>
      <c r="K982" s="111"/>
      <c r="L982"/>
      <c r="M982"/>
      <c r="N982"/>
      <c r="O982"/>
    </row>
    <row r="983" spans="2:15" x14ac:dyDescent="0.2">
      <c r="B983" s="74"/>
      <c r="C983"/>
      <c r="D983" s="74"/>
      <c r="E983" s="74"/>
      <c r="F983" s="74"/>
      <c r="G983" s="74"/>
      <c r="H983" s="74"/>
      <c r="J983" s="110"/>
      <c r="K983" s="111"/>
      <c r="L983"/>
      <c r="M983"/>
      <c r="N983"/>
      <c r="O983"/>
    </row>
    <row r="984" spans="2:15" x14ac:dyDescent="0.2">
      <c r="B984" s="74"/>
      <c r="C984"/>
      <c r="D984" s="74"/>
      <c r="E984" s="74"/>
      <c r="F984" s="74"/>
      <c r="G984" s="74"/>
      <c r="H984" s="74"/>
      <c r="J984" s="110"/>
      <c r="K984" s="111"/>
      <c r="L984"/>
      <c r="M984"/>
      <c r="N984"/>
      <c r="O984"/>
    </row>
    <row r="985" spans="2:15" x14ac:dyDescent="0.2">
      <c r="B985" s="74"/>
      <c r="C985"/>
      <c r="D985" s="74"/>
      <c r="E985" s="74"/>
      <c r="F985" s="74"/>
      <c r="G985" s="74"/>
      <c r="H985" s="74"/>
      <c r="J985" s="110"/>
      <c r="K985" s="111"/>
      <c r="L985"/>
      <c r="M985"/>
      <c r="N985"/>
      <c r="O985"/>
    </row>
    <row r="986" spans="2:15" x14ac:dyDescent="0.2">
      <c r="B986" s="74"/>
      <c r="C986"/>
      <c r="D986" s="74"/>
      <c r="E986" s="74"/>
      <c r="F986" s="74"/>
      <c r="G986" s="74"/>
      <c r="H986" s="74"/>
      <c r="J986" s="110"/>
      <c r="K986" s="111"/>
      <c r="L986"/>
      <c r="M986"/>
      <c r="N986"/>
      <c r="O986"/>
    </row>
    <row r="987" spans="2:15" x14ac:dyDescent="0.2">
      <c r="B987" s="74"/>
      <c r="C987"/>
      <c r="D987" s="74"/>
      <c r="E987" s="74"/>
      <c r="F987" s="74"/>
      <c r="G987" s="74"/>
      <c r="H987" s="74"/>
      <c r="J987" s="110"/>
      <c r="K987" s="111"/>
      <c r="L987"/>
      <c r="M987"/>
      <c r="N987"/>
      <c r="O987"/>
    </row>
    <row r="988" spans="2:15" x14ac:dyDescent="0.2">
      <c r="B988" s="74"/>
      <c r="C988"/>
      <c r="D988" s="74"/>
      <c r="E988" s="74"/>
      <c r="F988" s="74"/>
      <c r="G988" s="74"/>
      <c r="H988" s="74"/>
      <c r="J988" s="110"/>
      <c r="K988" s="111"/>
      <c r="L988"/>
      <c r="M988"/>
      <c r="N988"/>
      <c r="O988"/>
    </row>
    <row r="989" spans="2:15" x14ac:dyDescent="0.2">
      <c r="B989" s="74"/>
      <c r="C989"/>
      <c r="D989" s="74"/>
      <c r="E989" s="74"/>
      <c r="F989" s="74"/>
      <c r="G989" s="74"/>
      <c r="H989" s="74"/>
      <c r="J989" s="110"/>
      <c r="K989" s="111"/>
      <c r="L989"/>
      <c r="M989"/>
      <c r="N989"/>
      <c r="O989"/>
    </row>
    <row r="990" spans="2:15" x14ac:dyDescent="0.2">
      <c r="B990" s="74"/>
      <c r="C990"/>
      <c r="D990" s="74"/>
      <c r="E990" s="74"/>
      <c r="F990" s="74"/>
      <c r="G990" s="74"/>
      <c r="H990" s="74"/>
      <c r="J990" s="110"/>
      <c r="K990" s="111"/>
      <c r="L990"/>
      <c r="M990"/>
      <c r="N990"/>
      <c r="O990"/>
    </row>
    <row r="991" spans="2:15" x14ac:dyDescent="0.2">
      <c r="B991" s="74"/>
      <c r="C991"/>
      <c r="D991" s="74"/>
      <c r="E991" s="74"/>
      <c r="F991" s="74"/>
      <c r="G991" s="74"/>
      <c r="H991" s="74"/>
      <c r="J991" s="110"/>
      <c r="K991" s="111"/>
      <c r="L991"/>
      <c r="M991"/>
      <c r="N991"/>
      <c r="O991"/>
    </row>
    <row r="992" spans="2:15" x14ac:dyDescent="0.2">
      <c r="B992" s="74"/>
      <c r="C992"/>
      <c r="D992" s="74"/>
      <c r="E992" s="74"/>
      <c r="F992" s="74"/>
      <c r="G992" s="74"/>
      <c r="H992" s="74"/>
      <c r="J992" s="110"/>
      <c r="K992" s="111"/>
      <c r="L992"/>
      <c r="M992"/>
      <c r="N992"/>
      <c r="O992"/>
    </row>
    <row r="993" spans="2:15" x14ac:dyDescent="0.2">
      <c r="B993" s="74"/>
      <c r="C993"/>
      <c r="D993" s="74"/>
      <c r="E993" s="74"/>
      <c r="F993" s="74"/>
      <c r="G993" s="74"/>
      <c r="H993" s="74"/>
      <c r="J993" s="110"/>
      <c r="K993" s="111"/>
      <c r="L993"/>
      <c r="M993"/>
      <c r="N993"/>
      <c r="O993"/>
    </row>
    <row r="994" spans="2:15" x14ac:dyDescent="0.2">
      <c r="B994" s="74"/>
      <c r="C994"/>
      <c r="D994" s="74"/>
      <c r="E994" s="74"/>
      <c r="F994" s="74"/>
      <c r="G994" s="74"/>
      <c r="H994" s="74"/>
      <c r="J994" s="110"/>
      <c r="K994" s="111"/>
      <c r="L994"/>
      <c r="M994"/>
      <c r="N994"/>
      <c r="O994"/>
    </row>
    <row r="995" spans="2:15" x14ac:dyDescent="0.2">
      <c r="B995" s="74"/>
      <c r="C995"/>
      <c r="D995" s="74"/>
      <c r="E995" s="74"/>
      <c r="F995" s="74"/>
      <c r="G995" s="74"/>
      <c r="H995" s="74"/>
      <c r="J995" s="110"/>
      <c r="K995" s="111"/>
      <c r="L995"/>
      <c r="M995"/>
      <c r="N995"/>
      <c r="O995"/>
    </row>
    <row r="996" spans="2:15" x14ac:dyDescent="0.2">
      <c r="B996" s="74"/>
      <c r="C996"/>
      <c r="D996" s="74"/>
      <c r="E996" s="74"/>
      <c r="F996" s="74"/>
      <c r="G996" s="74"/>
      <c r="H996" s="74"/>
      <c r="J996" s="110"/>
      <c r="K996" s="111"/>
      <c r="L996"/>
      <c r="M996"/>
      <c r="N996"/>
      <c r="O996"/>
    </row>
    <row r="997" spans="2:15" x14ac:dyDescent="0.2">
      <c r="B997" s="74"/>
      <c r="C997"/>
      <c r="D997" s="74"/>
      <c r="E997" s="74"/>
      <c r="F997" s="74"/>
      <c r="G997" s="74"/>
      <c r="H997" s="74"/>
      <c r="J997" s="110"/>
      <c r="K997" s="111"/>
      <c r="L997"/>
      <c r="M997"/>
      <c r="N997"/>
      <c r="O997"/>
    </row>
    <row r="998" spans="2:15" x14ac:dyDescent="0.2">
      <c r="B998" s="74"/>
      <c r="C998"/>
      <c r="D998" s="74"/>
      <c r="E998" s="74"/>
      <c r="F998" s="74"/>
      <c r="G998" s="74"/>
      <c r="H998" s="74"/>
      <c r="J998" s="110"/>
      <c r="K998" s="111"/>
      <c r="L998"/>
      <c r="M998"/>
      <c r="N998"/>
      <c r="O998"/>
    </row>
    <row r="999" spans="2:15" x14ac:dyDescent="0.2">
      <c r="B999" s="74"/>
      <c r="C999"/>
      <c r="D999" s="74"/>
      <c r="E999" s="74"/>
      <c r="F999" s="74"/>
      <c r="G999" s="74"/>
      <c r="H999" s="74"/>
      <c r="J999" s="110"/>
      <c r="K999" s="111"/>
      <c r="L999"/>
      <c r="M999"/>
      <c r="N999"/>
      <c r="O999"/>
    </row>
    <row r="1000" spans="2:15" x14ac:dyDescent="0.2">
      <c r="B1000" s="74"/>
      <c r="C1000"/>
      <c r="D1000" s="74"/>
      <c r="E1000" s="74"/>
      <c r="F1000" s="74"/>
      <c r="G1000" s="74"/>
      <c r="H1000" s="74"/>
      <c r="J1000" s="110"/>
      <c r="K1000" s="111"/>
      <c r="L1000"/>
      <c r="M1000"/>
      <c r="N1000"/>
      <c r="O1000"/>
    </row>
    <row r="1001" spans="2:15" x14ac:dyDescent="0.2">
      <c r="B1001" s="74"/>
      <c r="C1001"/>
      <c r="D1001" s="74"/>
      <c r="E1001" s="74"/>
      <c r="F1001" s="74"/>
      <c r="G1001" s="74"/>
      <c r="H1001" s="74"/>
      <c r="J1001" s="110"/>
      <c r="K1001" s="111"/>
      <c r="L1001"/>
      <c r="M1001"/>
      <c r="N1001"/>
      <c r="O1001"/>
    </row>
    <row r="1002" spans="2:15" x14ac:dyDescent="0.2">
      <c r="B1002" s="74"/>
      <c r="C1002"/>
      <c r="D1002" s="74"/>
      <c r="E1002" s="74"/>
      <c r="F1002" s="74"/>
      <c r="G1002" s="74"/>
      <c r="H1002" s="74"/>
      <c r="J1002" s="110"/>
      <c r="K1002" s="111"/>
      <c r="L1002"/>
      <c r="M1002"/>
      <c r="N1002"/>
      <c r="O1002"/>
    </row>
    <row r="1003" spans="2:15" x14ac:dyDescent="0.2">
      <c r="B1003" s="74"/>
      <c r="C1003"/>
      <c r="D1003" s="74"/>
      <c r="E1003" s="74"/>
      <c r="F1003" s="74"/>
      <c r="G1003" s="74"/>
      <c r="H1003" s="74"/>
      <c r="J1003" s="110"/>
      <c r="K1003" s="111"/>
      <c r="L1003"/>
      <c r="M1003"/>
      <c r="N1003"/>
      <c r="O1003"/>
    </row>
    <row r="1004" spans="2:15" x14ac:dyDescent="0.2">
      <c r="B1004" s="74"/>
      <c r="C1004"/>
      <c r="D1004" s="74"/>
      <c r="E1004" s="74"/>
      <c r="F1004" s="74"/>
      <c r="G1004" s="74"/>
      <c r="H1004" s="74"/>
      <c r="J1004" s="110"/>
      <c r="K1004" s="111"/>
      <c r="L1004"/>
      <c r="M1004"/>
      <c r="N1004"/>
      <c r="O1004"/>
    </row>
    <row r="1005" spans="2:15" x14ac:dyDescent="0.2">
      <c r="B1005" s="74"/>
      <c r="C1005"/>
      <c r="D1005" s="74"/>
      <c r="E1005" s="74"/>
      <c r="F1005" s="74"/>
      <c r="G1005" s="74"/>
      <c r="H1005" s="74"/>
      <c r="J1005" s="110"/>
      <c r="K1005" s="111"/>
      <c r="L1005"/>
      <c r="M1005"/>
      <c r="N1005"/>
      <c r="O1005"/>
    </row>
    <row r="1006" spans="2:15" x14ac:dyDescent="0.2">
      <c r="B1006" s="74"/>
      <c r="C1006"/>
      <c r="D1006" s="74"/>
      <c r="E1006" s="74"/>
      <c r="F1006" s="74"/>
      <c r="G1006" s="74"/>
      <c r="H1006" s="74"/>
      <c r="J1006" s="110"/>
      <c r="K1006" s="111"/>
      <c r="L1006"/>
      <c r="M1006"/>
      <c r="N1006"/>
      <c r="O1006"/>
    </row>
    <row r="1007" spans="2:15" x14ac:dyDescent="0.2">
      <c r="B1007" s="74"/>
      <c r="C1007"/>
      <c r="D1007" s="74"/>
      <c r="E1007" s="74"/>
      <c r="F1007" s="74"/>
      <c r="G1007" s="74"/>
      <c r="H1007" s="74"/>
      <c r="J1007" s="110"/>
      <c r="K1007" s="111"/>
      <c r="L1007"/>
      <c r="M1007"/>
      <c r="N1007"/>
      <c r="O1007"/>
    </row>
    <row r="1008" spans="2:15" x14ac:dyDescent="0.2">
      <c r="B1008" s="74"/>
      <c r="C1008"/>
      <c r="D1008" s="74"/>
      <c r="E1008" s="74"/>
      <c r="F1008" s="74"/>
      <c r="G1008" s="74"/>
      <c r="H1008" s="74"/>
      <c r="J1008" s="110"/>
      <c r="K1008" s="111"/>
      <c r="L1008"/>
      <c r="M1008"/>
      <c r="N1008"/>
      <c r="O1008"/>
    </row>
    <row r="1009" spans="2:15" x14ac:dyDescent="0.2">
      <c r="B1009" s="74"/>
      <c r="C1009"/>
      <c r="D1009" s="74"/>
      <c r="E1009" s="74"/>
      <c r="F1009" s="74"/>
      <c r="G1009" s="74"/>
      <c r="H1009" s="74"/>
      <c r="J1009" s="110"/>
      <c r="K1009" s="111"/>
      <c r="L1009"/>
      <c r="M1009"/>
      <c r="N1009"/>
      <c r="O1009"/>
    </row>
    <row r="1010" spans="2:15" x14ac:dyDescent="0.2">
      <c r="B1010" s="74"/>
      <c r="C1010"/>
      <c r="D1010" s="74"/>
      <c r="E1010" s="74"/>
      <c r="F1010" s="74"/>
      <c r="G1010" s="74"/>
      <c r="H1010" s="74"/>
      <c r="J1010" s="110"/>
      <c r="K1010" s="111"/>
      <c r="L1010"/>
      <c r="M1010"/>
      <c r="N1010"/>
      <c r="O1010"/>
    </row>
    <row r="1011" spans="2:15" x14ac:dyDescent="0.2">
      <c r="B1011" s="74"/>
      <c r="C1011"/>
      <c r="D1011" s="74"/>
      <c r="E1011" s="74"/>
      <c r="F1011" s="74"/>
      <c r="G1011" s="74"/>
      <c r="H1011" s="74"/>
      <c r="J1011" s="110"/>
      <c r="K1011" s="111"/>
      <c r="L1011"/>
      <c r="M1011"/>
      <c r="N1011"/>
      <c r="O1011"/>
    </row>
    <row r="1012" spans="2:15" x14ac:dyDescent="0.2">
      <c r="B1012" s="74"/>
      <c r="C1012"/>
      <c r="D1012" s="74"/>
      <c r="E1012" s="74"/>
      <c r="F1012" s="74"/>
      <c r="G1012" s="74"/>
      <c r="H1012" s="74"/>
      <c r="J1012" s="110"/>
      <c r="K1012" s="111"/>
      <c r="L1012"/>
      <c r="M1012"/>
      <c r="N1012"/>
      <c r="O1012"/>
    </row>
    <row r="1013" spans="2:15" x14ac:dyDescent="0.2">
      <c r="B1013" s="74"/>
      <c r="C1013"/>
      <c r="D1013" s="74"/>
      <c r="E1013" s="74"/>
      <c r="F1013" s="74"/>
      <c r="G1013" s="74"/>
      <c r="H1013" s="74"/>
      <c r="J1013" s="110"/>
      <c r="K1013" s="111"/>
      <c r="L1013"/>
      <c r="M1013"/>
      <c r="N1013"/>
      <c r="O1013"/>
    </row>
    <row r="1014" spans="2:15" x14ac:dyDescent="0.2">
      <c r="B1014" s="74"/>
      <c r="C1014"/>
      <c r="D1014" s="74"/>
      <c r="E1014" s="74"/>
      <c r="F1014" s="74"/>
      <c r="G1014" s="74"/>
      <c r="H1014" s="74"/>
      <c r="J1014" s="110"/>
      <c r="K1014" s="111"/>
      <c r="L1014"/>
      <c r="M1014"/>
      <c r="N1014"/>
      <c r="O1014"/>
    </row>
    <row r="1015" spans="2:15" x14ac:dyDescent="0.2">
      <c r="B1015" s="74"/>
      <c r="C1015"/>
      <c r="D1015" s="74"/>
      <c r="E1015" s="74"/>
      <c r="F1015" s="74"/>
      <c r="G1015" s="74"/>
      <c r="H1015" s="74"/>
      <c r="J1015" s="110"/>
      <c r="K1015" s="111"/>
      <c r="L1015"/>
      <c r="M1015"/>
      <c r="N1015"/>
      <c r="O1015"/>
    </row>
    <row r="1016" spans="2:15" x14ac:dyDescent="0.2">
      <c r="B1016" s="74"/>
      <c r="C1016"/>
      <c r="D1016" s="74"/>
      <c r="E1016" s="74"/>
      <c r="F1016" s="74"/>
      <c r="G1016" s="74"/>
      <c r="H1016" s="74"/>
      <c r="J1016" s="110"/>
      <c r="K1016" s="111"/>
      <c r="L1016"/>
      <c r="M1016"/>
      <c r="N1016"/>
      <c r="O1016"/>
    </row>
    <row r="1017" spans="2:15" x14ac:dyDescent="0.2">
      <c r="B1017" s="74"/>
      <c r="C1017"/>
      <c r="D1017" s="74"/>
      <c r="E1017" s="74"/>
      <c r="F1017" s="74"/>
      <c r="G1017" s="74"/>
      <c r="H1017" s="74"/>
      <c r="J1017" s="110"/>
      <c r="K1017" s="111"/>
      <c r="L1017"/>
      <c r="M1017"/>
      <c r="N1017"/>
      <c r="O1017"/>
    </row>
    <row r="1018" spans="2:15" x14ac:dyDescent="0.2">
      <c r="B1018" s="74"/>
      <c r="C1018"/>
      <c r="D1018" s="74"/>
      <c r="E1018" s="74"/>
      <c r="F1018" s="74"/>
      <c r="G1018" s="74"/>
      <c r="H1018" s="74"/>
      <c r="J1018" s="110"/>
      <c r="K1018" s="111"/>
      <c r="L1018"/>
      <c r="M1018"/>
      <c r="N1018"/>
      <c r="O1018"/>
    </row>
    <row r="1019" spans="2:15" x14ac:dyDescent="0.2">
      <c r="B1019" s="74"/>
      <c r="C1019"/>
      <c r="D1019" s="74"/>
      <c r="E1019" s="74"/>
      <c r="F1019" s="74"/>
      <c r="G1019" s="74"/>
      <c r="H1019" s="74"/>
      <c r="J1019" s="110"/>
      <c r="K1019" s="111"/>
      <c r="L1019"/>
      <c r="M1019"/>
      <c r="N1019"/>
      <c r="O1019"/>
    </row>
    <row r="1020" spans="2:15" x14ac:dyDescent="0.2">
      <c r="B1020" s="74"/>
      <c r="C1020"/>
      <c r="D1020" s="74"/>
      <c r="E1020" s="74"/>
      <c r="F1020" s="74"/>
      <c r="G1020" s="74"/>
      <c r="H1020" s="74"/>
      <c r="J1020" s="110"/>
      <c r="K1020" s="111"/>
      <c r="L1020"/>
      <c r="M1020"/>
      <c r="N1020"/>
      <c r="O1020"/>
    </row>
    <row r="1021" spans="2:15" x14ac:dyDescent="0.2">
      <c r="B1021" s="74"/>
      <c r="C1021"/>
      <c r="D1021" s="74"/>
      <c r="E1021" s="74"/>
      <c r="F1021" s="74"/>
      <c r="G1021" s="74"/>
      <c r="H1021" s="74"/>
      <c r="J1021" s="110"/>
      <c r="K1021" s="111"/>
      <c r="L1021"/>
      <c r="M1021"/>
      <c r="N1021"/>
      <c r="O1021"/>
    </row>
    <row r="1022" spans="2:15" x14ac:dyDescent="0.2">
      <c r="B1022" s="74"/>
      <c r="C1022"/>
      <c r="D1022" s="74"/>
      <c r="E1022" s="74"/>
      <c r="F1022" s="74"/>
      <c r="G1022" s="74"/>
      <c r="H1022" s="74"/>
      <c r="J1022" s="110"/>
      <c r="K1022" s="111"/>
      <c r="L1022"/>
      <c r="M1022"/>
      <c r="N1022"/>
      <c r="O1022"/>
    </row>
    <row r="1023" spans="2:15" x14ac:dyDescent="0.2">
      <c r="B1023" s="74"/>
      <c r="C1023"/>
      <c r="D1023" s="74"/>
      <c r="E1023" s="74"/>
      <c r="F1023" s="74"/>
      <c r="G1023" s="74"/>
      <c r="H1023" s="74"/>
      <c r="J1023" s="110"/>
      <c r="K1023" s="111"/>
      <c r="L1023"/>
      <c r="M1023"/>
      <c r="N1023"/>
      <c r="O1023"/>
    </row>
    <row r="1024" spans="2:15" x14ac:dyDescent="0.2">
      <c r="B1024" s="74"/>
      <c r="C1024"/>
      <c r="D1024" s="74"/>
      <c r="E1024" s="74"/>
      <c r="F1024" s="74"/>
      <c r="G1024" s="74"/>
      <c r="H1024" s="74"/>
      <c r="J1024" s="110"/>
      <c r="K1024" s="111"/>
      <c r="L1024"/>
      <c r="M1024"/>
      <c r="N1024"/>
      <c r="O1024"/>
    </row>
    <row r="1025" spans="2:15" x14ac:dyDescent="0.2">
      <c r="B1025" s="74"/>
      <c r="C1025"/>
      <c r="D1025" s="74"/>
      <c r="E1025" s="74"/>
      <c r="F1025" s="74"/>
      <c r="G1025" s="74"/>
      <c r="H1025" s="74"/>
      <c r="J1025" s="110"/>
      <c r="K1025" s="111"/>
      <c r="L1025"/>
      <c r="M1025"/>
      <c r="N1025"/>
      <c r="O1025"/>
    </row>
    <row r="1026" spans="2:15" x14ac:dyDescent="0.2">
      <c r="B1026" s="74"/>
      <c r="C1026"/>
      <c r="D1026" s="74"/>
      <c r="E1026" s="74"/>
      <c r="F1026" s="74"/>
      <c r="G1026" s="74"/>
      <c r="H1026" s="74"/>
      <c r="J1026" s="110"/>
      <c r="K1026" s="111"/>
      <c r="L1026"/>
      <c r="M1026"/>
      <c r="N1026"/>
      <c r="O1026"/>
    </row>
    <row r="1027" spans="2:15" x14ac:dyDescent="0.2">
      <c r="B1027" s="74"/>
      <c r="C1027"/>
      <c r="D1027" s="74"/>
      <c r="E1027" s="74"/>
      <c r="F1027" s="74"/>
      <c r="G1027" s="74"/>
      <c r="H1027" s="74"/>
      <c r="J1027" s="110"/>
      <c r="K1027" s="111"/>
      <c r="L1027"/>
      <c r="M1027"/>
      <c r="N1027"/>
      <c r="O1027"/>
    </row>
    <row r="1028" spans="2:15" x14ac:dyDescent="0.2">
      <c r="B1028" s="74"/>
      <c r="C1028"/>
      <c r="D1028" s="74"/>
      <c r="E1028" s="74"/>
      <c r="F1028" s="74"/>
      <c r="G1028" s="74"/>
      <c r="H1028" s="74"/>
      <c r="J1028" s="110"/>
      <c r="K1028" s="111"/>
      <c r="L1028"/>
      <c r="M1028"/>
      <c r="N1028"/>
      <c r="O1028"/>
    </row>
    <row r="1029" spans="2:15" x14ac:dyDescent="0.2">
      <c r="B1029" s="74"/>
      <c r="C1029"/>
      <c r="D1029" s="74"/>
      <c r="E1029" s="74"/>
      <c r="F1029" s="74"/>
      <c r="G1029" s="74"/>
      <c r="H1029" s="74"/>
      <c r="J1029" s="110"/>
      <c r="K1029" s="111"/>
      <c r="L1029"/>
      <c r="M1029"/>
      <c r="N1029"/>
      <c r="O1029"/>
    </row>
    <row r="1030" spans="2:15" x14ac:dyDescent="0.2">
      <c r="B1030" s="74"/>
      <c r="C1030"/>
      <c r="D1030" s="74"/>
      <c r="E1030" s="74"/>
      <c r="F1030" s="74"/>
      <c r="G1030" s="74"/>
      <c r="H1030" s="74"/>
      <c r="J1030" s="110"/>
      <c r="K1030" s="111"/>
      <c r="L1030"/>
      <c r="M1030"/>
      <c r="N1030"/>
      <c r="O1030"/>
    </row>
    <row r="1031" spans="2:15" x14ac:dyDescent="0.2">
      <c r="B1031" s="74"/>
      <c r="C1031"/>
      <c r="D1031" s="74"/>
      <c r="E1031" s="74"/>
      <c r="F1031" s="74"/>
      <c r="G1031" s="74"/>
      <c r="H1031" s="74"/>
      <c r="J1031" s="110"/>
      <c r="K1031" s="111"/>
      <c r="L1031"/>
      <c r="M1031"/>
      <c r="N1031"/>
      <c r="O1031"/>
    </row>
    <row r="1032" spans="2:15" x14ac:dyDescent="0.2">
      <c r="B1032" s="74"/>
      <c r="C1032"/>
      <c r="D1032" s="74"/>
      <c r="E1032" s="74"/>
      <c r="F1032" s="74"/>
      <c r="G1032" s="74"/>
      <c r="H1032" s="74"/>
      <c r="J1032" s="110"/>
      <c r="K1032" s="111"/>
      <c r="L1032"/>
      <c r="M1032"/>
      <c r="N1032"/>
      <c r="O1032"/>
    </row>
    <row r="1033" spans="2:15" x14ac:dyDescent="0.2">
      <c r="B1033" s="74"/>
      <c r="C1033"/>
      <c r="D1033" s="74"/>
      <c r="E1033" s="74"/>
      <c r="F1033" s="74"/>
      <c r="G1033" s="74"/>
      <c r="H1033" s="74"/>
      <c r="J1033" s="110"/>
      <c r="K1033" s="111"/>
      <c r="L1033"/>
      <c r="M1033"/>
      <c r="N1033"/>
      <c r="O1033"/>
    </row>
    <row r="1034" spans="2:15" x14ac:dyDescent="0.2">
      <c r="B1034" s="74"/>
      <c r="C1034"/>
      <c r="D1034" s="74"/>
      <c r="E1034" s="74"/>
      <c r="F1034" s="74"/>
      <c r="G1034" s="74"/>
      <c r="H1034" s="74"/>
      <c r="J1034" s="110"/>
      <c r="K1034" s="111"/>
      <c r="L1034"/>
      <c r="M1034"/>
      <c r="N1034"/>
      <c r="O1034"/>
    </row>
    <row r="1035" spans="2:15" x14ac:dyDescent="0.2">
      <c r="B1035" s="74"/>
      <c r="C1035"/>
      <c r="D1035" s="74"/>
      <c r="E1035" s="74"/>
      <c r="F1035" s="74"/>
      <c r="G1035" s="74"/>
      <c r="H1035" s="74"/>
      <c r="J1035" s="110"/>
      <c r="K1035" s="111"/>
      <c r="L1035"/>
      <c r="M1035"/>
      <c r="N1035"/>
      <c r="O1035"/>
    </row>
    <row r="1036" spans="2:15" x14ac:dyDescent="0.2">
      <c r="B1036" s="74"/>
      <c r="C1036"/>
      <c r="D1036" s="74"/>
      <c r="E1036" s="74"/>
      <c r="F1036" s="74"/>
      <c r="G1036" s="74"/>
      <c r="H1036" s="74"/>
      <c r="J1036" s="110"/>
      <c r="K1036" s="111"/>
      <c r="L1036"/>
      <c r="M1036"/>
      <c r="N1036"/>
      <c r="O1036"/>
    </row>
    <row r="1037" spans="2:15" x14ac:dyDescent="0.2">
      <c r="B1037" s="74"/>
      <c r="C1037"/>
      <c r="D1037" s="74"/>
      <c r="E1037" s="74"/>
      <c r="F1037" s="74"/>
      <c r="G1037" s="74"/>
      <c r="H1037" s="74"/>
      <c r="J1037" s="110"/>
      <c r="K1037" s="111"/>
      <c r="L1037"/>
      <c r="M1037"/>
      <c r="N1037"/>
      <c r="O1037"/>
    </row>
    <row r="1038" spans="2:15" x14ac:dyDescent="0.2">
      <c r="B1038" s="74"/>
      <c r="C1038"/>
      <c r="D1038" s="74"/>
      <c r="E1038" s="74"/>
      <c r="F1038" s="74"/>
      <c r="G1038" s="74"/>
      <c r="H1038" s="74"/>
      <c r="J1038" s="110"/>
      <c r="K1038" s="111"/>
      <c r="L1038"/>
      <c r="M1038"/>
      <c r="N1038"/>
      <c r="O1038"/>
    </row>
    <row r="1039" spans="2:15" x14ac:dyDescent="0.2">
      <c r="B1039" s="74"/>
      <c r="C1039"/>
      <c r="D1039" s="74"/>
      <c r="E1039" s="74"/>
      <c r="F1039" s="74"/>
      <c r="G1039" s="74"/>
      <c r="H1039" s="74"/>
      <c r="J1039" s="110"/>
      <c r="K1039" s="111"/>
      <c r="L1039"/>
      <c r="M1039"/>
      <c r="N1039"/>
      <c r="O1039"/>
    </row>
    <row r="1040" spans="2:15" x14ac:dyDescent="0.2">
      <c r="B1040" s="74"/>
      <c r="C1040"/>
      <c r="D1040" s="74"/>
      <c r="E1040" s="74"/>
      <c r="F1040" s="74"/>
      <c r="G1040" s="74"/>
      <c r="H1040" s="74"/>
      <c r="J1040" s="110"/>
      <c r="K1040" s="111"/>
      <c r="L1040"/>
      <c r="M1040"/>
      <c r="N1040"/>
      <c r="O1040"/>
    </row>
    <row r="1041" spans="2:15" x14ac:dyDescent="0.2">
      <c r="B1041" s="74"/>
      <c r="C1041"/>
      <c r="D1041" s="74"/>
      <c r="E1041" s="74"/>
      <c r="F1041" s="74"/>
      <c r="G1041" s="74"/>
      <c r="H1041" s="74"/>
      <c r="J1041" s="110"/>
      <c r="K1041" s="111"/>
      <c r="L1041"/>
      <c r="M1041"/>
      <c r="N1041"/>
      <c r="O1041"/>
    </row>
    <row r="1042" spans="2:15" x14ac:dyDescent="0.2">
      <c r="B1042" s="74"/>
      <c r="C1042"/>
      <c r="D1042" s="74"/>
      <c r="E1042" s="74"/>
      <c r="F1042" s="74"/>
      <c r="G1042" s="74"/>
      <c r="H1042" s="74"/>
      <c r="J1042" s="110"/>
      <c r="K1042" s="111"/>
      <c r="L1042"/>
      <c r="M1042"/>
      <c r="N1042"/>
      <c r="O1042"/>
    </row>
    <row r="1043" spans="2:15" x14ac:dyDescent="0.2">
      <c r="B1043" s="74"/>
      <c r="C1043"/>
      <c r="D1043" s="74"/>
      <c r="E1043" s="74"/>
      <c r="F1043" s="74"/>
      <c r="G1043" s="74"/>
      <c r="H1043" s="74"/>
      <c r="J1043" s="110"/>
      <c r="K1043" s="111"/>
      <c r="L1043"/>
      <c r="M1043"/>
      <c r="N1043"/>
      <c r="O1043"/>
    </row>
    <row r="1044" spans="2:15" x14ac:dyDescent="0.2">
      <c r="B1044" s="74"/>
      <c r="C1044"/>
      <c r="D1044" s="74"/>
      <c r="E1044" s="74"/>
      <c r="F1044" s="74"/>
      <c r="G1044" s="74"/>
      <c r="H1044" s="74"/>
      <c r="J1044" s="110"/>
      <c r="K1044" s="111"/>
      <c r="L1044"/>
      <c r="M1044"/>
      <c r="N1044"/>
      <c r="O1044"/>
    </row>
    <row r="1045" spans="2:15" x14ac:dyDescent="0.2">
      <c r="B1045" s="74"/>
      <c r="C1045"/>
      <c r="D1045" s="74"/>
      <c r="E1045" s="74"/>
      <c r="F1045" s="74"/>
      <c r="G1045" s="74"/>
      <c r="H1045" s="74"/>
      <c r="J1045" s="110"/>
      <c r="K1045" s="111"/>
      <c r="L1045"/>
      <c r="M1045"/>
      <c r="N1045"/>
      <c r="O1045"/>
    </row>
    <row r="1046" spans="2:15" x14ac:dyDescent="0.2">
      <c r="B1046" s="74"/>
      <c r="C1046"/>
      <c r="D1046" s="74"/>
      <c r="E1046" s="74"/>
      <c r="F1046" s="74"/>
      <c r="G1046" s="74"/>
      <c r="H1046" s="74"/>
      <c r="J1046" s="110"/>
      <c r="K1046" s="111"/>
      <c r="L1046"/>
      <c r="M1046"/>
      <c r="N1046"/>
      <c r="O1046"/>
    </row>
    <row r="1047" spans="2:15" x14ac:dyDescent="0.2">
      <c r="B1047" s="74"/>
      <c r="C1047"/>
      <c r="D1047" s="74"/>
      <c r="E1047" s="74"/>
      <c r="F1047" s="74"/>
      <c r="G1047" s="74"/>
      <c r="H1047" s="74"/>
      <c r="J1047" s="110"/>
      <c r="K1047" s="111"/>
      <c r="L1047"/>
      <c r="M1047"/>
      <c r="N1047"/>
      <c r="O1047"/>
    </row>
    <row r="1048" spans="2:15" x14ac:dyDescent="0.2">
      <c r="B1048" s="74"/>
      <c r="C1048"/>
      <c r="D1048" s="74"/>
      <c r="E1048" s="74"/>
      <c r="F1048" s="74"/>
      <c r="G1048" s="74"/>
      <c r="H1048" s="74"/>
      <c r="J1048" s="110"/>
      <c r="K1048" s="111"/>
      <c r="L1048"/>
      <c r="M1048"/>
      <c r="N1048"/>
      <c r="O1048"/>
    </row>
    <row r="1049" spans="2:15" x14ac:dyDescent="0.2">
      <c r="B1049" s="74"/>
      <c r="C1049"/>
      <c r="D1049" s="74"/>
      <c r="E1049" s="74"/>
      <c r="F1049" s="74"/>
      <c r="G1049" s="74"/>
      <c r="H1049" s="74"/>
      <c r="J1049" s="110"/>
      <c r="K1049" s="111"/>
      <c r="L1049"/>
      <c r="M1049"/>
      <c r="N1049"/>
      <c r="O1049"/>
    </row>
    <row r="1050" spans="2:15" x14ac:dyDescent="0.2">
      <c r="B1050" s="74"/>
      <c r="C1050"/>
      <c r="D1050" s="74"/>
      <c r="E1050" s="74"/>
      <c r="F1050" s="74"/>
      <c r="G1050" s="74"/>
      <c r="H1050" s="74"/>
      <c r="J1050" s="110"/>
      <c r="K1050" s="111"/>
      <c r="L1050"/>
      <c r="M1050"/>
      <c r="N1050"/>
      <c r="O1050"/>
    </row>
    <row r="1051" spans="2:15" x14ac:dyDescent="0.2">
      <c r="B1051" s="74"/>
      <c r="C1051"/>
      <c r="D1051" s="74"/>
      <c r="E1051" s="74"/>
      <c r="F1051" s="74"/>
      <c r="G1051" s="74"/>
      <c r="H1051" s="74"/>
      <c r="J1051" s="110"/>
      <c r="K1051" s="111"/>
      <c r="L1051"/>
      <c r="M1051"/>
      <c r="N1051"/>
      <c r="O1051"/>
    </row>
    <row r="1052" spans="2:15" x14ac:dyDescent="0.2">
      <c r="B1052" s="74"/>
      <c r="C1052"/>
      <c r="D1052" s="74"/>
      <c r="E1052" s="74"/>
      <c r="F1052" s="74"/>
      <c r="G1052" s="74"/>
      <c r="H1052" s="74"/>
      <c r="J1052" s="110"/>
      <c r="K1052" s="111"/>
      <c r="L1052"/>
      <c r="M1052"/>
      <c r="N1052"/>
      <c r="O1052"/>
    </row>
    <row r="1053" spans="2:15" x14ac:dyDescent="0.2">
      <c r="B1053" s="74"/>
      <c r="C1053"/>
      <c r="D1053" s="74"/>
      <c r="E1053" s="74"/>
      <c r="F1053" s="74"/>
      <c r="G1053" s="74"/>
      <c r="H1053" s="74"/>
      <c r="J1053" s="110"/>
      <c r="K1053" s="111"/>
      <c r="L1053"/>
      <c r="M1053"/>
      <c r="N1053"/>
      <c r="O1053"/>
    </row>
    <row r="1054" spans="2:15" x14ac:dyDescent="0.2">
      <c r="B1054" s="74"/>
      <c r="C1054"/>
      <c r="D1054" s="74"/>
      <c r="E1054" s="74"/>
      <c r="F1054" s="74"/>
      <c r="G1054" s="74"/>
      <c r="H1054" s="74"/>
      <c r="J1054" s="110"/>
      <c r="K1054" s="111"/>
      <c r="L1054"/>
      <c r="M1054"/>
      <c r="N1054"/>
      <c r="O1054"/>
    </row>
    <row r="1055" spans="2:15" x14ac:dyDescent="0.2">
      <c r="B1055" s="74"/>
      <c r="C1055"/>
      <c r="D1055" s="74"/>
      <c r="E1055" s="74"/>
      <c r="F1055" s="74"/>
      <c r="G1055" s="74"/>
      <c r="H1055" s="74"/>
      <c r="J1055" s="110"/>
      <c r="K1055" s="111"/>
      <c r="L1055"/>
      <c r="M1055"/>
      <c r="N1055"/>
      <c r="O1055"/>
    </row>
    <row r="1056" spans="2:15" x14ac:dyDescent="0.2">
      <c r="B1056" s="74"/>
      <c r="C1056"/>
      <c r="D1056" s="74"/>
      <c r="E1056" s="74"/>
      <c r="F1056" s="74"/>
      <c r="G1056" s="74"/>
      <c r="H1056" s="74"/>
      <c r="J1056" s="110"/>
      <c r="K1056" s="111"/>
      <c r="L1056"/>
      <c r="M1056"/>
      <c r="N1056"/>
      <c r="O1056"/>
    </row>
    <row r="1057" spans="2:15" x14ac:dyDescent="0.2">
      <c r="B1057" s="74"/>
      <c r="C1057"/>
      <c r="D1057" s="74"/>
      <c r="E1057" s="74"/>
      <c r="F1057" s="74"/>
      <c r="G1057" s="74"/>
      <c r="H1057" s="74"/>
      <c r="J1057" s="110"/>
      <c r="K1057" s="111"/>
      <c r="L1057"/>
      <c r="M1057"/>
      <c r="N1057"/>
      <c r="O1057"/>
    </row>
    <row r="1058" spans="2:15" x14ac:dyDescent="0.2">
      <c r="B1058" s="74"/>
      <c r="C1058"/>
      <c r="D1058" s="74"/>
      <c r="E1058" s="74"/>
      <c r="F1058" s="74"/>
      <c r="G1058" s="74"/>
      <c r="H1058" s="74"/>
      <c r="J1058" s="110"/>
      <c r="K1058" s="111"/>
      <c r="L1058"/>
      <c r="M1058"/>
      <c r="N1058"/>
      <c r="O1058"/>
    </row>
    <row r="1059" spans="2:15" x14ac:dyDescent="0.2">
      <c r="B1059" s="74"/>
      <c r="C1059"/>
      <c r="D1059" s="74"/>
      <c r="E1059" s="74"/>
      <c r="F1059" s="74"/>
      <c r="G1059" s="74"/>
      <c r="H1059" s="74"/>
      <c r="J1059" s="110"/>
      <c r="K1059" s="111"/>
      <c r="L1059"/>
      <c r="M1059"/>
      <c r="N1059"/>
      <c r="O1059"/>
    </row>
    <row r="1060" spans="2:15" x14ac:dyDescent="0.2">
      <c r="B1060" s="74"/>
      <c r="C1060"/>
      <c r="D1060" s="74"/>
      <c r="E1060" s="74"/>
      <c r="F1060" s="74"/>
      <c r="G1060" s="74"/>
      <c r="H1060" s="74"/>
      <c r="J1060" s="110"/>
      <c r="K1060" s="111"/>
      <c r="L1060"/>
      <c r="M1060"/>
      <c r="N1060"/>
      <c r="O1060"/>
    </row>
    <row r="1061" spans="2:15" x14ac:dyDescent="0.2">
      <c r="B1061" s="74"/>
      <c r="C1061"/>
      <c r="D1061" s="74"/>
      <c r="E1061" s="74"/>
      <c r="F1061" s="74"/>
      <c r="G1061" s="74"/>
      <c r="H1061" s="74"/>
      <c r="J1061" s="110"/>
      <c r="K1061" s="111"/>
      <c r="L1061"/>
      <c r="M1061"/>
      <c r="N1061"/>
      <c r="O1061"/>
    </row>
    <row r="1062" spans="2:15" x14ac:dyDescent="0.2">
      <c r="B1062" s="74"/>
      <c r="C1062"/>
      <c r="D1062" s="74"/>
      <c r="E1062" s="74"/>
      <c r="F1062" s="74"/>
      <c r="G1062" s="74"/>
      <c r="H1062" s="74"/>
      <c r="J1062" s="110"/>
      <c r="K1062" s="111"/>
      <c r="L1062"/>
      <c r="M1062"/>
      <c r="N1062"/>
      <c r="O1062"/>
    </row>
    <row r="1063" spans="2:15" x14ac:dyDescent="0.2">
      <c r="B1063" s="74"/>
      <c r="C1063"/>
      <c r="D1063" s="74"/>
      <c r="E1063" s="74"/>
      <c r="F1063" s="74"/>
      <c r="G1063" s="74"/>
      <c r="H1063" s="74"/>
      <c r="J1063" s="110"/>
      <c r="K1063" s="111"/>
      <c r="L1063"/>
      <c r="M1063"/>
      <c r="N1063"/>
      <c r="O1063"/>
    </row>
    <row r="1064" spans="2:15" x14ac:dyDescent="0.2">
      <c r="B1064" s="74"/>
      <c r="C1064"/>
      <c r="D1064" s="74"/>
      <c r="E1064" s="74"/>
      <c r="F1064" s="74"/>
      <c r="G1064" s="74"/>
      <c r="H1064" s="74"/>
      <c r="J1064" s="110"/>
      <c r="K1064" s="111"/>
      <c r="L1064"/>
      <c r="M1064"/>
      <c r="N1064"/>
      <c r="O1064"/>
    </row>
    <row r="1065" spans="2:15" x14ac:dyDescent="0.2">
      <c r="B1065" s="74"/>
      <c r="C1065"/>
      <c r="D1065" s="74"/>
      <c r="E1065" s="74"/>
      <c r="F1065" s="74"/>
      <c r="G1065" s="74"/>
      <c r="H1065" s="74"/>
      <c r="J1065" s="110"/>
      <c r="K1065" s="111"/>
      <c r="L1065"/>
      <c r="M1065"/>
      <c r="N1065"/>
      <c r="O1065"/>
    </row>
    <row r="1066" spans="2:15" x14ac:dyDescent="0.2">
      <c r="B1066" s="74"/>
      <c r="C1066"/>
      <c r="D1066" s="74"/>
      <c r="E1066" s="74"/>
      <c r="F1066" s="74"/>
      <c r="G1066" s="74"/>
      <c r="H1066" s="74"/>
      <c r="J1066" s="110"/>
      <c r="K1066" s="111"/>
      <c r="L1066"/>
      <c r="M1066"/>
      <c r="N1066"/>
      <c r="O1066"/>
    </row>
    <row r="1067" spans="2:15" x14ac:dyDescent="0.2">
      <c r="B1067" s="74"/>
      <c r="C1067"/>
      <c r="D1067" s="74"/>
      <c r="E1067" s="74"/>
      <c r="F1067" s="74"/>
      <c r="G1067" s="74"/>
      <c r="H1067" s="74"/>
      <c r="J1067" s="110"/>
      <c r="K1067" s="111"/>
      <c r="L1067"/>
      <c r="M1067"/>
      <c r="N1067"/>
      <c r="O1067"/>
    </row>
    <row r="1068" spans="2:15" x14ac:dyDescent="0.2">
      <c r="B1068" s="74"/>
      <c r="C1068"/>
      <c r="D1068" s="74"/>
      <c r="E1068" s="74"/>
      <c r="F1068" s="74"/>
      <c r="G1068" s="74"/>
      <c r="H1068" s="74"/>
      <c r="J1068" s="110"/>
      <c r="K1068" s="111"/>
      <c r="L1068"/>
      <c r="M1068"/>
      <c r="N1068"/>
      <c r="O1068"/>
    </row>
    <row r="1069" spans="2:15" x14ac:dyDescent="0.2">
      <c r="B1069" s="74"/>
      <c r="C1069"/>
      <c r="D1069" s="74"/>
      <c r="E1069" s="74"/>
      <c r="F1069" s="74"/>
      <c r="G1069" s="74"/>
      <c r="H1069" s="74"/>
      <c r="J1069" s="110"/>
      <c r="K1069" s="111"/>
      <c r="L1069"/>
      <c r="M1069"/>
      <c r="N1069"/>
      <c r="O1069"/>
    </row>
    <row r="1070" spans="2:15" x14ac:dyDescent="0.2">
      <c r="B1070" s="74"/>
      <c r="C1070"/>
      <c r="D1070" s="74"/>
      <c r="E1070" s="74"/>
      <c r="F1070" s="74"/>
      <c r="G1070" s="74"/>
      <c r="H1070" s="74"/>
      <c r="J1070" s="110"/>
      <c r="K1070" s="111"/>
      <c r="L1070"/>
      <c r="M1070"/>
      <c r="N1070"/>
      <c r="O1070"/>
    </row>
    <row r="1071" spans="2:15" x14ac:dyDescent="0.2">
      <c r="B1071" s="74"/>
      <c r="C1071"/>
      <c r="D1071" s="74"/>
      <c r="E1071" s="74"/>
      <c r="F1071" s="74"/>
      <c r="G1071" s="74"/>
      <c r="H1071" s="74"/>
      <c r="J1071" s="110"/>
      <c r="K1071" s="111"/>
      <c r="L1071"/>
      <c r="M1071"/>
      <c r="N1071"/>
      <c r="O1071"/>
    </row>
    <row r="1072" spans="2:15" x14ac:dyDescent="0.2">
      <c r="B1072" s="74"/>
      <c r="C1072"/>
      <c r="D1072" s="74"/>
      <c r="E1072" s="74"/>
      <c r="F1072" s="74"/>
      <c r="G1072" s="74"/>
      <c r="H1072" s="74"/>
      <c r="J1072" s="110"/>
      <c r="K1072" s="111"/>
      <c r="L1072"/>
      <c r="M1072"/>
      <c r="N1072"/>
      <c r="O1072"/>
    </row>
    <row r="1073" spans="2:15" x14ac:dyDescent="0.2">
      <c r="B1073" s="74"/>
      <c r="C1073"/>
      <c r="D1073" s="74"/>
      <c r="E1073" s="74"/>
      <c r="F1073" s="74"/>
      <c r="G1073" s="74"/>
      <c r="H1073" s="74"/>
      <c r="J1073" s="110"/>
      <c r="K1073" s="111"/>
      <c r="L1073"/>
      <c r="M1073"/>
      <c r="N1073"/>
      <c r="O1073"/>
    </row>
    <row r="1074" spans="2:15" x14ac:dyDescent="0.2">
      <c r="B1074" s="74"/>
      <c r="C1074"/>
      <c r="D1074" s="74"/>
      <c r="E1074" s="74"/>
      <c r="F1074" s="74"/>
      <c r="G1074" s="74"/>
      <c r="H1074" s="74"/>
      <c r="J1074" s="110"/>
      <c r="K1074" s="111"/>
      <c r="L1074"/>
      <c r="M1074"/>
      <c r="N1074"/>
      <c r="O1074"/>
    </row>
    <row r="1075" spans="2:15" x14ac:dyDescent="0.2">
      <c r="B1075" s="74"/>
      <c r="C1075"/>
      <c r="D1075" s="74"/>
      <c r="E1075" s="74"/>
      <c r="F1075" s="74"/>
      <c r="G1075" s="74"/>
      <c r="H1075" s="74"/>
      <c r="J1075" s="110"/>
      <c r="K1075" s="111"/>
      <c r="L1075"/>
      <c r="M1075"/>
      <c r="N1075"/>
      <c r="O1075"/>
    </row>
    <row r="1076" spans="2:15" x14ac:dyDescent="0.2">
      <c r="B1076" s="74"/>
      <c r="C1076"/>
      <c r="D1076" s="74"/>
      <c r="E1076" s="74"/>
      <c r="F1076" s="74"/>
      <c r="G1076" s="74"/>
      <c r="H1076" s="74"/>
      <c r="J1076" s="110"/>
      <c r="K1076" s="111"/>
      <c r="L1076"/>
      <c r="M1076"/>
      <c r="N1076"/>
      <c r="O1076"/>
    </row>
    <row r="1077" spans="2:15" x14ac:dyDescent="0.2">
      <c r="B1077" s="74"/>
      <c r="C1077"/>
      <c r="D1077" s="74"/>
      <c r="E1077" s="74"/>
      <c r="F1077" s="74"/>
      <c r="G1077" s="74"/>
      <c r="H1077" s="74"/>
      <c r="J1077" s="110"/>
      <c r="K1077" s="111"/>
      <c r="L1077"/>
      <c r="M1077"/>
      <c r="N1077"/>
      <c r="O1077"/>
    </row>
    <row r="1078" spans="2:15" x14ac:dyDescent="0.2">
      <c r="B1078" s="74"/>
      <c r="C1078"/>
      <c r="D1078" s="74"/>
      <c r="E1078" s="74"/>
      <c r="F1078" s="74"/>
      <c r="G1078" s="74"/>
      <c r="H1078" s="74"/>
      <c r="J1078" s="110"/>
      <c r="K1078" s="111"/>
      <c r="L1078"/>
      <c r="M1078"/>
      <c r="N1078"/>
      <c r="O1078"/>
    </row>
    <row r="1079" spans="2:15" x14ac:dyDescent="0.2">
      <c r="B1079" s="74"/>
      <c r="C1079"/>
      <c r="D1079" s="74"/>
      <c r="E1079" s="74"/>
      <c r="F1079" s="74"/>
      <c r="G1079" s="74"/>
      <c r="H1079" s="74"/>
      <c r="J1079" s="110"/>
      <c r="K1079" s="111"/>
      <c r="L1079"/>
      <c r="M1079"/>
      <c r="N1079"/>
      <c r="O1079"/>
    </row>
    <row r="1080" spans="2:15" x14ac:dyDescent="0.2">
      <c r="B1080" s="74"/>
      <c r="C1080"/>
      <c r="D1080" s="74"/>
      <c r="E1080" s="74"/>
      <c r="F1080" s="74"/>
      <c r="G1080" s="74"/>
      <c r="H1080" s="74"/>
      <c r="J1080" s="110"/>
      <c r="K1080" s="111"/>
      <c r="L1080"/>
      <c r="M1080"/>
      <c r="N1080"/>
      <c r="O1080"/>
    </row>
    <row r="1081" spans="2:15" x14ac:dyDescent="0.2">
      <c r="B1081" s="74"/>
      <c r="C1081"/>
      <c r="D1081" s="74"/>
      <c r="E1081" s="74"/>
      <c r="F1081" s="74"/>
      <c r="G1081" s="74"/>
      <c r="H1081" s="74"/>
      <c r="J1081" s="110"/>
      <c r="K1081" s="111"/>
      <c r="L1081"/>
      <c r="M1081"/>
      <c r="N1081"/>
      <c r="O1081"/>
    </row>
    <row r="1082" spans="2:15" x14ac:dyDescent="0.2">
      <c r="B1082" s="74"/>
      <c r="C1082"/>
      <c r="D1082" s="74"/>
      <c r="E1082" s="74"/>
      <c r="F1082" s="74"/>
      <c r="G1082" s="74"/>
      <c r="H1082" s="74"/>
      <c r="J1082" s="110"/>
      <c r="K1082" s="111"/>
      <c r="L1082"/>
      <c r="M1082"/>
      <c r="N1082"/>
      <c r="O1082"/>
    </row>
    <row r="1083" spans="2:15" x14ac:dyDescent="0.2">
      <c r="B1083" s="74"/>
      <c r="C1083"/>
      <c r="D1083" s="74"/>
      <c r="E1083" s="74"/>
      <c r="F1083" s="74"/>
      <c r="G1083" s="74"/>
      <c r="H1083" s="74"/>
      <c r="J1083" s="110"/>
      <c r="K1083" s="111"/>
      <c r="L1083"/>
      <c r="M1083"/>
      <c r="N1083"/>
      <c r="O1083"/>
    </row>
    <row r="1084" spans="2:15" x14ac:dyDescent="0.2">
      <c r="B1084" s="74"/>
      <c r="C1084"/>
      <c r="D1084" s="74"/>
      <c r="E1084" s="74"/>
      <c r="F1084" s="74"/>
      <c r="G1084" s="74"/>
      <c r="H1084" s="74"/>
      <c r="J1084" s="110"/>
      <c r="K1084" s="111"/>
      <c r="L1084"/>
      <c r="M1084"/>
      <c r="N1084"/>
      <c r="O1084"/>
    </row>
    <row r="1085" spans="2:15" x14ac:dyDescent="0.2">
      <c r="B1085" s="74"/>
      <c r="C1085"/>
      <c r="D1085" s="74"/>
      <c r="E1085" s="74"/>
      <c r="F1085" s="74"/>
      <c r="G1085" s="74"/>
      <c r="H1085" s="74"/>
      <c r="J1085" s="110"/>
      <c r="K1085" s="111"/>
      <c r="L1085"/>
      <c r="M1085"/>
      <c r="N1085"/>
      <c r="O1085"/>
    </row>
    <row r="1086" spans="2:15" x14ac:dyDescent="0.2">
      <c r="B1086" s="74"/>
      <c r="C1086"/>
      <c r="D1086" s="74"/>
      <c r="E1086" s="74"/>
      <c r="F1086" s="74"/>
      <c r="G1086" s="74"/>
      <c r="H1086" s="74"/>
      <c r="J1086" s="110"/>
      <c r="K1086" s="111"/>
      <c r="L1086"/>
      <c r="M1086"/>
      <c r="N1086"/>
      <c r="O1086"/>
    </row>
    <row r="1087" spans="2:15" x14ac:dyDescent="0.2">
      <c r="B1087" s="74"/>
      <c r="C1087"/>
      <c r="D1087" s="74"/>
      <c r="E1087" s="74"/>
      <c r="F1087" s="74"/>
      <c r="G1087" s="74"/>
      <c r="H1087" s="74"/>
      <c r="J1087" s="110"/>
      <c r="K1087" s="111"/>
      <c r="L1087"/>
      <c r="M1087"/>
      <c r="N1087"/>
      <c r="O1087"/>
    </row>
    <row r="1088" spans="2:15" x14ac:dyDescent="0.2">
      <c r="B1088" s="74"/>
      <c r="C1088"/>
      <c r="D1088" s="74"/>
      <c r="E1088" s="74"/>
      <c r="F1088" s="74"/>
      <c r="G1088" s="74"/>
      <c r="H1088" s="74"/>
      <c r="J1088" s="110"/>
      <c r="K1088" s="111"/>
      <c r="L1088"/>
      <c r="M1088"/>
      <c r="N1088"/>
      <c r="O1088"/>
    </row>
    <row r="1089" spans="2:15" x14ac:dyDescent="0.2">
      <c r="B1089" s="74"/>
      <c r="C1089"/>
      <c r="D1089" s="74"/>
      <c r="E1089" s="74"/>
      <c r="F1089" s="74"/>
      <c r="G1089" s="74"/>
      <c r="H1089" s="74"/>
      <c r="J1089" s="110"/>
      <c r="K1089" s="111"/>
      <c r="L1089"/>
      <c r="M1089"/>
      <c r="N1089"/>
      <c r="O1089"/>
    </row>
    <row r="1090" spans="2:15" x14ac:dyDescent="0.2">
      <c r="B1090" s="74"/>
      <c r="C1090"/>
      <c r="D1090" s="74"/>
      <c r="E1090" s="74"/>
      <c r="F1090" s="74"/>
      <c r="G1090" s="74"/>
      <c r="H1090" s="74"/>
      <c r="J1090" s="110"/>
      <c r="K1090" s="111"/>
      <c r="L1090"/>
      <c r="M1090"/>
      <c r="N1090"/>
      <c r="O1090"/>
    </row>
    <row r="1091" spans="2:15" x14ac:dyDescent="0.2">
      <c r="B1091" s="74"/>
      <c r="C1091"/>
      <c r="D1091" s="74"/>
      <c r="E1091" s="74"/>
      <c r="F1091" s="74"/>
      <c r="G1091" s="74"/>
      <c r="H1091" s="74"/>
      <c r="J1091" s="110"/>
      <c r="K1091" s="111"/>
      <c r="L1091"/>
      <c r="M1091"/>
      <c r="N1091"/>
      <c r="O1091"/>
    </row>
    <row r="1092" spans="2:15" x14ac:dyDescent="0.2">
      <c r="B1092" s="74"/>
      <c r="C1092"/>
      <c r="D1092" s="74"/>
      <c r="E1092" s="74"/>
      <c r="F1092" s="74"/>
      <c r="G1092" s="74"/>
      <c r="H1092" s="74"/>
      <c r="J1092" s="110"/>
      <c r="K1092" s="111"/>
      <c r="L1092"/>
      <c r="M1092"/>
      <c r="N1092"/>
      <c r="O1092"/>
    </row>
    <row r="1093" spans="2:15" x14ac:dyDescent="0.2">
      <c r="B1093" s="74"/>
      <c r="C1093"/>
      <c r="D1093" s="74"/>
      <c r="E1093" s="74"/>
      <c r="F1093" s="74"/>
      <c r="G1093" s="74"/>
      <c r="H1093" s="74"/>
      <c r="J1093" s="110"/>
      <c r="K1093" s="111"/>
      <c r="L1093"/>
      <c r="M1093"/>
      <c r="N1093"/>
      <c r="O1093"/>
    </row>
    <row r="1094" spans="2:15" x14ac:dyDescent="0.2">
      <c r="B1094" s="74"/>
      <c r="C1094"/>
      <c r="D1094" s="74"/>
      <c r="E1094" s="74"/>
      <c r="F1094" s="74"/>
      <c r="G1094" s="74"/>
      <c r="H1094" s="74"/>
      <c r="J1094" s="110"/>
      <c r="K1094" s="111"/>
      <c r="L1094"/>
      <c r="M1094"/>
      <c r="N1094"/>
      <c r="O1094"/>
    </row>
    <row r="1095" spans="2:15" x14ac:dyDescent="0.2">
      <c r="B1095" s="74"/>
      <c r="C1095"/>
      <c r="D1095" s="74"/>
      <c r="E1095" s="74"/>
      <c r="F1095" s="74"/>
      <c r="G1095" s="74"/>
      <c r="H1095" s="74"/>
      <c r="J1095" s="110"/>
      <c r="K1095" s="111"/>
      <c r="L1095"/>
      <c r="M1095"/>
      <c r="N1095"/>
      <c r="O1095"/>
    </row>
    <row r="1096" spans="2:15" x14ac:dyDescent="0.2">
      <c r="B1096" s="74"/>
      <c r="C1096"/>
      <c r="D1096" s="74"/>
      <c r="E1096" s="74"/>
      <c r="F1096" s="74"/>
      <c r="G1096" s="74"/>
      <c r="H1096" s="74"/>
      <c r="J1096" s="110"/>
      <c r="K1096" s="111"/>
      <c r="L1096"/>
      <c r="M1096"/>
      <c r="N1096"/>
      <c r="O1096"/>
    </row>
    <row r="1097" spans="2:15" x14ac:dyDescent="0.2">
      <c r="B1097" s="74"/>
      <c r="C1097"/>
      <c r="D1097" s="74"/>
      <c r="E1097" s="74"/>
      <c r="F1097" s="74"/>
      <c r="G1097" s="74"/>
      <c r="H1097" s="74"/>
      <c r="J1097" s="110"/>
      <c r="K1097" s="111"/>
      <c r="L1097"/>
      <c r="M1097"/>
      <c r="N1097"/>
      <c r="O1097"/>
    </row>
    <row r="1098" spans="2:15" x14ac:dyDescent="0.2">
      <c r="B1098" s="74"/>
      <c r="C1098"/>
      <c r="D1098" s="74"/>
      <c r="E1098" s="74"/>
      <c r="F1098" s="74"/>
      <c r="G1098" s="74"/>
      <c r="H1098" s="74"/>
      <c r="J1098" s="110"/>
      <c r="K1098" s="111"/>
      <c r="L1098"/>
      <c r="M1098"/>
      <c r="N1098"/>
      <c r="O1098"/>
    </row>
    <row r="1099" spans="2:15" x14ac:dyDescent="0.2">
      <c r="B1099" s="74"/>
      <c r="C1099"/>
      <c r="D1099" s="74"/>
      <c r="E1099" s="74"/>
      <c r="F1099" s="74"/>
      <c r="G1099" s="74"/>
      <c r="H1099" s="74"/>
      <c r="J1099" s="110"/>
      <c r="K1099" s="111"/>
      <c r="L1099"/>
      <c r="M1099"/>
      <c r="N1099"/>
      <c r="O1099"/>
    </row>
    <row r="1100" spans="2:15" x14ac:dyDescent="0.2">
      <c r="B1100" s="74"/>
      <c r="C1100"/>
      <c r="D1100" s="74"/>
      <c r="E1100" s="74"/>
      <c r="F1100" s="74"/>
      <c r="G1100" s="74"/>
      <c r="H1100" s="74"/>
      <c r="J1100" s="110"/>
      <c r="K1100" s="111"/>
      <c r="L1100"/>
      <c r="M1100"/>
      <c r="N1100"/>
      <c r="O1100"/>
    </row>
    <row r="1101" spans="2:15" x14ac:dyDescent="0.2">
      <c r="B1101" s="74"/>
      <c r="C1101"/>
      <c r="D1101" s="74"/>
      <c r="E1101" s="74"/>
      <c r="F1101" s="74"/>
      <c r="G1101" s="74"/>
      <c r="H1101" s="74"/>
      <c r="J1101" s="110"/>
      <c r="K1101" s="111"/>
      <c r="L1101"/>
      <c r="M1101"/>
      <c r="N1101"/>
      <c r="O1101"/>
    </row>
    <row r="1102" spans="2:15" x14ac:dyDescent="0.2">
      <c r="B1102" s="74"/>
      <c r="C1102"/>
      <c r="D1102" s="74"/>
      <c r="E1102" s="74"/>
      <c r="F1102" s="74"/>
      <c r="G1102" s="74"/>
      <c r="H1102" s="74"/>
      <c r="J1102" s="110"/>
      <c r="K1102" s="111"/>
      <c r="L1102"/>
      <c r="M1102"/>
      <c r="N1102"/>
      <c r="O1102"/>
    </row>
    <row r="1103" spans="2:15" x14ac:dyDescent="0.2">
      <c r="B1103" s="74"/>
      <c r="C1103"/>
      <c r="D1103" s="74"/>
      <c r="E1103" s="74"/>
      <c r="F1103" s="74"/>
      <c r="G1103" s="74"/>
      <c r="H1103" s="74"/>
      <c r="J1103" s="110"/>
      <c r="K1103" s="111"/>
      <c r="L1103"/>
      <c r="M1103"/>
      <c r="N1103"/>
      <c r="O1103"/>
    </row>
    <row r="1104" spans="2:15" x14ac:dyDescent="0.2">
      <c r="B1104" s="74"/>
      <c r="C1104"/>
      <c r="D1104" s="74"/>
      <c r="E1104" s="74"/>
      <c r="F1104" s="74"/>
      <c r="G1104" s="74"/>
      <c r="H1104" s="74"/>
      <c r="J1104" s="110"/>
      <c r="K1104" s="111"/>
      <c r="L1104"/>
      <c r="M1104"/>
      <c r="N1104"/>
      <c r="O1104"/>
    </row>
    <row r="1105" spans="2:15" x14ac:dyDescent="0.2">
      <c r="B1105" s="74"/>
      <c r="C1105"/>
      <c r="D1105" s="74"/>
      <c r="E1105" s="74"/>
      <c r="F1105" s="74"/>
      <c r="G1105" s="74"/>
      <c r="H1105" s="74"/>
      <c r="J1105" s="110"/>
      <c r="K1105" s="111"/>
      <c r="L1105"/>
      <c r="M1105"/>
      <c r="N1105"/>
      <c r="O1105"/>
    </row>
    <row r="1106" spans="2:15" x14ac:dyDescent="0.2">
      <c r="B1106" s="74"/>
      <c r="C1106"/>
      <c r="D1106" s="74"/>
      <c r="E1106" s="74"/>
      <c r="F1106" s="74"/>
      <c r="G1106" s="74"/>
      <c r="H1106" s="74"/>
      <c r="J1106" s="110"/>
      <c r="K1106" s="111"/>
      <c r="L1106"/>
      <c r="M1106"/>
      <c r="N1106"/>
      <c r="O1106"/>
    </row>
    <row r="1107" spans="2:15" x14ac:dyDescent="0.2">
      <c r="B1107" s="74"/>
      <c r="C1107"/>
      <c r="D1107" s="74"/>
      <c r="E1107" s="74"/>
      <c r="F1107" s="74"/>
      <c r="G1107" s="74"/>
      <c r="H1107" s="74"/>
      <c r="J1107" s="110"/>
      <c r="K1107" s="111"/>
      <c r="L1107"/>
      <c r="M1107"/>
      <c r="N1107"/>
      <c r="O1107"/>
    </row>
    <row r="1108" spans="2:15" x14ac:dyDescent="0.2">
      <c r="B1108" s="74"/>
      <c r="C1108"/>
      <c r="D1108" s="74"/>
      <c r="E1108" s="74"/>
      <c r="F1108" s="74"/>
      <c r="G1108" s="74"/>
      <c r="H1108" s="74"/>
      <c r="J1108" s="110"/>
      <c r="K1108" s="111"/>
      <c r="L1108"/>
      <c r="M1108"/>
      <c r="N1108"/>
      <c r="O1108"/>
    </row>
    <row r="1109" spans="2:15" x14ac:dyDescent="0.2">
      <c r="B1109" s="74"/>
      <c r="C1109"/>
      <c r="D1109" s="74"/>
      <c r="E1109" s="74"/>
      <c r="F1109" s="74"/>
      <c r="G1109" s="74"/>
      <c r="H1109" s="74"/>
      <c r="J1109" s="110"/>
      <c r="K1109" s="111"/>
      <c r="L1109"/>
      <c r="M1109"/>
      <c r="N1109"/>
      <c r="O1109"/>
    </row>
    <row r="1110" spans="2:15" x14ac:dyDescent="0.2">
      <c r="B1110" s="74"/>
      <c r="C1110"/>
      <c r="D1110" s="74"/>
      <c r="E1110" s="74"/>
      <c r="F1110" s="74"/>
      <c r="G1110" s="74"/>
      <c r="H1110" s="74"/>
      <c r="J1110" s="110"/>
      <c r="K1110" s="111"/>
      <c r="L1110"/>
      <c r="M1110"/>
      <c r="N1110"/>
      <c r="O1110"/>
    </row>
    <row r="1111" spans="2:15" x14ac:dyDescent="0.2">
      <c r="B1111" s="74"/>
      <c r="C1111"/>
      <c r="D1111" s="74"/>
      <c r="E1111" s="74"/>
      <c r="F1111" s="74"/>
      <c r="G1111" s="74"/>
      <c r="H1111" s="74"/>
      <c r="J1111" s="110"/>
      <c r="K1111" s="111"/>
      <c r="L1111"/>
      <c r="M1111"/>
      <c r="N1111"/>
      <c r="O1111"/>
    </row>
    <row r="1112" spans="2:15" x14ac:dyDescent="0.2">
      <c r="B1112" s="74"/>
      <c r="C1112"/>
      <c r="D1112" s="74"/>
      <c r="E1112" s="74"/>
      <c r="F1112" s="74"/>
      <c r="G1112" s="74"/>
      <c r="H1112" s="74"/>
      <c r="J1112" s="110"/>
      <c r="K1112" s="111"/>
      <c r="L1112"/>
      <c r="M1112"/>
      <c r="N1112"/>
      <c r="O1112"/>
    </row>
    <row r="1113" spans="2:15" x14ac:dyDescent="0.2">
      <c r="B1113" s="74"/>
      <c r="C1113"/>
      <c r="D1113" s="74"/>
      <c r="E1113" s="74"/>
      <c r="F1113" s="74"/>
      <c r="G1113" s="74"/>
      <c r="H1113" s="74"/>
      <c r="J1113" s="110"/>
      <c r="K1113" s="111"/>
      <c r="L1113"/>
      <c r="M1113"/>
      <c r="N1113"/>
      <c r="O1113"/>
    </row>
    <row r="1114" spans="2:15" x14ac:dyDescent="0.2">
      <c r="B1114" s="74"/>
      <c r="C1114"/>
      <c r="D1114" s="74"/>
      <c r="E1114" s="74"/>
      <c r="F1114" s="74"/>
      <c r="G1114" s="74"/>
      <c r="H1114" s="74"/>
      <c r="J1114" s="110"/>
      <c r="K1114" s="111"/>
      <c r="L1114"/>
      <c r="M1114"/>
      <c r="N1114"/>
      <c r="O1114"/>
    </row>
    <row r="1115" spans="2:15" x14ac:dyDescent="0.2">
      <c r="B1115" s="74"/>
      <c r="C1115"/>
      <c r="D1115" s="74"/>
      <c r="E1115" s="74"/>
      <c r="F1115" s="74"/>
      <c r="G1115" s="74"/>
      <c r="H1115" s="74"/>
      <c r="J1115" s="110"/>
      <c r="K1115" s="111"/>
      <c r="L1115"/>
      <c r="M1115"/>
      <c r="N1115"/>
      <c r="O1115"/>
    </row>
    <row r="1116" spans="2:15" x14ac:dyDescent="0.2">
      <c r="B1116" s="74"/>
      <c r="C1116"/>
      <c r="D1116" s="74"/>
      <c r="E1116" s="74"/>
      <c r="F1116" s="74"/>
      <c r="G1116" s="74"/>
      <c r="H1116" s="74"/>
      <c r="J1116" s="110"/>
      <c r="K1116" s="111"/>
      <c r="L1116"/>
      <c r="M1116"/>
      <c r="N1116"/>
      <c r="O1116"/>
    </row>
    <row r="1117" spans="2:15" x14ac:dyDescent="0.2">
      <c r="B1117" s="74"/>
      <c r="C1117"/>
      <c r="D1117" s="74"/>
      <c r="E1117" s="74"/>
      <c r="F1117" s="74"/>
      <c r="G1117" s="74"/>
      <c r="H1117" s="74"/>
      <c r="J1117" s="110"/>
      <c r="K1117" s="111"/>
      <c r="L1117"/>
      <c r="M1117"/>
      <c r="N1117"/>
      <c r="O1117"/>
    </row>
    <row r="1118" spans="2:15" x14ac:dyDescent="0.2">
      <c r="B1118" s="74"/>
      <c r="C1118"/>
      <c r="D1118" s="74"/>
      <c r="E1118" s="74"/>
      <c r="F1118" s="74"/>
      <c r="G1118" s="74"/>
      <c r="H1118" s="74"/>
      <c r="J1118" s="110"/>
      <c r="K1118" s="111"/>
      <c r="L1118"/>
      <c r="M1118"/>
      <c r="N1118"/>
      <c r="O1118"/>
    </row>
    <row r="1119" spans="2:15" x14ac:dyDescent="0.2">
      <c r="B1119" s="74"/>
      <c r="C1119"/>
      <c r="D1119" s="74"/>
      <c r="E1119" s="74"/>
      <c r="F1119" s="74"/>
      <c r="G1119" s="74"/>
      <c r="H1119" s="74"/>
      <c r="J1119" s="110"/>
      <c r="K1119" s="111"/>
      <c r="L1119"/>
      <c r="M1119"/>
      <c r="N1119"/>
      <c r="O1119"/>
    </row>
    <row r="1120" spans="2:15" x14ac:dyDescent="0.2">
      <c r="B1120" s="74"/>
      <c r="C1120"/>
      <c r="D1120" s="74"/>
      <c r="E1120" s="74"/>
      <c r="F1120" s="74"/>
      <c r="G1120" s="74"/>
      <c r="H1120" s="74"/>
      <c r="J1120" s="110"/>
      <c r="K1120" s="111"/>
      <c r="L1120"/>
      <c r="M1120"/>
      <c r="N1120"/>
      <c r="O1120"/>
    </row>
    <row r="1121" spans="2:15" x14ac:dyDescent="0.2">
      <c r="B1121" s="74"/>
      <c r="C1121"/>
      <c r="D1121" s="74"/>
      <c r="E1121" s="74"/>
      <c r="F1121" s="74"/>
      <c r="G1121" s="74"/>
      <c r="H1121" s="74"/>
      <c r="J1121" s="110"/>
      <c r="K1121" s="111"/>
      <c r="L1121"/>
      <c r="M1121"/>
      <c r="N1121"/>
      <c r="O1121"/>
    </row>
    <row r="1122" spans="2:15" x14ac:dyDescent="0.2">
      <c r="B1122" s="74"/>
      <c r="C1122"/>
      <c r="D1122" s="74"/>
      <c r="E1122" s="74"/>
      <c r="F1122" s="74"/>
      <c r="G1122" s="74"/>
      <c r="H1122" s="74"/>
      <c r="J1122" s="110"/>
      <c r="K1122" s="111"/>
      <c r="L1122"/>
      <c r="M1122"/>
      <c r="N1122"/>
      <c r="O1122"/>
    </row>
    <row r="1123" spans="2:15" x14ac:dyDescent="0.2">
      <c r="B1123" s="74"/>
      <c r="C1123"/>
      <c r="D1123" s="74"/>
      <c r="E1123" s="74"/>
      <c r="F1123" s="74"/>
      <c r="G1123" s="74"/>
      <c r="H1123" s="74"/>
      <c r="J1123" s="110"/>
      <c r="K1123" s="111"/>
      <c r="L1123"/>
      <c r="M1123"/>
      <c r="N1123"/>
      <c r="O1123"/>
    </row>
    <row r="1124" spans="2:15" x14ac:dyDescent="0.2">
      <c r="B1124" s="74"/>
      <c r="C1124"/>
      <c r="D1124" s="74"/>
      <c r="E1124" s="74"/>
      <c r="F1124" s="74"/>
      <c r="G1124" s="74"/>
      <c r="H1124" s="74"/>
      <c r="J1124" s="110"/>
      <c r="K1124" s="111"/>
      <c r="L1124"/>
      <c r="M1124"/>
      <c r="N1124"/>
      <c r="O1124"/>
    </row>
    <row r="1125" spans="2:15" x14ac:dyDescent="0.2">
      <c r="B1125" s="74"/>
      <c r="C1125"/>
      <c r="D1125" s="74"/>
      <c r="E1125" s="74"/>
      <c r="F1125" s="74"/>
      <c r="G1125" s="74"/>
      <c r="H1125" s="74"/>
      <c r="J1125" s="110"/>
      <c r="K1125" s="111"/>
      <c r="L1125"/>
      <c r="M1125"/>
      <c r="N1125"/>
      <c r="O1125"/>
    </row>
    <row r="1126" spans="2:15" x14ac:dyDescent="0.2">
      <c r="B1126" s="74"/>
      <c r="C1126"/>
      <c r="D1126" s="74"/>
      <c r="E1126" s="74"/>
      <c r="F1126" s="74"/>
      <c r="G1126" s="74"/>
      <c r="H1126" s="74"/>
      <c r="J1126" s="110"/>
      <c r="K1126" s="111"/>
      <c r="L1126"/>
      <c r="M1126"/>
      <c r="N1126"/>
      <c r="O1126"/>
    </row>
    <row r="1127" spans="2:15" x14ac:dyDescent="0.2">
      <c r="B1127" s="74"/>
      <c r="C1127"/>
      <c r="D1127" s="74"/>
      <c r="E1127" s="74"/>
      <c r="F1127" s="74"/>
      <c r="G1127" s="74"/>
      <c r="H1127" s="74"/>
      <c r="J1127" s="110"/>
      <c r="K1127" s="111"/>
      <c r="L1127"/>
      <c r="M1127"/>
      <c r="N1127"/>
      <c r="O1127"/>
    </row>
    <row r="1128" spans="2:15" x14ac:dyDescent="0.2">
      <c r="B1128" s="74"/>
      <c r="C1128"/>
      <c r="D1128" s="74"/>
      <c r="E1128" s="74"/>
      <c r="F1128" s="74"/>
      <c r="G1128" s="74"/>
      <c r="H1128" s="74"/>
      <c r="J1128" s="110"/>
      <c r="K1128" s="111"/>
      <c r="L1128"/>
      <c r="M1128"/>
      <c r="N1128"/>
      <c r="O1128"/>
    </row>
    <row r="1129" spans="2:15" x14ac:dyDescent="0.2">
      <c r="B1129" s="74"/>
      <c r="C1129"/>
      <c r="D1129" s="74"/>
      <c r="E1129" s="74"/>
      <c r="F1129" s="74"/>
      <c r="G1129" s="74"/>
      <c r="H1129" s="74"/>
      <c r="J1129" s="110"/>
      <c r="K1129" s="111"/>
      <c r="L1129"/>
      <c r="M1129"/>
      <c r="N1129"/>
      <c r="O1129"/>
    </row>
    <row r="1130" spans="2:15" x14ac:dyDescent="0.2">
      <c r="B1130" s="74"/>
      <c r="C1130"/>
      <c r="D1130" s="74"/>
      <c r="E1130" s="74"/>
      <c r="F1130" s="74"/>
      <c r="G1130" s="74"/>
      <c r="H1130" s="74"/>
      <c r="J1130" s="110"/>
      <c r="K1130" s="111"/>
      <c r="L1130"/>
      <c r="M1130"/>
      <c r="N1130"/>
      <c r="O1130"/>
    </row>
    <row r="1131" spans="2:15" x14ac:dyDescent="0.2">
      <c r="B1131" s="74"/>
      <c r="C1131"/>
      <c r="D1131" s="74"/>
      <c r="E1131" s="74"/>
      <c r="F1131" s="74"/>
      <c r="G1131" s="74"/>
      <c r="H1131" s="74"/>
      <c r="J1131" s="110"/>
      <c r="K1131" s="111"/>
      <c r="L1131"/>
      <c r="M1131"/>
      <c r="N1131"/>
      <c r="O1131"/>
    </row>
    <row r="1132" spans="2:15" x14ac:dyDescent="0.2">
      <c r="B1132" s="74"/>
      <c r="C1132"/>
      <c r="D1132" s="74"/>
      <c r="E1132" s="74"/>
      <c r="F1132" s="74"/>
      <c r="G1132" s="74"/>
      <c r="H1132" s="74"/>
      <c r="J1132" s="110"/>
      <c r="K1132" s="111"/>
      <c r="L1132"/>
      <c r="M1132"/>
      <c r="N1132"/>
      <c r="O1132"/>
    </row>
    <row r="1133" spans="2:15" x14ac:dyDescent="0.2">
      <c r="B1133" s="74"/>
      <c r="C1133"/>
      <c r="D1133" s="74"/>
      <c r="E1133" s="74"/>
      <c r="F1133" s="74"/>
      <c r="G1133" s="74"/>
      <c r="H1133" s="74"/>
      <c r="J1133" s="110"/>
      <c r="K1133" s="111"/>
      <c r="L1133"/>
      <c r="M1133"/>
      <c r="N1133"/>
      <c r="O1133"/>
    </row>
    <row r="1134" spans="2:15" x14ac:dyDescent="0.2">
      <c r="B1134" s="74"/>
      <c r="C1134"/>
      <c r="D1134" s="74"/>
      <c r="E1134" s="74"/>
      <c r="F1134" s="74"/>
      <c r="G1134" s="74"/>
      <c r="H1134" s="74"/>
      <c r="J1134" s="110"/>
      <c r="K1134" s="111"/>
      <c r="L1134"/>
      <c r="M1134"/>
      <c r="N1134"/>
      <c r="O1134"/>
    </row>
    <row r="1135" spans="2:15" x14ac:dyDescent="0.2">
      <c r="B1135" s="74"/>
      <c r="C1135"/>
      <c r="D1135" s="74"/>
      <c r="E1135" s="74"/>
      <c r="F1135" s="74"/>
      <c r="G1135" s="74"/>
      <c r="H1135" s="74"/>
      <c r="J1135" s="110"/>
      <c r="K1135" s="111"/>
      <c r="L1135"/>
      <c r="M1135"/>
      <c r="N1135"/>
      <c r="O1135"/>
    </row>
    <row r="1136" spans="2:15" x14ac:dyDescent="0.2">
      <c r="B1136" s="74"/>
      <c r="C1136"/>
      <c r="D1136" s="74"/>
      <c r="E1136" s="74"/>
      <c r="F1136" s="74"/>
      <c r="G1136" s="74"/>
      <c r="H1136" s="74"/>
      <c r="J1136" s="110"/>
      <c r="K1136" s="111"/>
      <c r="L1136"/>
      <c r="M1136"/>
      <c r="N1136"/>
      <c r="O1136"/>
    </row>
    <row r="1137" spans="2:15" x14ac:dyDescent="0.2">
      <c r="B1137" s="74"/>
      <c r="C1137"/>
      <c r="D1137" s="74"/>
      <c r="E1137" s="74"/>
      <c r="F1137" s="74"/>
      <c r="G1137" s="74"/>
      <c r="H1137" s="74"/>
      <c r="J1137" s="110"/>
      <c r="K1137" s="111"/>
      <c r="L1137"/>
      <c r="M1137"/>
      <c r="N1137"/>
      <c r="O1137"/>
    </row>
    <row r="1138" spans="2:15" x14ac:dyDescent="0.2">
      <c r="B1138" s="74"/>
      <c r="C1138"/>
      <c r="D1138" s="74"/>
      <c r="E1138" s="74"/>
      <c r="F1138" s="74"/>
      <c r="G1138" s="74"/>
      <c r="H1138" s="74"/>
      <c r="J1138" s="110"/>
      <c r="K1138" s="111"/>
      <c r="L1138"/>
      <c r="M1138"/>
      <c r="N1138"/>
      <c r="O1138"/>
    </row>
    <row r="1139" spans="2:15" x14ac:dyDescent="0.2">
      <c r="B1139" s="74"/>
      <c r="C1139"/>
      <c r="D1139" s="74"/>
      <c r="E1139" s="74"/>
      <c r="F1139" s="74"/>
      <c r="G1139" s="74"/>
      <c r="H1139" s="74"/>
      <c r="J1139" s="110"/>
      <c r="K1139" s="111"/>
      <c r="L1139"/>
      <c r="M1139"/>
      <c r="N1139"/>
      <c r="O1139"/>
    </row>
    <row r="1140" spans="2:15" x14ac:dyDescent="0.2">
      <c r="B1140" s="74"/>
      <c r="C1140"/>
      <c r="D1140" s="74"/>
      <c r="E1140" s="74"/>
      <c r="F1140" s="74"/>
      <c r="G1140" s="74"/>
      <c r="H1140" s="74"/>
      <c r="J1140" s="110"/>
      <c r="K1140" s="111"/>
      <c r="L1140"/>
      <c r="M1140"/>
      <c r="N1140"/>
      <c r="O1140"/>
    </row>
    <row r="1141" spans="2:15" x14ac:dyDescent="0.2">
      <c r="B1141" s="74"/>
      <c r="C1141"/>
      <c r="D1141" s="74"/>
      <c r="E1141" s="74"/>
      <c r="F1141" s="74"/>
      <c r="G1141" s="74"/>
      <c r="H1141" s="74"/>
      <c r="J1141" s="110"/>
      <c r="K1141" s="111"/>
      <c r="L1141"/>
      <c r="M1141"/>
      <c r="N1141"/>
      <c r="O1141"/>
    </row>
    <row r="1142" spans="2:15" x14ac:dyDescent="0.2">
      <c r="B1142" s="74"/>
      <c r="C1142"/>
      <c r="D1142" s="74"/>
      <c r="E1142" s="74"/>
      <c r="F1142" s="74"/>
      <c r="G1142" s="74"/>
      <c r="H1142" s="74"/>
      <c r="J1142" s="110"/>
      <c r="K1142" s="111"/>
      <c r="L1142"/>
      <c r="M1142"/>
      <c r="N1142"/>
      <c r="O1142"/>
    </row>
    <row r="1143" spans="2:15" x14ac:dyDescent="0.2">
      <c r="B1143" s="74"/>
      <c r="C1143"/>
      <c r="D1143" s="74"/>
      <c r="E1143" s="74"/>
      <c r="F1143" s="74"/>
      <c r="G1143" s="74"/>
      <c r="H1143" s="74"/>
      <c r="J1143" s="110"/>
      <c r="K1143" s="111"/>
      <c r="L1143"/>
      <c r="M1143"/>
      <c r="N1143"/>
      <c r="O1143"/>
    </row>
    <row r="1144" spans="2:15" x14ac:dyDescent="0.2">
      <c r="B1144" s="74"/>
      <c r="C1144"/>
      <c r="D1144" s="74"/>
      <c r="E1144" s="74"/>
      <c r="F1144" s="74"/>
      <c r="G1144" s="74"/>
      <c r="H1144" s="74"/>
      <c r="J1144" s="110"/>
      <c r="K1144" s="111"/>
      <c r="L1144"/>
      <c r="M1144"/>
      <c r="N1144"/>
      <c r="O1144"/>
    </row>
    <row r="1145" spans="2:15" x14ac:dyDescent="0.2">
      <c r="B1145" s="74"/>
      <c r="C1145"/>
      <c r="D1145" s="74"/>
      <c r="E1145" s="74"/>
      <c r="F1145" s="74"/>
      <c r="G1145" s="74"/>
      <c r="H1145" s="74"/>
      <c r="J1145" s="110"/>
      <c r="K1145" s="111"/>
      <c r="L1145"/>
      <c r="M1145"/>
      <c r="N1145"/>
      <c r="O1145"/>
    </row>
    <row r="1146" spans="2:15" x14ac:dyDescent="0.2">
      <c r="B1146" s="74"/>
      <c r="C1146"/>
      <c r="D1146" s="74"/>
      <c r="E1146" s="74"/>
      <c r="F1146" s="74"/>
      <c r="G1146" s="74"/>
      <c r="H1146" s="74"/>
      <c r="J1146" s="110"/>
      <c r="K1146" s="111"/>
      <c r="L1146"/>
      <c r="M1146"/>
      <c r="N1146"/>
      <c r="O1146"/>
    </row>
    <row r="1147" spans="2:15" x14ac:dyDescent="0.2">
      <c r="B1147" s="74"/>
      <c r="C1147"/>
      <c r="D1147" s="74"/>
      <c r="E1147" s="74"/>
      <c r="F1147" s="74"/>
      <c r="G1147" s="74"/>
      <c r="H1147" s="74"/>
      <c r="J1147" s="110"/>
      <c r="K1147" s="111"/>
      <c r="L1147"/>
      <c r="M1147"/>
      <c r="N1147"/>
      <c r="O1147"/>
    </row>
    <row r="1148" spans="2:15" x14ac:dyDescent="0.2">
      <c r="B1148" s="74"/>
      <c r="C1148"/>
      <c r="D1148" s="74"/>
      <c r="E1148" s="74"/>
      <c r="F1148" s="74"/>
      <c r="G1148" s="74"/>
      <c r="H1148" s="74"/>
      <c r="J1148" s="110"/>
      <c r="K1148" s="111"/>
      <c r="L1148"/>
      <c r="M1148"/>
      <c r="N1148"/>
      <c r="O1148"/>
    </row>
    <row r="1149" spans="2:15" x14ac:dyDescent="0.2">
      <c r="B1149" s="74"/>
      <c r="C1149"/>
      <c r="D1149" s="74"/>
      <c r="E1149" s="74"/>
      <c r="F1149" s="74"/>
      <c r="G1149" s="74"/>
      <c r="H1149" s="74"/>
      <c r="J1149" s="110"/>
      <c r="K1149" s="111"/>
      <c r="L1149"/>
      <c r="M1149"/>
      <c r="N1149"/>
      <c r="O1149"/>
    </row>
    <row r="1150" spans="2:15" x14ac:dyDescent="0.2">
      <c r="B1150" s="74"/>
      <c r="C1150"/>
      <c r="D1150" s="74"/>
      <c r="E1150" s="74"/>
      <c r="F1150" s="74"/>
      <c r="G1150" s="74"/>
      <c r="H1150" s="74"/>
      <c r="J1150" s="110"/>
      <c r="K1150" s="111"/>
      <c r="L1150"/>
      <c r="M1150"/>
      <c r="N1150"/>
      <c r="O1150"/>
    </row>
    <row r="1151" spans="2:15" x14ac:dyDescent="0.2">
      <c r="B1151" s="74"/>
      <c r="C1151"/>
      <c r="D1151" s="74"/>
      <c r="E1151" s="74"/>
      <c r="F1151" s="74"/>
      <c r="G1151" s="74"/>
      <c r="H1151" s="74"/>
      <c r="J1151" s="110"/>
      <c r="K1151" s="111"/>
      <c r="L1151"/>
      <c r="M1151"/>
      <c r="N1151"/>
      <c r="O1151"/>
    </row>
    <row r="1152" spans="2:15" x14ac:dyDescent="0.2">
      <c r="B1152" s="74"/>
      <c r="C1152"/>
      <c r="D1152" s="74"/>
      <c r="E1152" s="74"/>
      <c r="F1152" s="74"/>
      <c r="G1152" s="74"/>
      <c r="H1152" s="74"/>
      <c r="J1152" s="110"/>
      <c r="K1152" s="111"/>
      <c r="L1152"/>
      <c r="M1152"/>
      <c r="N1152"/>
      <c r="O1152"/>
    </row>
    <row r="1153" spans="2:15" x14ac:dyDescent="0.2">
      <c r="B1153" s="74"/>
      <c r="C1153"/>
      <c r="D1153" s="74"/>
      <c r="E1153" s="74"/>
      <c r="F1153" s="74"/>
      <c r="G1153" s="74"/>
      <c r="H1153" s="74"/>
      <c r="J1153" s="110"/>
      <c r="K1153" s="111"/>
      <c r="L1153"/>
      <c r="M1153"/>
      <c r="N1153"/>
      <c r="O1153"/>
    </row>
    <row r="1154" spans="2:15" x14ac:dyDescent="0.2">
      <c r="B1154" s="74"/>
      <c r="C1154"/>
      <c r="D1154" s="74"/>
      <c r="E1154" s="74"/>
      <c r="F1154" s="74"/>
      <c r="G1154" s="74"/>
      <c r="H1154" s="74"/>
      <c r="J1154" s="110"/>
      <c r="K1154" s="111"/>
      <c r="L1154"/>
      <c r="M1154"/>
      <c r="N1154"/>
      <c r="O1154"/>
    </row>
    <row r="1155" spans="2:15" x14ac:dyDescent="0.2">
      <c r="B1155" s="74"/>
      <c r="C1155"/>
      <c r="D1155" s="74"/>
      <c r="E1155" s="74"/>
      <c r="F1155" s="74"/>
      <c r="G1155" s="74"/>
      <c r="H1155" s="74"/>
      <c r="J1155" s="110"/>
      <c r="K1155" s="111"/>
      <c r="L1155"/>
      <c r="M1155"/>
      <c r="N1155"/>
      <c r="O1155"/>
    </row>
    <row r="1156" spans="2:15" x14ac:dyDescent="0.2">
      <c r="B1156" s="74"/>
      <c r="C1156"/>
      <c r="D1156" s="74"/>
      <c r="E1156" s="74"/>
      <c r="F1156" s="74"/>
      <c r="G1156" s="74"/>
      <c r="H1156" s="74"/>
      <c r="J1156" s="110"/>
      <c r="K1156" s="111"/>
      <c r="L1156"/>
      <c r="M1156"/>
      <c r="N1156"/>
      <c r="O1156"/>
    </row>
    <row r="1157" spans="2:15" x14ac:dyDescent="0.2">
      <c r="B1157" s="74"/>
      <c r="C1157"/>
      <c r="D1157" s="74"/>
      <c r="E1157" s="74"/>
      <c r="F1157" s="74"/>
      <c r="G1157" s="74"/>
      <c r="H1157" s="74"/>
      <c r="J1157" s="110"/>
      <c r="K1157" s="111"/>
      <c r="L1157"/>
      <c r="M1157"/>
      <c r="N1157"/>
      <c r="O1157"/>
    </row>
    <row r="1158" spans="2:15" x14ac:dyDescent="0.2">
      <c r="B1158" s="74"/>
      <c r="C1158"/>
      <c r="D1158" s="74"/>
      <c r="E1158" s="74"/>
      <c r="F1158" s="74"/>
      <c r="G1158" s="74"/>
      <c r="H1158" s="74"/>
      <c r="J1158" s="110"/>
      <c r="K1158" s="111"/>
      <c r="L1158"/>
      <c r="M1158"/>
      <c r="N1158"/>
      <c r="O1158"/>
    </row>
    <row r="1159" spans="2:15" x14ac:dyDescent="0.2">
      <c r="B1159" s="74"/>
      <c r="C1159"/>
      <c r="D1159" s="74"/>
      <c r="E1159" s="74"/>
      <c r="F1159" s="74"/>
      <c r="G1159" s="74"/>
      <c r="H1159" s="74"/>
      <c r="J1159" s="110"/>
      <c r="K1159" s="111"/>
      <c r="L1159"/>
      <c r="M1159"/>
      <c r="N1159"/>
      <c r="O1159"/>
    </row>
    <row r="1160" spans="2:15" x14ac:dyDescent="0.2">
      <c r="B1160" s="74"/>
      <c r="C1160"/>
      <c r="D1160" s="74"/>
      <c r="E1160" s="74"/>
      <c r="F1160" s="74"/>
      <c r="G1160" s="74"/>
      <c r="H1160" s="74"/>
      <c r="J1160" s="110"/>
      <c r="K1160" s="111"/>
      <c r="L1160"/>
      <c r="M1160"/>
      <c r="N1160"/>
      <c r="O1160"/>
    </row>
    <row r="1161" spans="2:15" x14ac:dyDescent="0.2">
      <c r="B1161" s="74"/>
      <c r="C1161"/>
      <c r="D1161" s="74"/>
      <c r="E1161" s="74"/>
      <c r="F1161" s="74"/>
      <c r="G1161" s="74"/>
      <c r="H1161" s="74"/>
      <c r="J1161" s="110"/>
      <c r="K1161" s="111"/>
      <c r="L1161"/>
      <c r="M1161"/>
      <c r="N1161"/>
      <c r="O1161"/>
    </row>
    <row r="1162" spans="2:15" x14ac:dyDescent="0.2">
      <c r="B1162" s="74"/>
      <c r="C1162"/>
      <c r="D1162" s="74"/>
      <c r="E1162" s="74"/>
      <c r="F1162" s="74"/>
      <c r="G1162" s="74"/>
      <c r="H1162" s="74"/>
      <c r="J1162" s="110"/>
      <c r="K1162" s="111"/>
      <c r="L1162"/>
      <c r="M1162"/>
      <c r="N1162"/>
      <c r="O1162"/>
    </row>
    <row r="1163" spans="2:15" x14ac:dyDescent="0.2">
      <c r="B1163" s="74"/>
      <c r="C1163"/>
      <c r="D1163" s="74"/>
      <c r="E1163" s="74"/>
      <c r="F1163" s="74"/>
      <c r="G1163" s="74"/>
      <c r="H1163" s="74"/>
      <c r="J1163" s="110"/>
      <c r="K1163" s="111"/>
      <c r="L1163"/>
      <c r="M1163"/>
      <c r="N1163"/>
      <c r="O1163"/>
    </row>
    <row r="1164" spans="2:15" x14ac:dyDescent="0.2">
      <c r="B1164" s="74"/>
      <c r="C1164"/>
      <c r="D1164" s="74"/>
      <c r="E1164" s="74"/>
      <c r="F1164" s="74"/>
      <c r="G1164" s="74"/>
      <c r="H1164" s="74"/>
      <c r="J1164" s="110"/>
      <c r="K1164" s="111"/>
      <c r="L1164"/>
      <c r="M1164"/>
      <c r="N1164"/>
      <c r="O1164"/>
    </row>
    <row r="1165" spans="2:15" x14ac:dyDescent="0.2">
      <c r="B1165" s="74"/>
      <c r="C1165"/>
      <c r="D1165" s="74"/>
      <c r="E1165" s="74"/>
      <c r="F1165" s="74"/>
      <c r="G1165" s="74"/>
      <c r="H1165" s="74"/>
      <c r="J1165" s="110"/>
      <c r="K1165" s="111"/>
      <c r="L1165"/>
      <c r="M1165"/>
      <c r="N1165"/>
      <c r="O1165"/>
    </row>
    <row r="1166" spans="2:15" x14ac:dyDescent="0.2">
      <c r="B1166" s="74"/>
      <c r="C1166"/>
      <c r="D1166" s="74"/>
      <c r="E1166" s="74"/>
      <c r="F1166" s="74"/>
      <c r="G1166" s="74"/>
      <c r="H1166" s="74"/>
      <c r="J1166" s="110"/>
      <c r="K1166" s="111"/>
      <c r="L1166"/>
      <c r="M1166"/>
      <c r="N1166"/>
      <c r="O1166"/>
    </row>
    <row r="1167" spans="2:15" x14ac:dyDescent="0.2">
      <c r="B1167" s="74"/>
      <c r="C1167"/>
      <c r="D1167" s="74"/>
      <c r="E1167" s="74"/>
      <c r="F1167" s="74"/>
      <c r="G1167" s="74"/>
      <c r="H1167" s="74"/>
      <c r="J1167" s="110"/>
      <c r="K1167" s="111"/>
      <c r="L1167"/>
      <c r="M1167"/>
      <c r="N1167"/>
      <c r="O1167"/>
    </row>
    <row r="1168" spans="2:15" x14ac:dyDescent="0.2">
      <c r="B1168" s="74"/>
      <c r="C1168"/>
      <c r="D1168" s="74"/>
      <c r="E1168" s="74"/>
      <c r="F1168" s="74"/>
      <c r="G1168" s="74"/>
      <c r="H1168" s="74"/>
      <c r="J1168" s="110"/>
      <c r="K1168" s="111"/>
      <c r="L1168"/>
      <c r="M1168"/>
      <c r="N1168"/>
      <c r="O1168"/>
    </row>
    <row r="1169" spans="2:15" x14ac:dyDescent="0.2">
      <c r="B1169" s="74"/>
      <c r="C1169"/>
      <c r="D1169" s="74"/>
      <c r="E1169" s="74"/>
      <c r="F1169" s="74"/>
      <c r="G1169" s="74"/>
      <c r="H1169" s="74"/>
      <c r="J1169" s="110"/>
      <c r="K1169" s="111"/>
      <c r="L1169"/>
      <c r="M1169"/>
      <c r="N1169"/>
      <c r="O1169"/>
    </row>
    <row r="1170" spans="2:15" x14ac:dyDescent="0.2">
      <c r="B1170" s="74"/>
      <c r="C1170"/>
      <c r="D1170" s="74"/>
      <c r="E1170" s="74"/>
      <c r="F1170" s="74"/>
      <c r="G1170" s="74"/>
      <c r="H1170" s="74"/>
      <c r="J1170" s="110"/>
      <c r="K1170" s="111"/>
      <c r="L1170"/>
      <c r="M1170"/>
      <c r="N1170"/>
      <c r="O1170"/>
    </row>
    <row r="1171" spans="2:15" x14ac:dyDescent="0.2">
      <c r="B1171" s="74"/>
      <c r="C1171"/>
      <c r="D1171" s="74"/>
      <c r="E1171" s="74"/>
      <c r="F1171" s="74"/>
      <c r="G1171" s="74"/>
      <c r="H1171" s="74"/>
      <c r="J1171" s="110"/>
      <c r="K1171" s="111"/>
      <c r="L1171"/>
      <c r="M1171"/>
      <c r="N1171"/>
      <c r="O1171"/>
    </row>
    <row r="1172" spans="2:15" x14ac:dyDescent="0.2">
      <c r="B1172" s="74"/>
      <c r="C1172"/>
      <c r="D1172" s="74"/>
      <c r="E1172" s="74"/>
      <c r="F1172" s="74"/>
      <c r="G1172" s="74"/>
      <c r="H1172" s="74"/>
      <c r="J1172" s="110"/>
      <c r="K1172" s="111"/>
      <c r="L1172"/>
      <c r="M1172"/>
      <c r="N1172"/>
      <c r="O1172"/>
    </row>
    <row r="1173" spans="2:15" x14ac:dyDescent="0.2">
      <c r="B1173" s="74"/>
      <c r="C1173"/>
      <c r="D1173" s="74"/>
      <c r="E1173" s="74"/>
      <c r="F1173" s="74"/>
      <c r="G1173" s="74"/>
      <c r="H1173" s="74"/>
      <c r="J1173" s="110"/>
      <c r="K1173" s="111"/>
      <c r="L1173"/>
      <c r="M1173"/>
      <c r="N1173"/>
      <c r="O1173"/>
    </row>
    <row r="1174" spans="2:15" x14ac:dyDescent="0.2">
      <c r="B1174" s="74"/>
      <c r="C1174"/>
      <c r="D1174" s="74"/>
      <c r="E1174" s="74"/>
      <c r="F1174" s="74"/>
      <c r="G1174" s="74"/>
      <c r="H1174" s="74"/>
      <c r="J1174" s="110"/>
      <c r="K1174" s="111"/>
      <c r="L1174"/>
      <c r="M1174"/>
      <c r="N1174"/>
      <c r="O1174"/>
    </row>
    <row r="1175" spans="2:15" x14ac:dyDescent="0.2">
      <c r="B1175" s="74"/>
      <c r="C1175"/>
      <c r="D1175" s="74"/>
      <c r="E1175" s="74"/>
      <c r="F1175" s="74"/>
      <c r="G1175" s="74"/>
      <c r="H1175" s="74"/>
      <c r="J1175" s="110"/>
      <c r="K1175" s="111"/>
      <c r="L1175"/>
      <c r="M1175"/>
      <c r="N1175"/>
      <c r="O1175"/>
    </row>
    <row r="1176" spans="2:15" x14ac:dyDescent="0.2">
      <c r="B1176" s="74"/>
      <c r="C1176"/>
      <c r="D1176" s="74"/>
      <c r="E1176" s="74"/>
      <c r="F1176" s="74"/>
      <c r="G1176" s="74"/>
      <c r="H1176" s="74"/>
      <c r="J1176" s="110"/>
      <c r="K1176" s="111"/>
      <c r="L1176"/>
      <c r="M1176"/>
      <c r="N1176"/>
      <c r="O1176"/>
    </row>
    <row r="1177" spans="2:15" x14ac:dyDescent="0.2">
      <c r="B1177" s="74"/>
      <c r="C1177"/>
      <c r="D1177" s="74"/>
      <c r="E1177" s="74"/>
      <c r="F1177" s="74"/>
      <c r="G1177" s="74"/>
      <c r="H1177" s="74"/>
      <c r="J1177" s="110"/>
      <c r="K1177" s="111"/>
      <c r="L1177"/>
      <c r="M1177"/>
      <c r="N1177"/>
      <c r="O1177"/>
    </row>
    <row r="1178" spans="2:15" x14ac:dyDescent="0.2">
      <c r="B1178" s="74"/>
      <c r="C1178"/>
      <c r="D1178" s="74"/>
      <c r="E1178" s="74"/>
      <c r="F1178" s="74"/>
      <c r="G1178" s="74"/>
      <c r="H1178" s="74"/>
      <c r="J1178" s="110"/>
      <c r="K1178" s="111"/>
      <c r="L1178"/>
      <c r="M1178"/>
      <c r="N1178"/>
      <c r="O1178"/>
    </row>
    <row r="1179" spans="2:15" x14ac:dyDescent="0.2">
      <c r="B1179" s="74"/>
      <c r="C1179"/>
      <c r="D1179" s="74"/>
      <c r="E1179" s="74"/>
      <c r="F1179" s="74"/>
      <c r="G1179" s="74"/>
      <c r="H1179" s="74"/>
      <c r="J1179" s="110"/>
      <c r="K1179" s="111"/>
      <c r="L1179"/>
      <c r="M1179"/>
      <c r="N1179"/>
      <c r="O1179"/>
    </row>
    <row r="1180" spans="2:15" x14ac:dyDescent="0.2">
      <c r="B1180" s="74"/>
      <c r="C1180"/>
      <c r="D1180" s="74"/>
      <c r="E1180" s="74"/>
      <c r="F1180" s="74"/>
      <c r="G1180" s="74"/>
      <c r="H1180" s="74"/>
      <c r="J1180" s="110"/>
      <c r="K1180" s="111"/>
      <c r="L1180"/>
      <c r="M1180"/>
      <c r="N1180"/>
      <c r="O1180"/>
    </row>
    <row r="1181" spans="2:15" x14ac:dyDescent="0.2">
      <c r="B1181" s="74"/>
      <c r="C1181"/>
      <c r="D1181" s="74"/>
      <c r="E1181" s="74"/>
      <c r="F1181" s="74"/>
      <c r="G1181" s="74"/>
      <c r="H1181" s="74"/>
      <c r="J1181" s="110"/>
      <c r="K1181" s="111"/>
      <c r="L1181"/>
      <c r="M1181"/>
      <c r="N1181"/>
      <c r="O1181"/>
    </row>
    <row r="1182" spans="2:15" x14ac:dyDescent="0.2">
      <c r="B1182" s="74"/>
      <c r="C1182"/>
      <c r="D1182" s="74"/>
      <c r="E1182" s="74"/>
      <c r="F1182" s="74"/>
      <c r="G1182" s="74"/>
      <c r="H1182" s="74"/>
      <c r="J1182" s="110"/>
      <c r="K1182" s="111"/>
      <c r="L1182"/>
      <c r="M1182"/>
      <c r="N1182"/>
      <c r="O1182"/>
    </row>
    <row r="1183" spans="2:15" x14ac:dyDescent="0.2">
      <c r="B1183" s="74"/>
      <c r="C1183"/>
      <c r="D1183" s="74"/>
      <c r="E1183" s="74"/>
      <c r="F1183" s="74"/>
      <c r="G1183" s="74"/>
      <c r="H1183" s="74"/>
      <c r="J1183" s="110"/>
      <c r="K1183" s="111"/>
      <c r="L1183"/>
      <c r="M1183"/>
      <c r="N1183"/>
      <c r="O1183"/>
    </row>
    <row r="1184" spans="2:15" x14ac:dyDescent="0.2">
      <c r="B1184" s="74"/>
      <c r="C1184"/>
      <c r="D1184" s="74"/>
      <c r="E1184" s="74"/>
      <c r="F1184" s="74"/>
      <c r="G1184" s="74"/>
      <c r="H1184" s="74"/>
      <c r="J1184" s="110"/>
      <c r="K1184" s="111"/>
      <c r="L1184"/>
      <c r="M1184"/>
      <c r="N1184"/>
      <c r="O1184"/>
    </row>
    <row r="1185" spans="2:15" x14ac:dyDescent="0.2">
      <c r="B1185" s="74"/>
      <c r="C1185"/>
      <c r="D1185" s="74"/>
      <c r="E1185" s="74"/>
      <c r="F1185" s="74"/>
      <c r="G1185" s="74"/>
      <c r="H1185" s="74"/>
      <c r="J1185" s="110"/>
      <c r="K1185" s="111"/>
      <c r="L1185"/>
      <c r="M1185"/>
      <c r="N1185"/>
      <c r="O1185"/>
    </row>
    <row r="1186" spans="2:15" x14ac:dyDescent="0.2">
      <c r="B1186" s="74"/>
      <c r="C1186"/>
      <c r="D1186" s="74"/>
      <c r="E1186" s="74"/>
      <c r="F1186" s="74"/>
      <c r="G1186" s="74"/>
      <c r="H1186" s="74"/>
      <c r="J1186" s="110"/>
      <c r="K1186" s="111"/>
      <c r="L1186"/>
      <c r="M1186"/>
      <c r="N1186"/>
      <c r="O1186"/>
    </row>
    <row r="1187" spans="2:15" x14ac:dyDescent="0.2">
      <c r="B1187" s="74"/>
      <c r="C1187"/>
      <c r="D1187" s="74"/>
      <c r="E1187" s="74"/>
      <c r="F1187" s="74"/>
      <c r="G1187" s="74"/>
      <c r="H1187" s="74"/>
      <c r="J1187" s="110"/>
      <c r="K1187" s="111"/>
      <c r="L1187"/>
      <c r="M1187"/>
      <c r="N1187"/>
      <c r="O1187"/>
    </row>
    <row r="1188" spans="2:15" x14ac:dyDescent="0.2">
      <c r="B1188" s="74"/>
      <c r="C1188"/>
      <c r="D1188" s="74"/>
      <c r="E1188" s="74"/>
      <c r="F1188" s="74"/>
      <c r="G1188" s="74"/>
      <c r="H1188" s="74"/>
      <c r="J1188" s="110"/>
      <c r="K1188" s="111"/>
      <c r="L1188"/>
      <c r="M1188"/>
      <c r="N1188"/>
      <c r="O1188"/>
    </row>
    <row r="1189" spans="2:15" x14ac:dyDescent="0.2">
      <c r="B1189" s="74"/>
      <c r="C1189"/>
      <c r="D1189" s="74"/>
      <c r="E1189" s="74"/>
      <c r="F1189" s="74"/>
      <c r="G1189" s="74"/>
      <c r="H1189" s="74"/>
      <c r="J1189" s="110"/>
      <c r="K1189" s="111"/>
      <c r="L1189"/>
      <c r="M1189"/>
      <c r="N1189"/>
      <c r="O1189"/>
    </row>
    <row r="1190" spans="2:15" x14ac:dyDescent="0.2">
      <c r="B1190" s="74"/>
      <c r="C1190"/>
      <c r="D1190" s="74"/>
      <c r="E1190" s="74"/>
      <c r="F1190" s="74"/>
      <c r="G1190" s="74"/>
      <c r="H1190" s="74"/>
      <c r="J1190" s="110"/>
      <c r="K1190" s="111"/>
      <c r="L1190"/>
      <c r="M1190"/>
      <c r="N1190"/>
      <c r="O1190"/>
    </row>
    <row r="1191" spans="2:15" x14ac:dyDescent="0.2">
      <c r="B1191" s="74"/>
      <c r="C1191"/>
      <c r="D1191" s="74"/>
      <c r="E1191" s="74"/>
      <c r="F1191" s="74"/>
      <c r="G1191" s="74"/>
      <c r="H1191" s="74"/>
      <c r="J1191" s="110"/>
      <c r="K1191" s="111"/>
      <c r="L1191"/>
      <c r="M1191"/>
      <c r="N1191"/>
      <c r="O1191"/>
    </row>
    <row r="1192" spans="2:15" x14ac:dyDescent="0.2">
      <c r="B1192" s="74"/>
      <c r="C1192"/>
      <c r="D1192" s="74"/>
      <c r="E1192" s="74"/>
      <c r="F1192" s="74"/>
      <c r="G1192" s="74"/>
      <c r="H1192" s="74"/>
      <c r="J1192" s="110"/>
      <c r="K1192" s="111"/>
      <c r="L1192"/>
      <c r="M1192"/>
      <c r="N1192"/>
      <c r="O1192"/>
    </row>
    <row r="1193" spans="2:15" x14ac:dyDescent="0.2">
      <c r="B1193" s="74"/>
      <c r="C1193"/>
      <c r="D1193" s="74"/>
      <c r="E1193" s="74"/>
      <c r="F1193" s="74"/>
      <c r="G1193" s="74"/>
      <c r="H1193" s="74"/>
      <c r="J1193" s="110"/>
      <c r="K1193" s="111"/>
      <c r="L1193"/>
      <c r="M1193"/>
      <c r="N1193"/>
      <c r="O1193"/>
    </row>
    <row r="1194" spans="2:15" x14ac:dyDescent="0.2">
      <c r="B1194" s="74"/>
      <c r="C1194"/>
      <c r="D1194" s="74"/>
      <c r="E1194" s="74"/>
      <c r="F1194" s="74"/>
      <c r="G1194" s="74"/>
      <c r="H1194" s="74"/>
      <c r="J1194" s="110"/>
      <c r="K1194" s="111"/>
      <c r="L1194"/>
      <c r="M1194"/>
      <c r="N1194"/>
      <c r="O1194"/>
    </row>
    <row r="1195" spans="2:15" x14ac:dyDescent="0.2">
      <c r="B1195" s="74"/>
      <c r="C1195"/>
      <c r="D1195" s="74"/>
      <c r="E1195" s="74"/>
      <c r="F1195" s="74"/>
      <c r="G1195" s="74"/>
      <c r="H1195" s="74"/>
      <c r="J1195" s="110"/>
      <c r="K1195" s="111"/>
      <c r="L1195"/>
      <c r="M1195"/>
      <c r="N1195"/>
      <c r="O1195"/>
    </row>
    <row r="1196" spans="2:15" x14ac:dyDescent="0.2">
      <c r="B1196" s="74"/>
      <c r="C1196"/>
      <c r="D1196" s="74"/>
      <c r="E1196" s="74"/>
      <c r="F1196" s="74"/>
      <c r="G1196" s="74"/>
      <c r="H1196" s="74"/>
      <c r="J1196" s="110"/>
      <c r="K1196" s="111"/>
      <c r="L1196"/>
      <c r="M1196"/>
      <c r="N1196"/>
      <c r="O1196"/>
    </row>
    <row r="1197" spans="2:15" x14ac:dyDescent="0.2">
      <c r="B1197" s="74"/>
      <c r="C1197"/>
      <c r="D1197" s="74"/>
      <c r="E1197" s="74"/>
      <c r="F1197" s="74"/>
      <c r="G1197" s="74"/>
      <c r="H1197" s="74"/>
      <c r="J1197" s="110"/>
      <c r="K1197" s="111"/>
      <c r="L1197"/>
      <c r="M1197"/>
      <c r="N1197"/>
      <c r="O1197"/>
    </row>
    <row r="1198" spans="2:15" x14ac:dyDescent="0.2">
      <c r="B1198" s="74"/>
      <c r="C1198"/>
      <c r="D1198" s="74"/>
      <c r="E1198" s="74"/>
      <c r="F1198" s="74"/>
      <c r="G1198" s="74"/>
      <c r="H1198" s="74"/>
      <c r="J1198" s="110"/>
      <c r="K1198" s="111"/>
      <c r="L1198"/>
      <c r="M1198"/>
      <c r="N1198"/>
      <c r="O1198"/>
    </row>
    <row r="1199" spans="2:15" x14ac:dyDescent="0.2">
      <c r="B1199" s="74"/>
      <c r="C1199"/>
      <c r="D1199" s="74"/>
      <c r="E1199" s="74"/>
      <c r="F1199" s="74"/>
      <c r="G1199" s="74"/>
      <c r="H1199" s="74"/>
      <c r="J1199" s="110"/>
      <c r="K1199" s="111"/>
      <c r="L1199"/>
      <c r="M1199"/>
      <c r="N1199"/>
      <c r="O1199"/>
    </row>
    <row r="1200" spans="2:15" x14ac:dyDescent="0.2">
      <c r="B1200" s="74"/>
      <c r="C1200"/>
      <c r="D1200" s="74"/>
      <c r="E1200" s="74"/>
      <c r="F1200" s="74"/>
      <c r="G1200" s="74"/>
      <c r="H1200" s="74"/>
      <c r="J1200" s="110"/>
      <c r="K1200" s="111"/>
      <c r="L1200"/>
      <c r="M1200"/>
      <c r="N1200"/>
      <c r="O1200"/>
    </row>
    <row r="1201" spans="2:15" x14ac:dyDescent="0.2">
      <c r="B1201" s="74"/>
      <c r="C1201"/>
      <c r="D1201" s="74"/>
      <c r="E1201" s="74"/>
      <c r="F1201" s="74"/>
      <c r="G1201" s="74"/>
      <c r="H1201" s="74"/>
      <c r="J1201" s="110"/>
      <c r="K1201" s="111"/>
      <c r="L1201"/>
      <c r="M1201"/>
      <c r="N1201"/>
      <c r="O1201"/>
    </row>
    <row r="1202" spans="2:15" x14ac:dyDescent="0.2">
      <c r="B1202" s="74"/>
      <c r="C1202"/>
      <c r="D1202" s="74"/>
      <c r="E1202" s="74"/>
      <c r="F1202" s="74"/>
      <c r="G1202" s="74"/>
      <c r="H1202" s="74"/>
      <c r="J1202" s="110"/>
      <c r="K1202" s="111"/>
      <c r="L1202"/>
      <c r="M1202"/>
      <c r="N1202"/>
      <c r="O1202"/>
    </row>
    <row r="1203" spans="2:15" x14ac:dyDescent="0.2">
      <c r="B1203" s="74"/>
      <c r="C1203"/>
      <c r="D1203" s="74"/>
      <c r="E1203" s="74"/>
      <c r="F1203" s="74"/>
      <c r="G1203" s="74"/>
      <c r="H1203" s="74"/>
      <c r="J1203" s="110"/>
      <c r="K1203" s="111"/>
      <c r="L1203"/>
      <c r="M1203"/>
      <c r="N1203"/>
      <c r="O1203"/>
    </row>
    <row r="1204" spans="2:15" x14ac:dyDescent="0.2">
      <c r="B1204" s="74"/>
      <c r="C1204"/>
      <c r="D1204" s="74"/>
      <c r="E1204" s="74"/>
      <c r="F1204" s="74"/>
      <c r="G1204" s="74"/>
      <c r="H1204" s="74"/>
      <c r="J1204" s="110"/>
      <c r="K1204" s="111"/>
      <c r="L1204"/>
      <c r="M1204"/>
      <c r="N1204"/>
      <c r="O1204"/>
    </row>
    <row r="1205" spans="2:15" x14ac:dyDescent="0.2">
      <c r="B1205" s="74"/>
      <c r="C1205"/>
      <c r="D1205" s="74"/>
      <c r="E1205" s="74"/>
      <c r="F1205" s="74"/>
      <c r="G1205" s="74"/>
      <c r="H1205" s="74"/>
      <c r="J1205" s="110"/>
      <c r="K1205" s="111"/>
      <c r="L1205"/>
      <c r="M1205"/>
      <c r="N1205"/>
      <c r="O1205"/>
    </row>
    <row r="1206" spans="2:15" x14ac:dyDescent="0.2">
      <c r="B1206" s="74"/>
      <c r="C1206"/>
      <c r="D1206" s="74"/>
      <c r="E1206" s="74"/>
      <c r="F1206" s="74"/>
      <c r="G1206" s="74"/>
      <c r="H1206" s="74"/>
      <c r="J1206" s="110"/>
      <c r="K1206" s="111"/>
      <c r="L1206"/>
      <c r="M1206"/>
      <c r="N1206"/>
      <c r="O1206"/>
    </row>
    <row r="1207" spans="2:15" x14ac:dyDescent="0.2">
      <c r="B1207" s="74"/>
      <c r="C1207"/>
      <c r="D1207" s="74"/>
      <c r="E1207" s="74"/>
      <c r="F1207" s="74"/>
      <c r="G1207" s="74"/>
      <c r="H1207" s="74"/>
      <c r="J1207" s="110"/>
      <c r="K1207" s="111"/>
      <c r="L1207"/>
      <c r="M1207"/>
      <c r="N1207"/>
      <c r="O1207"/>
    </row>
    <row r="1208" spans="2:15" x14ac:dyDescent="0.2">
      <c r="B1208" s="74"/>
      <c r="C1208"/>
      <c r="D1208" s="74"/>
      <c r="E1208" s="74"/>
      <c r="F1208" s="74"/>
      <c r="G1208" s="74"/>
      <c r="H1208" s="74"/>
      <c r="J1208" s="110"/>
      <c r="K1208" s="111"/>
      <c r="L1208"/>
      <c r="M1208"/>
      <c r="N1208"/>
      <c r="O1208"/>
    </row>
    <row r="1209" spans="2:15" x14ac:dyDescent="0.2">
      <c r="B1209" s="74"/>
      <c r="C1209"/>
      <c r="D1209" s="74"/>
      <c r="E1209" s="74"/>
      <c r="F1209" s="74"/>
      <c r="G1209" s="74"/>
      <c r="H1209" s="74"/>
      <c r="J1209" s="110"/>
      <c r="K1209" s="111"/>
      <c r="L1209"/>
      <c r="M1209"/>
      <c r="N1209"/>
      <c r="O1209"/>
    </row>
    <row r="1210" spans="2:15" x14ac:dyDescent="0.2">
      <c r="B1210" s="74"/>
      <c r="C1210"/>
      <c r="D1210" s="74"/>
      <c r="E1210" s="74"/>
      <c r="F1210" s="74"/>
      <c r="G1210" s="74"/>
      <c r="H1210" s="74"/>
      <c r="J1210" s="110"/>
      <c r="K1210" s="111"/>
      <c r="L1210"/>
      <c r="M1210"/>
      <c r="N1210"/>
      <c r="O1210"/>
    </row>
    <row r="1211" spans="2:15" x14ac:dyDescent="0.2">
      <c r="B1211" s="74"/>
      <c r="C1211"/>
      <c r="D1211" s="74"/>
      <c r="E1211" s="74"/>
      <c r="F1211" s="74"/>
      <c r="G1211" s="74"/>
      <c r="H1211" s="74"/>
      <c r="J1211" s="110"/>
      <c r="K1211" s="111"/>
      <c r="L1211"/>
      <c r="M1211"/>
      <c r="N1211"/>
      <c r="O1211"/>
    </row>
    <row r="1212" spans="2:15" x14ac:dyDescent="0.2">
      <c r="B1212" s="74"/>
      <c r="C1212"/>
      <c r="D1212" s="74"/>
      <c r="E1212" s="74"/>
      <c r="F1212" s="74"/>
      <c r="G1212" s="74"/>
      <c r="H1212" s="74"/>
      <c r="J1212" s="110"/>
      <c r="K1212" s="111"/>
      <c r="L1212"/>
      <c r="M1212"/>
      <c r="N1212"/>
      <c r="O1212"/>
    </row>
    <row r="1213" spans="2:15" x14ac:dyDescent="0.2">
      <c r="B1213" s="74"/>
      <c r="C1213"/>
      <c r="D1213" s="74"/>
      <c r="E1213" s="74"/>
      <c r="F1213" s="74"/>
      <c r="G1213" s="74"/>
      <c r="H1213" s="74"/>
      <c r="J1213" s="110"/>
      <c r="K1213" s="111"/>
      <c r="L1213"/>
      <c r="M1213"/>
      <c r="N1213"/>
      <c r="O1213"/>
    </row>
    <row r="1214" spans="2:15" x14ac:dyDescent="0.2">
      <c r="B1214" s="74"/>
      <c r="C1214"/>
      <c r="D1214" s="74"/>
      <c r="E1214" s="74"/>
      <c r="F1214" s="74"/>
      <c r="G1214" s="74"/>
      <c r="H1214" s="74"/>
      <c r="J1214" s="110"/>
      <c r="K1214" s="111"/>
      <c r="L1214"/>
      <c r="M1214"/>
      <c r="N1214"/>
      <c r="O1214"/>
    </row>
    <row r="1215" spans="2:15" x14ac:dyDescent="0.2">
      <c r="B1215" s="74"/>
      <c r="C1215"/>
      <c r="D1215" s="74"/>
      <c r="E1215" s="74"/>
      <c r="F1215" s="74"/>
      <c r="G1215" s="74"/>
      <c r="H1215" s="74"/>
      <c r="J1215" s="110"/>
      <c r="K1215" s="111"/>
      <c r="L1215"/>
      <c r="M1215"/>
      <c r="N1215"/>
      <c r="O1215"/>
    </row>
    <row r="1216" spans="2:15" x14ac:dyDescent="0.2">
      <c r="B1216" s="74"/>
      <c r="C1216"/>
      <c r="D1216" s="74"/>
      <c r="E1216" s="74"/>
      <c r="F1216" s="74"/>
      <c r="G1216" s="74"/>
      <c r="H1216" s="74"/>
      <c r="J1216" s="110"/>
      <c r="K1216" s="111"/>
      <c r="L1216"/>
      <c r="M1216"/>
      <c r="N1216"/>
      <c r="O1216"/>
    </row>
    <row r="1217" spans="2:15" x14ac:dyDescent="0.2">
      <c r="B1217" s="74"/>
      <c r="C1217"/>
      <c r="D1217" s="74"/>
      <c r="E1217" s="74"/>
      <c r="F1217" s="74"/>
      <c r="G1217" s="74"/>
      <c r="H1217" s="74"/>
      <c r="J1217" s="110"/>
      <c r="K1217" s="111"/>
      <c r="L1217"/>
      <c r="M1217"/>
      <c r="N1217"/>
      <c r="O1217"/>
    </row>
    <row r="1218" spans="2:15" x14ac:dyDescent="0.2">
      <c r="B1218" s="74"/>
      <c r="C1218"/>
      <c r="D1218" s="74"/>
      <c r="E1218" s="74"/>
      <c r="F1218" s="74"/>
      <c r="G1218" s="74"/>
      <c r="H1218" s="74"/>
      <c r="J1218" s="110"/>
      <c r="K1218" s="111"/>
      <c r="L1218"/>
      <c r="M1218"/>
      <c r="N1218"/>
      <c r="O1218"/>
    </row>
    <row r="1219" spans="2:15" x14ac:dyDescent="0.2">
      <c r="B1219" s="74"/>
      <c r="C1219"/>
      <c r="D1219" s="74"/>
      <c r="E1219" s="74"/>
      <c r="F1219" s="74"/>
      <c r="G1219" s="74"/>
      <c r="H1219" s="74"/>
      <c r="J1219" s="110"/>
      <c r="K1219" s="111"/>
      <c r="L1219"/>
      <c r="M1219"/>
      <c r="N1219"/>
      <c r="O1219"/>
    </row>
    <row r="1220" spans="2:15" x14ac:dyDescent="0.2">
      <c r="B1220" s="74"/>
      <c r="C1220"/>
      <c r="D1220" s="74"/>
      <c r="E1220" s="74"/>
      <c r="F1220" s="74"/>
      <c r="G1220" s="74"/>
      <c r="H1220" s="74"/>
      <c r="J1220" s="110"/>
      <c r="K1220" s="111"/>
      <c r="L1220"/>
      <c r="M1220"/>
      <c r="N1220"/>
      <c r="O1220"/>
    </row>
    <row r="1221" spans="2:15" x14ac:dyDescent="0.2">
      <c r="B1221" s="74"/>
      <c r="C1221"/>
      <c r="D1221" s="74"/>
      <c r="E1221" s="74"/>
      <c r="F1221" s="74"/>
      <c r="G1221" s="74"/>
      <c r="H1221" s="74"/>
      <c r="J1221" s="110"/>
      <c r="K1221" s="111"/>
      <c r="L1221"/>
      <c r="M1221"/>
      <c r="N1221"/>
      <c r="O1221"/>
    </row>
    <row r="1222" spans="2:15" x14ac:dyDescent="0.2">
      <c r="B1222" s="74"/>
      <c r="C1222"/>
      <c r="D1222" s="74"/>
      <c r="E1222" s="74"/>
      <c r="F1222" s="74"/>
      <c r="G1222" s="74"/>
      <c r="H1222" s="74"/>
      <c r="J1222" s="110"/>
      <c r="K1222" s="111"/>
      <c r="L1222"/>
      <c r="M1222"/>
      <c r="N1222"/>
      <c r="O1222"/>
    </row>
    <row r="1223" spans="2:15" x14ac:dyDescent="0.2">
      <c r="B1223" s="74"/>
      <c r="C1223"/>
      <c r="D1223" s="74"/>
      <c r="E1223" s="74"/>
      <c r="F1223" s="74"/>
      <c r="G1223" s="74"/>
      <c r="H1223" s="74"/>
      <c r="J1223" s="110"/>
      <c r="K1223" s="111"/>
      <c r="L1223"/>
      <c r="M1223"/>
      <c r="N1223"/>
      <c r="O1223"/>
    </row>
    <row r="1224" spans="2:15" x14ac:dyDescent="0.2">
      <c r="B1224" s="74"/>
      <c r="C1224"/>
      <c r="D1224" s="74"/>
      <c r="E1224" s="74"/>
      <c r="F1224" s="74"/>
      <c r="G1224" s="74"/>
      <c r="H1224" s="74"/>
      <c r="J1224" s="110"/>
      <c r="K1224" s="111"/>
      <c r="L1224"/>
      <c r="M1224"/>
      <c r="N1224"/>
      <c r="O1224"/>
    </row>
    <row r="1225" spans="2:15" x14ac:dyDescent="0.2">
      <c r="B1225" s="74"/>
      <c r="C1225"/>
      <c r="D1225" s="74"/>
      <c r="E1225" s="74"/>
      <c r="F1225" s="74"/>
      <c r="G1225" s="74"/>
      <c r="H1225" s="74"/>
      <c r="J1225" s="110"/>
      <c r="K1225" s="111"/>
      <c r="L1225"/>
      <c r="M1225"/>
      <c r="N1225"/>
      <c r="O1225"/>
    </row>
    <row r="1226" spans="2:15" x14ac:dyDescent="0.2">
      <c r="B1226" s="74"/>
      <c r="C1226"/>
      <c r="D1226" s="74"/>
      <c r="E1226" s="74"/>
      <c r="F1226" s="74"/>
      <c r="G1226" s="74"/>
      <c r="H1226" s="74"/>
      <c r="J1226" s="110"/>
      <c r="K1226" s="111"/>
      <c r="L1226"/>
      <c r="M1226"/>
      <c r="N1226"/>
      <c r="O1226"/>
    </row>
    <row r="1227" spans="2:15" x14ac:dyDescent="0.2">
      <c r="B1227" s="74"/>
      <c r="C1227"/>
      <c r="D1227" s="74"/>
      <c r="E1227" s="74"/>
      <c r="F1227" s="74"/>
      <c r="G1227" s="74"/>
      <c r="H1227" s="74"/>
      <c r="J1227" s="110"/>
      <c r="K1227" s="111"/>
      <c r="L1227"/>
      <c r="M1227"/>
      <c r="N1227"/>
      <c r="O1227"/>
    </row>
    <row r="1228" spans="2:15" x14ac:dyDescent="0.2">
      <c r="B1228" s="74"/>
      <c r="C1228"/>
      <c r="D1228" s="74"/>
      <c r="E1228" s="74"/>
      <c r="F1228" s="74"/>
      <c r="G1228" s="74"/>
      <c r="H1228" s="74"/>
      <c r="J1228" s="110"/>
      <c r="K1228" s="111"/>
      <c r="L1228"/>
      <c r="M1228"/>
      <c r="N1228"/>
      <c r="O1228"/>
    </row>
    <row r="1229" spans="2:15" x14ac:dyDescent="0.2">
      <c r="B1229" s="74"/>
      <c r="C1229"/>
      <c r="D1229" s="74"/>
      <c r="E1229" s="74"/>
      <c r="F1229" s="74"/>
      <c r="G1229" s="74"/>
      <c r="H1229" s="74"/>
      <c r="J1229" s="110"/>
      <c r="K1229" s="111"/>
      <c r="L1229"/>
      <c r="M1229"/>
      <c r="N1229"/>
      <c r="O1229"/>
    </row>
    <row r="1230" spans="2:15" x14ac:dyDescent="0.2">
      <c r="B1230" s="74"/>
      <c r="C1230"/>
      <c r="D1230" s="74"/>
      <c r="E1230" s="74"/>
      <c r="F1230" s="74"/>
      <c r="G1230" s="74"/>
      <c r="H1230" s="74"/>
      <c r="J1230" s="110"/>
      <c r="K1230" s="111"/>
      <c r="L1230"/>
      <c r="M1230"/>
      <c r="N1230"/>
      <c r="O1230"/>
    </row>
    <row r="1231" spans="2:15" x14ac:dyDescent="0.2">
      <c r="B1231" s="74"/>
      <c r="C1231"/>
      <c r="D1231" s="74"/>
      <c r="E1231" s="74"/>
      <c r="F1231" s="74"/>
      <c r="G1231" s="74"/>
      <c r="H1231" s="74"/>
      <c r="J1231" s="110"/>
      <c r="K1231" s="111"/>
      <c r="L1231"/>
      <c r="M1231"/>
      <c r="N1231"/>
      <c r="O1231"/>
    </row>
    <row r="1232" spans="2:15" x14ac:dyDescent="0.2">
      <c r="B1232" s="74"/>
      <c r="C1232"/>
      <c r="D1232" s="74"/>
      <c r="E1232" s="74"/>
      <c r="F1232" s="74"/>
      <c r="G1232" s="74"/>
      <c r="H1232" s="74"/>
      <c r="J1232" s="110"/>
      <c r="K1232" s="111"/>
      <c r="L1232"/>
      <c r="M1232"/>
      <c r="N1232"/>
      <c r="O1232"/>
    </row>
    <row r="1233" spans="2:15" x14ac:dyDescent="0.2">
      <c r="B1233" s="74"/>
      <c r="C1233"/>
      <c r="D1233" s="74"/>
      <c r="E1233" s="74"/>
      <c r="F1233" s="74"/>
      <c r="G1233" s="74"/>
      <c r="H1233" s="74"/>
      <c r="J1233" s="110"/>
      <c r="K1233" s="111"/>
      <c r="L1233"/>
      <c r="M1233"/>
      <c r="N1233"/>
      <c r="O1233"/>
    </row>
    <row r="1234" spans="2:15" x14ac:dyDescent="0.2">
      <c r="B1234" s="74"/>
      <c r="C1234"/>
      <c r="D1234" s="74"/>
      <c r="E1234" s="74"/>
      <c r="F1234" s="74"/>
      <c r="G1234" s="74"/>
      <c r="H1234" s="74"/>
      <c r="J1234" s="110"/>
      <c r="K1234" s="111"/>
      <c r="L1234"/>
      <c r="M1234"/>
      <c r="N1234"/>
      <c r="O1234"/>
    </row>
    <row r="1235" spans="2:15" x14ac:dyDescent="0.2">
      <c r="B1235" s="74"/>
      <c r="C1235"/>
      <c r="D1235" s="74"/>
      <c r="E1235" s="74"/>
      <c r="F1235" s="74"/>
      <c r="G1235" s="74"/>
      <c r="H1235" s="74"/>
      <c r="J1235" s="110"/>
      <c r="K1235" s="111"/>
      <c r="L1235"/>
      <c r="M1235"/>
      <c r="N1235"/>
      <c r="O1235"/>
    </row>
    <row r="1236" spans="2:15" x14ac:dyDescent="0.2">
      <c r="B1236" s="74"/>
      <c r="C1236"/>
      <c r="D1236" s="74"/>
      <c r="E1236" s="74"/>
      <c r="F1236" s="74"/>
      <c r="G1236" s="74"/>
      <c r="H1236" s="74"/>
      <c r="J1236" s="110"/>
      <c r="K1236" s="111"/>
      <c r="L1236"/>
      <c r="M1236"/>
      <c r="N1236"/>
      <c r="O1236"/>
    </row>
    <row r="1237" spans="2:15" x14ac:dyDescent="0.2">
      <c r="B1237" s="74"/>
      <c r="C1237"/>
      <c r="D1237" s="74"/>
      <c r="E1237" s="74"/>
      <c r="F1237" s="74"/>
      <c r="G1237" s="74"/>
      <c r="H1237" s="74"/>
      <c r="J1237" s="110"/>
      <c r="K1237" s="111"/>
      <c r="L1237"/>
      <c r="M1237"/>
      <c r="N1237"/>
      <c r="O1237"/>
    </row>
    <row r="1238" spans="2:15" x14ac:dyDescent="0.2">
      <c r="B1238" s="74"/>
      <c r="C1238"/>
      <c r="D1238" s="74"/>
      <c r="E1238" s="74"/>
      <c r="F1238" s="74"/>
      <c r="G1238" s="74"/>
      <c r="H1238" s="74"/>
      <c r="J1238" s="110"/>
      <c r="K1238" s="111"/>
      <c r="L1238"/>
      <c r="M1238"/>
      <c r="N1238"/>
      <c r="O1238"/>
    </row>
    <row r="1239" spans="2:15" x14ac:dyDescent="0.2">
      <c r="B1239" s="74"/>
      <c r="C1239"/>
      <c r="D1239" s="74"/>
      <c r="E1239" s="74"/>
      <c r="F1239" s="74"/>
      <c r="G1239" s="74"/>
      <c r="H1239" s="74"/>
      <c r="J1239" s="110"/>
      <c r="K1239" s="111"/>
      <c r="L1239"/>
      <c r="M1239"/>
      <c r="N1239"/>
      <c r="O1239"/>
    </row>
    <row r="1240" spans="2:15" x14ac:dyDescent="0.2">
      <c r="B1240" s="74"/>
      <c r="C1240"/>
      <c r="D1240" s="74"/>
      <c r="E1240" s="74"/>
      <c r="F1240" s="74"/>
      <c r="G1240" s="74"/>
      <c r="H1240" s="74"/>
      <c r="J1240" s="110"/>
      <c r="K1240" s="111"/>
      <c r="L1240"/>
      <c r="M1240"/>
      <c r="N1240"/>
      <c r="O1240"/>
    </row>
    <row r="1241" spans="2:15" x14ac:dyDescent="0.2">
      <c r="B1241" s="74"/>
      <c r="C1241"/>
      <c r="D1241" s="74"/>
      <c r="E1241" s="74"/>
      <c r="F1241" s="74"/>
      <c r="G1241" s="74"/>
      <c r="H1241" s="74"/>
      <c r="J1241" s="110"/>
      <c r="K1241" s="111"/>
      <c r="L1241"/>
      <c r="M1241"/>
      <c r="N1241"/>
      <c r="O1241"/>
    </row>
    <row r="1242" spans="2:15" x14ac:dyDescent="0.2">
      <c r="B1242" s="74"/>
      <c r="C1242"/>
      <c r="D1242" s="74"/>
      <c r="E1242" s="74"/>
      <c r="F1242" s="74"/>
      <c r="G1242" s="74"/>
      <c r="H1242" s="74"/>
      <c r="J1242" s="110"/>
      <c r="K1242" s="111"/>
      <c r="L1242"/>
      <c r="M1242"/>
      <c r="N1242"/>
      <c r="O1242"/>
    </row>
    <row r="1243" spans="2:15" x14ac:dyDescent="0.2">
      <c r="B1243" s="74"/>
      <c r="C1243"/>
      <c r="D1243" s="74"/>
      <c r="E1243" s="74"/>
      <c r="F1243" s="74"/>
      <c r="G1243" s="74"/>
      <c r="H1243" s="74"/>
      <c r="J1243" s="110"/>
      <c r="K1243" s="111"/>
      <c r="L1243"/>
      <c r="M1243"/>
      <c r="N1243"/>
      <c r="O1243"/>
    </row>
    <row r="1244" spans="2:15" x14ac:dyDescent="0.2">
      <c r="B1244" s="74"/>
      <c r="C1244"/>
      <c r="D1244" s="74"/>
      <c r="E1244" s="74"/>
      <c r="F1244" s="74"/>
      <c r="G1244" s="74"/>
      <c r="H1244" s="74"/>
      <c r="J1244" s="110"/>
      <c r="K1244" s="111"/>
      <c r="L1244"/>
      <c r="M1244"/>
      <c r="N1244"/>
      <c r="O1244"/>
    </row>
    <row r="1245" spans="2:15" x14ac:dyDescent="0.2">
      <c r="B1245" s="74"/>
      <c r="C1245"/>
      <c r="D1245" s="74"/>
      <c r="E1245" s="74"/>
      <c r="F1245" s="74"/>
      <c r="G1245" s="74"/>
      <c r="H1245" s="74"/>
      <c r="J1245" s="110"/>
      <c r="K1245" s="111"/>
      <c r="L1245"/>
      <c r="M1245"/>
      <c r="N1245"/>
      <c r="O1245"/>
    </row>
    <row r="1246" spans="2:15" x14ac:dyDescent="0.2">
      <c r="B1246" s="74"/>
      <c r="C1246"/>
      <c r="D1246" s="74"/>
      <c r="E1246" s="74"/>
      <c r="F1246" s="74"/>
      <c r="G1246" s="74"/>
      <c r="H1246" s="74"/>
      <c r="J1246" s="110"/>
      <c r="K1246" s="111"/>
      <c r="L1246"/>
      <c r="M1246"/>
      <c r="N1246"/>
      <c r="O1246"/>
    </row>
    <row r="1247" spans="2:15" x14ac:dyDescent="0.2">
      <c r="B1247" s="74"/>
      <c r="C1247"/>
      <c r="D1247" s="74"/>
      <c r="E1247" s="74"/>
      <c r="F1247" s="74"/>
      <c r="G1247" s="74"/>
      <c r="H1247" s="74"/>
      <c r="J1247" s="110"/>
      <c r="K1247" s="111"/>
      <c r="L1247"/>
      <c r="M1247"/>
      <c r="N1247"/>
      <c r="O1247"/>
    </row>
    <row r="1248" spans="2:15" x14ac:dyDescent="0.2">
      <c r="B1248" s="74"/>
      <c r="C1248"/>
      <c r="D1248" s="74"/>
      <c r="E1248" s="74"/>
      <c r="F1248" s="74"/>
      <c r="G1248" s="74"/>
      <c r="H1248" s="74"/>
      <c r="J1248" s="110"/>
      <c r="K1248" s="111"/>
      <c r="L1248"/>
      <c r="M1248"/>
      <c r="N1248"/>
      <c r="O1248"/>
    </row>
    <row r="1249" spans="2:15" x14ac:dyDescent="0.2">
      <c r="B1249" s="74"/>
      <c r="C1249"/>
      <c r="D1249" s="74"/>
      <c r="E1249" s="74"/>
      <c r="F1249" s="74"/>
      <c r="G1249" s="74"/>
      <c r="H1249" s="74"/>
      <c r="J1249" s="110"/>
      <c r="K1249" s="111"/>
      <c r="L1249"/>
      <c r="M1249"/>
      <c r="N1249"/>
      <c r="O1249"/>
    </row>
    <row r="1250" spans="2:15" x14ac:dyDescent="0.2">
      <c r="B1250" s="74"/>
      <c r="C1250"/>
      <c r="D1250" s="74"/>
      <c r="E1250" s="74"/>
      <c r="F1250" s="74"/>
      <c r="G1250" s="74"/>
      <c r="H1250" s="74"/>
      <c r="J1250" s="110"/>
      <c r="K1250" s="111"/>
      <c r="L1250"/>
      <c r="M1250"/>
      <c r="N1250"/>
      <c r="O1250"/>
    </row>
    <row r="1251" spans="2:15" x14ac:dyDescent="0.2">
      <c r="B1251" s="74"/>
      <c r="C1251"/>
      <c r="D1251" s="74"/>
      <c r="E1251" s="74"/>
      <c r="F1251" s="74"/>
      <c r="G1251" s="74"/>
      <c r="H1251" s="74"/>
      <c r="J1251" s="110"/>
      <c r="K1251" s="111"/>
      <c r="L1251"/>
      <c r="M1251"/>
      <c r="N1251"/>
      <c r="O1251"/>
    </row>
    <row r="1252" spans="2:15" x14ac:dyDescent="0.2">
      <c r="B1252" s="74"/>
      <c r="C1252"/>
      <c r="D1252" s="74"/>
      <c r="E1252" s="74"/>
      <c r="F1252" s="74"/>
      <c r="G1252" s="74"/>
      <c r="H1252" s="74"/>
      <c r="J1252" s="110"/>
      <c r="K1252" s="111"/>
      <c r="L1252"/>
      <c r="M1252"/>
      <c r="N1252"/>
      <c r="O1252"/>
    </row>
    <row r="1253" spans="2:15" x14ac:dyDescent="0.2">
      <c r="B1253" s="74"/>
      <c r="C1253"/>
      <c r="D1253" s="74"/>
      <c r="E1253" s="74"/>
      <c r="F1253" s="74"/>
      <c r="G1253" s="74"/>
      <c r="H1253" s="74"/>
      <c r="J1253" s="110"/>
      <c r="K1253" s="111"/>
      <c r="L1253"/>
      <c r="M1253"/>
      <c r="N1253"/>
      <c r="O1253"/>
    </row>
    <row r="1254" spans="2:15" x14ac:dyDescent="0.2">
      <c r="B1254" s="74"/>
      <c r="C1254"/>
      <c r="D1254" s="74"/>
      <c r="E1254" s="74"/>
      <c r="F1254" s="74"/>
      <c r="G1254" s="74"/>
      <c r="H1254" s="74"/>
      <c r="J1254" s="110"/>
      <c r="K1254" s="111"/>
      <c r="L1254"/>
      <c r="M1254"/>
      <c r="N1254"/>
      <c r="O1254"/>
    </row>
    <row r="1255" spans="2:15" x14ac:dyDescent="0.2">
      <c r="B1255" s="74"/>
      <c r="C1255"/>
      <c r="D1255" s="74"/>
      <c r="E1255" s="74"/>
      <c r="F1255" s="74"/>
      <c r="G1255" s="74"/>
      <c r="H1255" s="74"/>
      <c r="J1255" s="110"/>
      <c r="K1255" s="111"/>
      <c r="L1255"/>
      <c r="M1255"/>
      <c r="N1255"/>
      <c r="O1255"/>
    </row>
    <row r="1256" spans="2:15" x14ac:dyDescent="0.2">
      <c r="B1256" s="74"/>
      <c r="C1256"/>
      <c r="D1256" s="74"/>
      <c r="E1256" s="74"/>
      <c r="F1256" s="74"/>
      <c r="G1256" s="74"/>
      <c r="H1256" s="74"/>
      <c r="J1256" s="110"/>
      <c r="K1256" s="111"/>
      <c r="L1256"/>
      <c r="M1256"/>
      <c r="N1256"/>
      <c r="O1256"/>
    </row>
    <row r="1257" spans="2:15" x14ac:dyDescent="0.2">
      <c r="B1257" s="74"/>
      <c r="C1257"/>
      <c r="D1257" s="74"/>
      <c r="E1257" s="74"/>
      <c r="F1257" s="74"/>
      <c r="G1257" s="74"/>
      <c r="H1257" s="74"/>
      <c r="J1257" s="110"/>
      <c r="K1257" s="111"/>
      <c r="L1257"/>
      <c r="M1257"/>
      <c r="N1257"/>
      <c r="O1257"/>
    </row>
    <row r="1258" spans="2:15" x14ac:dyDescent="0.2">
      <c r="B1258" s="74"/>
      <c r="C1258"/>
      <c r="D1258" s="74"/>
      <c r="E1258" s="74"/>
      <c r="F1258" s="74"/>
      <c r="G1258" s="74"/>
      <c r="H1258" s="74"/>
      <c r="J1258" s="110"/>
      <c r="K1258" s="111"/>
      <c r="L1258"/>
      <c r="M1258"/>
      <c r="N1258"/>
      <c r="O1258"/>
    </row>
    <row r="1259" spans="2:15" x14ac:dyDescent="0.2">
      <c r="B1259" s="74"/>
      <c r="C1259"/>
      <c r="D1259" s="74"/>
      <c r="E1259" s="74"/>
      <c r="F1259" s="74"/>
      <c r="G1259" s="74"/>
      <c r="H1259" s="74"/>
      <c r="J1259" s="110"/>
      <c r="K1259" s="111"/>
      <c r="L1259"/>
      <c r="M1259"/>
      <c r="N1259"/>
      <c r="O1259"/>
    </row>
    <row r="1260" spans="2:15" x14ac:dyDescent="0.2">
      <c r="B1260" s="74"/>
      <c r="C1260"/>
      <c r="D1260" s="74"/>
      <c r="E1260" s="74"/>
      <c r="F1260" s="74"/>
      <c r="G1260" s="74"/>
      <c r="H1260" s="74"/>
      <c r="J1260" s="110"/>
      <c r="K1260" s="111"/>
      <c r="L1260"/>
      <c r="M1260"/>
      <c r="N1260"/>
      <c r="O1260"/>
    </row>
    <row r="1261" spans="2:15" x14ac:dyDescent="0.2">
      <c r="B1261" s="74"/>
      <c r="C1261"/>
      <c r="D1261" s="74"/>
      <c r="E1261" s="74"/>
      <c r="F1261" s="74"/>
      <c r="G1261" s="74"/>
      <c r="H1261" s="74"/>
      <c r="J1261" s="110"/>
      <c r="K1261" s="111"/>
      <c r="L1261"/>
      <c r="M1261"/>
      <c r="N1261"/>
      <c r="O1261"/>
    </row>
    <row r="1262" spans="2:15" x14ac:dyDescent="0.2">
      <c r="B1262" s="74"/>
      <c r="C1262"/>
      <c r="D1262" s="74"/>
      <c r="E1262" s="74"/>
      <c r="F1262" s="74"/>
      <c r="G1262" s="74"/>
      <c r="H1262" s="74"/>
      <c r="J1262" s="110"/>
      <c r="K1262" s="111"/>
      <c r="L1262"/>
      <c r="M1262"/>
      <c r="N1262"/>
      <c r="O1262"/>
    </row>
    <row r="1263" spans="2:15" x14ac:dyDescent="0.2">
      <c r="B1263" s="74"/>
      <c r="C1263"/>
      <c r="D1263" s="74"/>
      <c r="E1263" s="74"/>
      <c r="F1263" s="74"/>
      <c r="G1263" s="74"/>
      <c r="H1263" s="74"/>
      <c r="J1263" s="110"/>
      <c r="K1263" s="111"/>
      <c r="L1263"/>
      <c r="M1263"/>
      <c r="N1263"/>
      <c r="O1263"/>
    </row>
    <row r="1264" spans="2:15" x14ac:dyDescent="0.2">
      <c r="B1264" s="74"/>
      <c r="C1264"/>
      <c r="D1264" s="74"/>
      <c r="E1264" s="74"/>
      <c r="F1264" s="74"/>
      <c r="G1264" s="74"/>
      <c r="H1264" s="74"/>
      <c r="J1264" s="110"/>
      <c r="K1264" s="111"/>
      <c r="L1264"/>
      <c r="M1264"/>
      <c r="N1264"/>
      <c r="O1264"/>
    </row>
    <row r="1265" spans="2:15" x14ac:dyDescent="0.2">
      <c r="B1265" s="74"/>
      <c r="C1265"/>
      <c r="D1265" s="74"/>
      <c r="E1265" s="74"/>
      <c r="F1265" s="74"/>
      <c r="G1265" s="74"/>
      <c r="H1265" s="74"/>
      <c r="J1265" s="110"/>
      <c r="K1265" s="111"/>
      <c r="L1265"/>
      <c r="M1265"/>
      <c r="N1265"/>
      <c r="O1265"/>
    </row>
    <row r="1266" spans="2:15" x14ac:dyDescent="0.2">
      <c r="B1266" s="74"/>
      <c r="C1266"/>
      <c r="D1266" s="74"/>
      <c r="E1266" s="74"/>
      <c r="F1266" s="74"/>
      <c r="G1266" s="74"/>
      <c r="H1266" s="74"/>
      <c r="J1266" s="110"/>
      <c r="K1266" s="111"/>
      <c r="L1266"/>
      <c r="M1266"/>
      <c r="N1266"/>
      <c r="O1266"/>
    </row>
    <row r="1267" spans="2:15" x14ac:dyDescent="0.2">
      <c r="B1267" s="74"/>
      <c r="C1267"/>
      <c r="D1267" s="74"/>
      <c r="E1267" s="74"/>
      <c r="F1267" s="74"/>
      <c r="G1267" s="74"/>
      <c r="H1267" s="74"/>
      <c r="J1267" s="110"/>
      <c r="K1267" s="111"/>
      <c r="L1267"/>
      <c r="M1267"/>
      <c r="N1267"/>
      <c r="O1267"/>
    </row>
    <row r="1268" spans="2:15" x14ac:dyDescent="0.2">
      <c r="B1268" s="74"/>
      <c r="C1268"/>
      <c r="D1268" s="74"/>
      <c r="E1268" s="74"/>
      <c r="F1268" s="74"/>
      <c r="G1268" s="74"/>
      <c r="H1268" s="74"/>
      <c r="J1268" s="110"/>
      <c r="K1268" s="111"/>
      <c r="L1268"/>
      <c r="M1268"/>
      <c r="N1268"/>
      <c r="O1268"/>
    </row>
    <row r="1269" spans="2:15" x14ac:dyDescent="0.2">
      <c r="B1269" s="74"/>
      <c r="C1269"/>
      <c r="D1269" s="74"/>
      <c r="E1269" s="74"/>
      <c r="F1269" s="74"/>
      <c r="G1269" s="74"/>
      <c r="H1269" s="74"/>
      <c r="J1269" s="110"/>
      <c r="K1269" s="111"/>
      <c r="L1269"/>
      <c r="M1269"/>
      <c r="N1269"/>
      <c r="O1269"/>
    </row>
    <row r="1270" spans="2:15" x14ac:dyDescent="0.2">
      <c r="B1270" s="74"/>
      <c r="C1270"/>
      <c r="D1270" s="74"/>
      <c r="E1270" s="74"/>
      <c r="F1270" s="74"/>
      <c r="G1270" s="74"/>
      <c r="H1270" s="74"/>
      <c r="J1270" s="110"/>
      <c r="K1270" s="111"/>
      <c r="L1270"/>
      <c r="M1270"/>
      <c r="N1270"/>
      <c r="O1270"/>
    </row>
    <row r="1271" spans="2:15" x14ac:dyDescent="0.2">
      <c r="B1271" s="74"/>
      <c r="C1271"/>
      <c r="D1271" s="74"/>
      <c r="E1271" s="74"/>
      <c r="F1271" s="74"/>
      <c r="G1271" s="74"/>
      <c r="H1271" s="74"/>
      <c r="J1271" s="110"/>
      <c r="K1271" s="111"/>
      <c r="L1271"/>
      <c r="M1271"/>
      <c r="N1271"/>
      <c r="O1271"/>
    </row>
    <row r="1272" spans="2:15" x14ac:dyDescent="0.2">
      <c r="B1272" s="74"/>
      <c r="C1272"/>
      <c r="D1272" s="74"/>
      <c r="E1272" s="74"/>
      <c r="F1272" s="74"/>
      <c r="G1272" s="74"/>
      <c r="H1272" s="74"/>
      <c r="J1272" s="110"/>
      <c r="K1272" s="111"/>
      <c r="L1272"/>
      <c r="M1272"/>
      <c r="N1272"/>
      <c r="O1272"/>
    </row>
    <row r="1273" spans="2:15" x14ac:dyDescent="0.2">
      <c r="B1273" s="74"/>
      <c r="C1273"/>
      <c r="D1273" s="74"/>
      <c r="E1273" s="74"/>
      <c r="F1273" s="74"/>
      <c r="G1273" s="74"/>
      <c r="H1273" s="74"/>
      <c r="J1273" s="110"/>
      <c r="K1273" s="111"/>
      <c r="L1273"/>
      <c r="M1273"/>
      <c r="N1273"/>
      <c r="O1273"/>
    </row>
    <row r="1274" spans="2:15" x14ac:dyDescent="0.2">
      <c r="B1274" s="74"/>
      <c r="C1274"/>
      <c r="D1274" s="74"/>
      <c r="E1274" s="74"/>
      <c r="F1274" s="74"/>
      <c r="G1274" s="74"/>
      <c r="H1274" s="74"/>
      <c r="J1274" s="110"/>
      <c r="K1274" s="111"/>
      <c r="L1274"/>
      <c r="M1274"/>
      <c r="N1274"/>
      <c r="O1274"/>
    </row>
    <row r="1275" spans="2:15" x14ac:dyDescent="0.2">
      <c r="B1275" s="74"/>
      <c r="C1275"/>
      <c r="D1275" s="74"/>
      <c r="E1275" s="74"/>
      <c r="F1275" s="74"/>
      <c r="G1275" s="74"/>
      <c r="H1275" s="74"/>
      <c r="J1275" s="110"/>
      <c r="K1275" s="111"/>
      <c r="L1275"/>
      <c r="M1275"/>
      <c r="N1275"/>
      <c r="O1275"/>
    </row>
    <row r="1276" spans="2:15" x14ac:dyDescent="0.2">
      <c r="B1276" s="74"/>
      <c r="C1276"/>
      <c r="D1276" s="74"/>
      <c r="E1276" s="74"/>
      <c r="F1276" s="74"/>
      <c r="G1276" s="74"/>
      <c r="H1276" s="74"/>
      <c r="J1276" s="110"/>
      <c r="K1276" s="111"/>
      <c r="L1276"/>
      <c r="M1276"/>
      <c r="N1276"/>
      <c r="O1276"/>
    </row>
    <row r="1277" spans="2:15" x14ac:dyDescent="0.2">
      <c r="B1277" s="74"/>
      <c r="C1277"/>
      <c r="D1277" s="74"/>
      <c r="E1277" s="74"/>
      <c r="F1277" s="74"/>
      <c r="G1277" s="74"/>
      <c r="H1277" s="74"/>
      <c r="J1277" s="110"/>
      <c r="K1277" s="111"/>
      <c r="L1277"/>
      <c r="M1277"/>
      <c r="N1277"/>
      <c r="O1277"/>
    </row>
    <row r="1278" spans="2:15" x14ac:dyDescent="0.2">
      <c r="B1278" s="74"/>
      <c r="C1278"/>
      <c r="D1278" s="74"/>
      <c r="E1278" s="74"/>
      <c r="F1278" s="74"/>
      <c r="G1278" s="74"/>
      <c r="H1278" s="74"/>
      <c r="J1278" s="110"/>
      <c r="K1278" s="111"/>
      <c r="L1278"/>
      <c r="M1278"/>
      <c r="N1278"/>
      <c r="O1278"/>
    </row>
    <row r="1279" spans="2:15" x14ac:dyDescent="0.2">
      <c r="B1279" s="74"/>
      <c r="C1279"/>
      <c r="D1279" s="74"/>
      <c r="E1279" s="74"/>
      <c r="F1279" s="74"/>
      <c r="G1279" s="74"/>
      <c r="H1279" s="74"/>
      <c r="J1279" s="110"/>
      <c r="K1279" s="111"/>
      <c r="L1279"/>
      <c r="M1279"/>
      <c r="N1279"/>
      <c r="O1279"/>
    </row>
    <row r="1280" spans="2:15" x14ac:dyDescent="0.2">
      <c r="B1280" s="74"/>
      <c r="C1280"/>
      <c r="D1280" s="74"/>
      <c r="E1280" s="74"/>
      <c r="F1280" s="74"/>
      <c r="G1280" s="74"/>
      <c r="H1280" s="74"/>
      <c r="J1280" s="110"/>
      <c r="K1280" s="111"/>
      <c r="L1280"/>
      <c r="M1280"/>
      <c r="N1280"/>
      <c r="O1280"/>
    </row>
    <row r="1281" spans="2:15" x14ac:dyDescent="0.2">
      <c r="B1281" s="74"/>
      <c r="C1281"/>
      <c r="D1281" s="74"/>
      <c r="E1281" s="74"/>
      <c r="F1281" s="74"/>
      <c r="G1281" s="74"/>
      <c r="H1281" s="74"/>
      <c r="J1281" s="110"/>
      <c r="K1281" s="111"/>
      <c r="L1281"/>
      <c r="M1281"/>
      <c r="N1281"/>
      <c r="O1281"/>
    </row>
    <row r="1282" spans="2:15" x14ac:dyDescent="0.2">
      <c r="B1282" s="74"/>
      <c r="C1282"/>
      <c r="D1282" s="74"/>
      <c r="E1282" s="74"/>
      <c r="F1282" s="74"/>
      <c r="G1282" s="74"/>
      <c r="H1282" s="74"/>
      <c r="J1282" s="110"/>
      <c r="K1282" s="111"/>
      <c r="L1282"/>
      <c r="M1282"/>
      <c r="N1282"/>
      <c r="O1282"/>
    </row>
    <row r="1283" spans="2:15" x14ac:dyDescent="0.2">
      <c r="B1283" s="74"/>
      <c r="C1283"/>
      <c r="D1283" s="74"/>
      <c r="E1283" s="74"/>
      <c r="F1283" s="74"/>
      <c r="G1283" s="74"/>
      <c r="H1283" s="74"/>
      <c r="J1283" s="110"/>
      <c r="K1283" s="111"/>
      <c r="L1283"/>
      <c r="M1283"/>
      <c r="N1283"/>
      <c r="O1283"/>
    </row>
    <row r="1284" spans="2:15" x14ac:dyDescent="0.2">
      <c r="B1284" s="74"/>
      <c r="C1284"/>
      <c r="D1284" s="74"/>
      <c r="E1284" s="74"/>
      <c r="F1284" s="74"/>
      <c r="G1284" s="74"/>
      <c r="H1284" s="74"/>
      <c r="J1284" s="110"/>
      <c r="K1284" s="111"/>
      <c r="L1284"/>
      <c r="M1284"/>
      <c r="N1284"/>
      <c r="O1284"/>
    </row>
    <row r="1285" spans="2:15" x14ac:dyDescent="0.2">
      <c r="B1285" s="74"/>
      <c r="C1285"/>
      <c r="D1285" s="74"/>
      <c r="E1285" s="74"/>
      <c r="F1285" s="74"/>
      <c r="G1285" s="74"/>
      <c r="H1285" s="74"/>
      <c r="J1285" s="110"/>
      <c r="K1285" s="111"/>
      <c r="L1285"/>
      <c r="M1285"/>
      <c r="N1285"/>
      <c r="O1285"/>
    </row>
    <row r="1286" spans="2:15" x14ac:dyDescent="0.2">
      <c r="B1286" s="74"/>
      <c r="C1286"/>
      <c r="D1286" s="74"/>
      <c r="E1286" s="74"/>
      <c r="F1286" s="74"/>
      <c r="G1286" s="74"/>
      <c r="H1286" s="74"/>
      <c r="J1286" s="110"/>
      <c r="K1286" s="111"/>
      <c r="L1286"/>
      <c r="M1286"/>
      <c r="N1286"/>
      <c r="O1286"/>
    </row>
    <row r="1287" spans="2:15" x14ac:dyDescent="0.2">
      <c r="B1287" s="74"/>
      <c r="C1287"/>
      <c r="D1287" s="74"/>
      <c r="E1287" s="74"/>
      <c r="F1287" s="74"/>
      <c r="G1287" s="74"/>
      <c r="H1287" s="74"/>
      <c r="J1287" s="110"/>
      <c r="K1287" s="111"/>
      <c r="L1287"/>
      <c r="M1287"/>
      <c r="N1287"/>
      <c r="O1287"/>
    </row>
    <row r="1288" spans="2:15" x14ac:dyDescent="0.2">
      <c r="B1288" s="74"/>
      <c r="C1288"/>
      <c r="D1288" s="74"/>
      <c r="E1288" s="74"/>
      <c r="F1288" s="74"/>
      <c r="G1288" s="74"/>
      <c r="H1288" s="74"/>
      <c r="J1288" s="110"/>
      <c r="K1288" s="111"/>
      <c r="L1288"/>
      <c r="M1288"/>
      <c r="N1288"/>
      <c r="O1288"/>
    </row>
    <row r="1289" spans="2:15" x14ac:dyDescent="0.2">
      <c r="B1289" s="74"/>
      <c r="C1289"/>
      <c r="D1289" s="74"/>
      <c r="E1289" s="74"/>
      <c r="F1289" s="74"/>
      <c r="G1289" s="74"/>
      <c r="H1289" s="74"/>
      <c r="J1289" s="110"/>
      <c r="K1289" s="111"/>
      <c r="L1289"/>
      <c r="M1289"/>
      <c r="N1289"/>
      <c r="O1289"/>
    </row>
    <row r="1290" spans="2:15" x14ac:dyDescent="0.2">
      <c r="B1290" s="74"/>
      <c r="C1290"/>
      <c r="D1290" s="74"/>
      <c r="E1290" s="74"/>
      <c r="F1290" s="74"/>
      <c r="G1290" s="74"/>
      <c r="H1290" s="74"/>
      <c r="J1290" s="110"/>
      <c r="K1290" s="111"/>
      <c r="L1290"/>
      <c r="M1290"/>
      <c r="N1290"/>
      <c r="O1290"/>
    </row>
    <row r="1291" spans="2:15" x14ac:dyDescent="0.2">
      <c r="B1291" s="74"/>
      <c r="C1291"/>
      <c r="D1291" s="74"/>
      <c r="E1291" s="74"/>
      <c r="F1291" s="74"/>
      <c r="G1291" s="74"/>
      <c r="H1291" s="74"/>
      <c r="J1291" s="110"/>
      <c r="K1291" s="111"/>
      <c r="L1291"/>
      <c r="M1291"/>
      <c r="N1291"/>
      <c r="O1291"/>
    </row>
    <row r="1292" spans="2:15" x14ac:dyDescent="0.2">
      <c r="B1292" s="74"/>
      <c r="C1292"/>
      <c r="D1292" s="74"/>
      <c r="E1292" s="74"/>
      <c r="F1292" s="74"/>
      <c r="G1292" s="74"/>
      <c r="H1292" s="74"/>
      <c r="J1292" s="110"/>
      <c r="K1292" s="111"/>
      <c r="L1292"/>
      <c r="M1292"/>
      <c r="N1292"/>
      <c r="O1292"/>
    </row>
    <row r="1293" spans="2:15" x14ac:dyDescent="0.2">
      <c r="B1293" s="74"/>
      <c r="C1293"/>
      <c r="D1293" s="74"/>
      <c r="E1293" s="74"/>
      <c r="F1293" s="74"/>
      <c r="G1293" s="74"/>
      <c r="H1293" s="74"/>
      <c r="J1293" s="110"/>
      <c r="K1293" s="111"/>
      <c r="L1293"/>
      <c r="M1293"/>
      <c r="N1293"/>
      <c r="O1293"/>
    </row>
    <row r="1294" spans="2:15" x14ac:dyDescent="0.2">
      <c r="B1294" s="74"/>
      <c r="C1294"/>
      <c r="D1294" s="74"/>
      <c r="E1294" s="74"/>
      <c r="F1294" s="74"/>
      <c r="G1294" s="74"/>
      <c r="H1294" s="74"/>
      <c r="J1294" s="110"/>
      <c r="K1294" s="111"/>
      <c r="L1294"/>
      <c r="M1294"/>
      <c r="N1294"/>
      <c r="O1294"/>
    </row>
    <row r="1295" spans="2:15" x14ac:dyDescent="0.2">
      <c r="B1295" s="74"/>
      <c r="C1295"/>
      <c r="D1295" s="74"/>
      <c r="E1295" s="74"/>
      <c r="F1295" s="74"/>
      <c r="G1295" s="74"/>
      <c r="H1295" s="74"/>
      <c r="J1295" s="110"/>
      <c r="K1295" s="111"/>
      <c r="L1295"/>
      <c r="M1295"/>
      <c r="N1295"/>
      <c r="O1295"/>
    </row>
    <row r="1296" spans="2:15" x14ac:dyDescent="0.2">
      <c r="B1296" s="74"/>
      <c r="C1296"/>
      <c r="D1296" s="74"/>
      <c r="E1296" s="74"/>
      <c r="F1296" s="74"/>
      <c r="G1296" s="74"/>
      <c r="H1296" s="74"/>
      <c r="J1296" s="110"/>
      <c r="K1296" s="111"/>
      <c r="L1296"/>
      <c r="M1296"/>
      <c r="N1296"/>
      <c r="O1296"/>
    </row>
    <row r="1297" spans="2:15" x14ac:dyDescent="0.2">
      <c r="B1297" s="74"/>
      <c r="C1297"/>
      <c r="D1297" s="74"/>
      <c r="E1297" s="74"/>
      <c r="F1297" s="74"/>
      <c r="G1297" s="74"/>
      <c r="H1297" s="74"/>
      <c r="J1297" s="110"/>
      <c r="K1297" s="111"/>
      <c r="L1297"/>
      <c r="M1297"/>
      <c r="N1297"/>
      <c r="O1297"/>
    </row>
    <row r="1298" spans="2:15" x14ac:dyDescent="0.2">
      <c r="B1298" s="74"/>
      <c r="C1298"/>
      <c r="D1298" s="74"/>
      <c r="E1298" s="74"/>
      <c r="F1298" s="74"/>
      <c r="G1298" s="74"/>
      <c r="H1298" s="74"/>
      <c r="J1298" s="110"/>
      <c r="K1298" s="111"/>
      <c r="L1298"/>
      <c r="M1298"/>
      <c r="N1298"/>
      <c r="O1298"/>
    </row>
    <row r="1299" spans="2:15" x14ac:dyDescent="0.2">
      <c r="B1299" s="74"/>
      <c r="C1299"/>
      <c r="D1299" s="74"/>
      <c r="E1299" s="74"/>
      <c r="F1299" s="74"/>
      <c r="G1299" s="74"/>
      <c r="H1299" s="74"/>
      <c r="J1299" s="110"/>
      <c r="K1299" s="111"/>
      <c r="L1299"/>
      <c r="M1299"/>
      <c r="N1299"/>
      <c r="O1299"/>
    </row>
    <row r="1300" spans="2:15" x14ac:dyDescent="0.2">
      <c r="B1300" s="74"/>
      <c r="C1300"/>
      <c r="D1300" s="74"/>
      <c r="E1300" s="74"/>
      <c r="F1300" s="74"/>
      <c r="G1300" s="74"/>
      <c r="H1300" s="74"/>
      <c r="J1300" s="110"/>
      <c r="K1300" s="111"/>
      <c r="L1300"/>
      <c r="M1300"/>
      <c r="N1300"/>
      <c r="O1300"/>
    </row>
    <row r="1301" spans="2:15" x14ac:dyDescent="0.2">
      <c r="B1301" s="74"/>
      <c r="C1301"/>
      <c r="D1301" s="74"/>
      <c r="E1301" s="74"/>
      <c r="F1301" s="74"/>
      <c r="G1301" s="74"/>
      <c r="H1301" s="74"/>
      <c r="J1301" s="110"/>
      <c r="K1301" s="111"/>
      <c r="L1301"/>
      <c r="M1301"/>
      <c r="N1301"/>
      <c r="O1301"/>
    </row>
    <row r="1302" spans="2:15" x14ac:dyDescent="0.2">
      <c r="B1302" s="74"/>
      <c r="C1302"/>
      <c r="D1302" s="74"/>
      <c r="E1302" s="74"/>
      <c r="F1302" s="74"/>
      <c r="G1302" s="74"/>
      <c r="H1302" s="74"/>
      <c r="J1302" s="110"/>
      <c r="K1302" s="111"/>
      <c r="L1302"/>
      <c r="M1302"/>
      <c r="N1302"/>
      <c r="O1302"/>
    </row>
    <row r="1303" spans="2:15" x14ac:dyDescent="0.2">
      <c r="B1303" s="74"/>
      <c r="C1303"/>
      <c r="D1303" s="74"/>
      <c r="E1303" s="74"/>
      <c r="F1303" s="74"/>
      <c r="G1303" s="74"/>
      <c r="H1303" s="74"/>
      <c r="J1303" s="110"/>
      <c r="K1303" s="111"/>
      <c r="L1303"/>
      <c r="M1303"/>
      <c r="N1303"/>
      <c r="O1303"/>
    </row>
    <row r="1304" spans="2:15" x14ac:dyDescent="0.2">
      <c r="B1304" s="74"/>
      <c r="C1304"/>
      <c r="D1304" s="74"/>
      <c r="E1304" s="74"/>
      <c r="F1304" s="74"/>
      <c r="G1304" s="74"/>
      <c r="H1304" s="74"/>
      <c r="J1304" s="110"/>
      <c r="K1304" s="111"/>
      <c r="L1304"/>
      <c r="M1304"/>
      <c r="N1304"/>
      <c r="O1304"/>
    </row>
    <row r="1305" spans="2:15" x14ac:dyDescent="0.2">
      <c r="B1305" s="74"/>
      <c r="C1305"/>
      <c r="D1305" s="74"/>
      <c r="E1305" s="74"/>
      <c r="F1305" s="74"/>
      <c r="G1305" s="74"/>
      <c r="H1305" s="74"/>
      <c r="J1305" s="110"/>
      <c r="K1305" s="111"/>
      <c r="L1305"/>
      <c r="M1305"/>
      <c r="N1305"/>
      <c r="O1305"/>
    </row>
    <row r="1306" spans="2:15" x14ac:dyDescent="0.2">
      <c r="B1306" s="74"/>
      <c r="C1306"/>
      <c r="D1306" s="74"/>
      <c r="E1306" s="74"/>
      <c r="F1306" s="74"/>
      <c r="G1306" s="74"/>
      <c r="H1306" s="74"/>
      <c r="J1306" s="110"/>
      <c r="K1306" s="111"/>
      <c r="L1306"/>
      <c r="M1306"/>
      <c r="N1306"/>
      <c r="O1306"/>
    </row>
    <row r="1307" spans="2:15" x14ac:dyDescent="0.2">
      <c r="B1307" s="74"/>
      <c r="C1307"/>
      <c r="D1307" s="74"/>
      <c r="E1307" s="74"/>
      <c r="F1307" s="74"/>
      <c r="G1307" s="74"/>
      <c r="H1307" s="74"/>
      <c r="J1307" s="110"/>
      <c r="K1307" s="111"/>
      <c r="L1307"/>
      <c r="M1307"/>
      <c r="N1307"/>
      <c r="O1307"/>
    </row>
    <row r="1308" spans="2:15" x14ac:dyDescent="0.2">
      <c r="B1308" s="74"/>
      <c r="C1308"/>
      <c r="D1308" s="74"/>
      <c r="E1308" s="74"/>
      <c r="F1308" s="74"/>
      <c r="G1308" s="74"/>
      <c r="H1308" s="74"/>
      <c r="J1308" s="110"/>
      <c r="K1308" s="111"/>
      <c r="L1308"/>
      <c r="M1308"/>
      <c r="N1308"/>
      <c r="O1308"/>
    </row>
    <row r="1309" spans="2:15" x14ac:dyDescent="0.2">
      <c r="B1309" s="74"/>
      <c r="C1309"/>
      <c r="D1309" s="74"/>
      <c r="E1309" s="74"/>
      <c r="F1309" s="74"/>
      <c r="G1309" s="74"/>
      <c r="H1309" s="74"/>
      <c r="J1309" s="110"/>
      <c r="K1309" s="111"/>
      <c r="L1309"/>
      <c r="M1309"/>
      <c r="N1309"/>
      <c r="O1309"/>
    </row>
    <row r="1310" spans="2:15" x14ac:dyDescent="0.2">
      <c r="B1310" s="74"/>
      <c r="C1310"/>
      <c r="D1310" s="74"/>
      <c r="E1310" s="74"/>
      <c r="F1310" s="74"/>
      <c r="G1310" s="74"/>
      <c r="H1310" s="74"/>
      <c r="J1310" s="110"/>
      <c r="K1310" s="111"/>
      <c r="L1310"/>
      <c r="M1310"/>
      <c r="N1310"/>
      <c r="O1310"/>
    </row>
    <row r="1311" spans="2:15" x14ac:dyDescent="0.2">
      <c r="B1311" s="74"/>
      <c r="C1311"/>
      <c r="D1311" s="74"/>
      <c r="E1311" s="74"/>
      <c r="F1311" s="74"/>
      <c r="G1311" s="74"/>
      <c r="H1311" s="74"/>
      <c r="J1311" s="110"/>
      <c r="K1311" s="111"/>
      <c r="L1311"/>
      <c r="M1311"/>
      <c r="N1311"/>
      <c r="O1311"/>
    </row>
    <row r="1312" spans="2:15" x14ac:dyDescent="0.2">
      <c r="B1312" s="74"/>
      <c r="C1312"/>
      <c r="D1312" s="74"/>
      <c r="E1312" s="74"/>
      <c r="F1312" s="74"/>
      <c r="G1312" s="74"/>
      <c r="H1312" s="74"/>
      <c r="J1312" s="110"/>
      <c r="K1312" s="111"/>
      <c r="L1312"/>
      <c r="M1312"/>
      <c r="N1312"/>
      <c r="O1312"/>
    </row>
    <row r="1313" spans="2:15" x14ac:dyDescent="0.2">
      <c r="B1313" s="74"/>
      <c r="C1313"/>
      <c r="D1313" s="74"/>
      <c r="E1313" s="74"/>
      <c r="F1313" s="74"/>
      <c r="G1313" s="74"/>
      <c r="H1313" s="74"/>
      <c r="J1313" s="110"/>
      <c r="K1313" s="111"/>
      <c r="L1313"/>
      <c r="M1313"/>
      <c r="N1313"/>
      <c r="O1313"/>
    </row>
    <row r="1314" spans="2:15" x14ac:dyDescent="0.2">
      <c r="B1314" s="74"/>
      <c r="C1314"/>
      <c r="D1314" s="74"/>
      <c r="E1314" s="74"/>
      <c r="F1314" s="74"/>
      <c r="G1314" s="74"/>
      <c r="H1314" s="74"/>
      <c r="J1314" s="110"/>
      <c r="K1314" s="111"/>
      <c r="L1314"/>
      <c r="M1314"/>
      <c r="N1314"/>
      <c r="O1314"/>
    </row>
    <row r="1315" spans="2:15" x14ac:dyDescent="0.2">
      <c r="B1315" s="74"/>
      <c r="C1315"/>
      <c r="D1315" s="74"/>
      <c r="E1315" s="74"/>
      <c r="F1315" s="74"/>
      <c r="G1315" s="74"/>
      <c r="H1315" s="74"/>
      <c r="J1315" s="110"/>
      <c r="K1315" s="111"/>
      <c r="L1315"/>
      <c r="M1315"/>
      <c r="N1315"/>
      <c r="O1315"/>
    </row>
    <row r="1316" spans="2:15" x14ac:dyDescent="0.2">
      <c r="B1316" s="74"/>
      <c r="C1316"/>
      <c r="D1316" s="74"/>
      <c r="E1316" s="74"/>
      <c r="F1316" s="74"/>
      <c r="G1316" s="74"/>
      <c r="H1316" s="74"/>
      <c r="J1316" s="110"/>
      <c r="K1316" s="111"/>
      <c r="L1316"/>
      <c r="M1316"/>
      <c r="N1316"/>
      <c r="O1316"/>
    </row>
    <row r="1317" spans="2:15" x14ac:dyDescent="0.2">
      <c r="B1317" s="74"/>
      <c r="C1317"/>
      <c r="D1317" s="74"/>
      <c r="E1317" s="74"/>
      <c r="F1317" s="74"/>
      <c r="G1317" s="74"/>
      <c r="H1317" s="74"/>
      <c r="J1317" s="110"/>
      <c r="K1317" s="111"/>
      <c r="L1317"/>
      <c r="M1317"/>
      <c r="N1317"/>
      <c r="O1317"/>
    </row>
    <row r="1318" spans="2:15" x14ac:dyDescent="0.2">
      <c r="B1318" s="74"/>
      <c r="C1318"/>
      <c r="D1318" s="74"/>
      <c r="E1318" s="74"/>
      <c r="F1318" s="74"/>
      <c r="G1318" s="74"/>
      <c r="H1318" s="74"/>
      <c r="J1318" s="110"/>
      <c r="K1318" s="111"/>
      <c r="L1318"/>
      <c r="M1318"/>
      <c r="N1318"/>
      <c r="O1318"/>
    </row>
    <row r="1319" spans="2:15" x14ac:dyDescent="0.2">
      <c r="B1319" s="74"/>
      <c r="C1319"/>
      <c r="D1319" s="74"/>
      <c r="E1319" s="74"/>
      <c r="F1319" s="74"/>
      <c r="G1319" s="74"/>
      <c r="H1319" s="74"/>
      <c r="J1319" s="110"/>
      <c r="K1319" s="111"/>
      <c r="L1319"/>
      <c r="M1319"/>
      <c r="N1319"/>
      <c r="O1319"/>
    </row>
    <row r="1320" spans="2:15" x14ac:dyDescent="0.2">
      <c r="B1320" s="74"/>
      <c r="C1320"/>
      <c r="D1320" s="74"/>
      <c r="E1320" s="74"/>
      <c r="F1320" s="74"/>
      <c r="G1320" s="74"/>
      <c r="H1320" s="74"/>
      <c r="J1320" s="110"/>
      <c r="K1320" s="111"/>
      <c r="L1320"/>
      <c r="M1320"/>
      <c r="N1320"/>
      <c r="O1320"/>
    </row>
    <row r="1321" spans="2:15" x14ac:dyDescent="0.2">
      <c r="B1321" s="74"/>
      <c r="C1321"/>
      <c r="D1321" s="74"/>
      <c r="E1321" s="74"/>
      <c r="F1321" s="74"/>
      <c r="G1321" s="74"/>
      <c r="H1321" s="74"/>
      <c r="J1321" s="110"/>
      <c r="K1321" s="111"/>
      <c r="L1321"/>
      <c r="M1321"/>
      <c r="N1321"/>
      <c r="O1321"/>
    </row>
    <row r="1322" spans="2:15" x14ac:dyDescent="0.2">
      <c r="B1322" s="74"/>
      <c r="C1322"/>
      <c r="D1322" s="74"/>
      <c r="E1322" s="74"/>
      <c r="F1322" s="74"/>
      <c r="G1322" s="74"/>
      <c r="H1322" s="74"/>
      <c r="J1322" s="110"/>
      <c r="K1322" s="111"/>
      <c r="L1322"/>
      <c r="M1322"/>
      <c r="N1322"/>
      <c r="O1322"/>
    </row>
    <row r="1323" spans="2:15" x14ac:dyDescent="0.2">
      <c r="B1323" s="74"/>
      <c r="C1323"/>
      <c r="D1323" s="74"/>
      <c r="E1323" s="74"/>
      <c r="F1323" s="74"/>
      <c r="G1323" s="74"/>
      <c r="H1323" s="74"/>
      <c r="J1323" s="110"/>
      <c r="K1323" s="111"/>
      <c r="L1323"/>
      <c r="M1323"/>
      <c r="N1323"/>
      <c r="O1323"/>
    </row>
    <row r="1324" spans="2:15" x14ac:dyDescent="0.2">
      <c r="B1324" s="74"/>
      <c r="C1324"/>
      <c r="D1324" s="74"/>
      <c r="E1324" s="74"/>
      <c r="F1324" s="74"/>
      <c r="G1324" s="74"/>
      <c r="H1324" s="74"/>
      <c r="J1324" s="110"/>
      <c r="K1324" s="111"/>
      <c r="L1324"/>
      <c r="M1324"/>
      <c r="N1324"/>
      <c r="O1324"/>
    </row>
    <row r="1325" spans="2:15" x14ac:dyDescent="0.2">
      <c r="B1325" s="74"/>
      <c r="C1325"/>
      <c r="D1325" s="74"/>
      <c r="E1325" s="74"/>
      <c r="F1325" s="74"/>
      <c r="G1325" s="74"/>
      <c r="H1325" s="74"/>
      <c r="J1325" s="110"/>
      <c r="K1325" s="111"/>
      <c r="L1325"/>
      <c r="M1325"/>
      <c r="N1325"/>
      <c r="O1325"/>
    </row>
    <row r="1326" spans="2:15" x14ac:dyDescent="0.2">
      <c r="B1326" s="74"/>
      <c r="C1326"/>
      <c r="D1326" s="74"/>
      <c r="E1326" s="74"/>
      <c r="F1326" s="74"/>
      <c r="G1326" s="74"/>
      <c r="H1326" s="74"/>
      <c r="J1326" s="110"/>
      <c r="K1326" s="111"/>
      <c r="L1326"/>
      <c r="M1326"/>
      <c r="N1326"/>
      <c r="O1326"/>
    </row>
    <row r="1327" spans="2:15" x14ac:dyDescent="0.2">
      <c r="B1327" s="74"/>
      <c r="C1327"/>
      <c r="D1327" s="74"/>
      <c r="E1327" s="74"/>
      <c r="F1327" s="74"/>
      <c r="G1327" s="74"/>
      <c r="H1327" s="74"/>
      <c r="J1327" s="110"/>
      <c r="K1327" s="111"/>
      <c r="L1327"/>
      <c r="M1327"/>
      <c r="N1327"/>
      <c r="O1327"/>
    </row>
    <row r="1328" spans="2:15" x14ac:dyDescent="0.2">
      <c r="B1328" s="74"/>
      <c r="C1328"/>
      <c r="D1328" s="74"/>
      <c r="E1328" s="74"/>
      <c r="F1328" s="74"/>
      <c r="G1328" s="74"/>
      <c r="H1328" s="74"/>
      <c r="J1328" s="110"/>
      <c r="K1328" s="111"/>
      <c r="L1328"/>
      <c r="M1328"/>
      <c r="N1328"/>
      <c r="O1328"/>
    </row>
    <row r="1329" spans="2:15" x14ac:dyDescent="0.2">
      <c r="B1329" s="74"/>
      <c r="C1329"/>
      <c r="D1329" s="74"/>
      <c r="E1329" s="74"/>
      <c r="F1329" s="74"/>
      <c r="G1329" s="74"/>
      <c r="H1329" s="74"/>
      <c r="J1329" s="110"/>
      <c r="K1329" s="111"/>
      <c r="L1329"/>
      <c r="M1329"/>
      <c r="N1329"/>
      <c r="O1329"/>
    </row>
  </sheetData>
  <protectedRanges>
    <protectedRange sqref="H178:J184 H194:J194 H196:J196 H234:J236 H246:J246 H248:J248 H238:J238 H240:J240 H242:J242 H244:J244 H250:J250 H252:J252 H254:J254 H256:J256 H258:J258 H260:J262 H272:J272 H274:J274 H264:J264 H266:J266 H268:J268 H270:J270 H276:J276 H278:J278 H280:J280 H282:J282 H284:J284 H286:J288 H290:J291 H293:J294 H296:J297 H302:J303 H305:J306 H308:J309 H317:J321 H323:J323 H331:J331 H333:J333 C347:G350 D159:G159 C208 C207:G207 H186:J186 H188:J188 H190:J190 H192:J192 C178:G205 C209:G209 H198:J198 H200:J200 H202:J202 H204:J204 C206:J206 D215:G219 D221:G225 D227:G233 D210:G213 C210:C233 H208:J210 H222:J222 H212:J212 H216:J216 H218:J218 H224:J224 H228:J228 H230:J230 H232:J232 H311:J312 H327:J327 H329:J329 H325:J325 C351 H347:J663 H335:J345 A2:B3 C352:G663 C234:G345 D226:J226 D214:J214 D220:J220 A1:J1 B156:J156 B178:B345 B347:B663 A82:A664 K4:O4 K83:O763 K23:O25 L15:O15 K18:L18 L12:O12 L6:O6 K16:O17 L45:L54 L30:O30 L26:O26 A34 K27:O27 K55:O55 K33:O40 K29:O29 K42:L44 L56:O56 K7:O11 K57:O61 K75:N76 N22:O22 K31:O31 K21:O21" name="Bereich1"/>
    <protectedRange sqref="C2:O3" name="Bereich1_4"/>
    <protectedRange sqref="H185:J185 H334:J334 H211:J211 H237:J237 H263:J263 H289:J289 H304:J304 H322:J322 H332:J332 H330:J330 H328:J328" name="Bereich1_2"/>
    <protectedRange sqref="H307:J307 H187:J187 H213:J213 H239:J239 H265:J265 H292:J292" name="Bereich1_3"/>
    <protectedRange sqref="H189:J189 H326:J326 H215:J215 H241:J241 H267:J267 H295:J295 H310:J310 H324:J324" name="Bereich1_5"/>
    <protectedRange sqref="H191:J191 H217:J217 H243:J243 H269:J269 H298:J301 H313:J316" name="Bereich1_6"/>
    <protectedRange sqref="H193:J193 H219:J219 H245:J245 H271:J271" name="Bereich1_7"/>
    <protectedRange sqref="H195:J195 H221:J221 H247:J247 H273:J273" name="Bereich1_8"/>
    <protectedRange sqref="H197:J197 H199:J199 H201:J201 H203:J203 H205:J205 H207:J207 H223:J223 H225:J225 H227:J227 H229:J229 H231:J231 H233:J233 H249:J249 H251:J251 H253:J253 H255:J255 H257:J257 H259:J259 H275:J275 H277:J277 H279:J279 H281:J281 H283:J283 H285:J285" name="Bereich1_9"/>
    <protectedRange sqref="D208:G208" name="Bereich1_10"/>
    <protectedRange sqref="M42:O44 O45:O54" name="Bereich1_14"/>
    <protectedRange sqref="K5:O5 K14:O14 K28:O28 K32:O32 K62:O62 K65:O65" name="Bereich1_18"/>
    <protectedRange sqref="B5 B14 B60 B17 B23 B32 B28 B62 B65" name="Bereich1_1_10"/>
    <protectedRange sqref="K19:K20 K41:O41 K45:K54 K56" name="Bereich1_24_2"/>
    <protectedRange sqref="B42:B54" name="Bereich1_1_5_1"/>
    <protectedRange sqref="B41" name="Bereich1_1_10_2_1"/>
    <protectedRange sqref="L19:O20 M45:N54" name="Bereich1_24_1_1"/>
    <protectedRange sqref="A63:A64 A66:A67 A70" name="Bereich1_11"/>
    <protectedRange sqref="A77:A80 A68" name="Bereich1_12"/>
    <protectedRange sqref="K78:K79" name="Bereich1_23"/>
    <protectedRange sqref="K68:O68" name="Bereich1_15"/>
    <protectedRange sqref="B68" name="Bereich1_1_10_1"/>
    <protectedRange sqref="L77:O79" name="Bereich1_12_1"/>
    <protectedRange sqref="K77" name="Bereich1_11_4"/>
    <protectedRange sqref="B58:B59" name="Bereich1_1_4"/>
    <protectedRange sqref="K63 K70:K74 K66 M70:O74 O75:O76" name="Bereich1_13"/>
    <protectedRange sqref="B63:B64 B66:B67 B69:B81" name="Bereich1_1_6_1"/>
    <protectedRange sqref="M18:O18" name="Bereich1_13_1"/>
    <protectedRange sqref="M22" name="Bereich1_17"/>
    <protectedRange sqref="L22" name="Bereich1_17_1"/>
  </protectedRanges>
  <mergeCells count="704">
    <mergeCell ref="D22:E22"/>
    <mergeCell ref="O2:O3"/>
    <mergeCell ref="D76:E76"/>
    <mergeCell ref="D75:E75"/>
    <mergeCell ref="N2:N3"/>
    <mergeCell ref="D81:E81"/>
    <mergeCell ref="D63:E63"/>
    <mergeCell ref="D68:E68"/>
    <mergeCell ref="D79:E79"/>
    <mergeCell ref="D77:E77"/>
    <mergeCell ref="D78:E78"/>
    <mergeCell ref="D69:E69"/>
    <mergeCell ref="D52:E52"/>
    <mergeCell ref="D61:E61"/>
    <mergeCell ref="D62:E62"/>
    <mergeCell ref="D65:E65"/>
    <mergeCell ref="D66:E66"/>
    <mergeCell ref="D67:E67"/>
    <mergeCell ref="D59:E59"/>
    <mergeCell ref="D57:E57"/>
    <mergeCell ref="D58:E58"/>
    <mergeCell ref="D20:E20"/>
    <mergeCell ref="D2:E3"/>
    <mergeCell ref="D8:E8"/>
    <mergeCell ref="D32:E32"/>
    <mergeCell ref="D453:E453"/>
    <mergeCell ref="D38:E38"/>
    <mergeCell ref="D30:E30"/>
    <mergeCell ref="D31:E31"/>
    <mergeCell ref="D33:E33"/>
    <mergeCell ref="D48:E48"/>
    <mergeCell ref="D42:E42"/>
    <mergeCell ref="D53:E53"/>
    <mergeCell ref="D54:E54"/>
    <mergeCell ref="D35:E35"/>
    <mergeCell ref="D36:E36"/>
    <mergeCell ref="D44:E44"/>
    <mergeCell ref="D80:E80"/>
    <mergeCell ref="D422:E422"/>
    <mergeCell ref="D423:E423"/>
    <mergeCell ref="D424:E424"/>
    <mergeCell ref="D425:E425"/>
    <mergeCell ref="D426:E426"/>
    <mergeCell ref="D427:E427"/>
    <mergeCell ref="D428:E428"/>
    <mergeCell ref="D439:E439"/>
    <mergeCell ref="D444:E444"/>
    <mergeCell ref="D445:E445"/>
    <mergeCell ref="D552:E552"/>
    <mergeCell ref="D553:E553"/>
    <mergeCell ref="D579:E579"/>
    <mergeCell ref="D580:E580"/>
    <mergeCell ref="D581:E581"/>
    <mergeCell ref="D575:E575"/>
    <mergeCell ref="D576:E576"/>
    <mergeCell ref="D577:E577"/>
    <mergeCell ref="D561:E561"/>
    <mergeCell ref="D569:E569"/>
    <mergeCell ref="D554:E554"/>
    <mergeCell ref="D567:E567"/>
    <mergeCell ref="D558:E558"/>
    <mergeCell ref="D562:E562"/>
    <mergeCell ref="D563:E563"/>
    <mergeCell ref="D564:E564"/>
    <mergeCell ref="D565:E565"/>
    <mergeCell ref="D566:E566"/>
    <mergeCell ref="D559:E559"/>
    <mergeCell ref="D560:E560"/>
    <mergeCell ref="D557:E557"/>
    <mergeCell ref="D502:E502"/>
    <mergeCell ref="D503:E503"/>
    <mergeCell ref="D448:E448"/>
    <mergeCell ref="D504:E504"/>
    <mergeCell ref="D505:E505"/>
    <mergeCell ref="D512:E512"/>
    <mergeCell ref="D499:E499"/>
    <mergeCell ref="D500:E500"/>
    <mergeCell ref="D454:E454"/>
    <mergeCell ref="D455:E455"/>
    <mergeCell ref="D456:E456"/>
    <mergeCell ref="D457:E457"/>
    <mergeCell ref="D458:E458"/>
    <mergeCell ref="D482:E482"/>
    <mergeCell ref="D477:E477"/>
    <mergeCell ref="D484:E484"/>
    <mergeCell ref="D486:E486"/>
    <mergeCell ref="D487:E487"/>
    <mergeCell ref="D491:E491"/>
    <mergeCell ref="D483:E483"/>
    <mergeCell ref="D463:E463"/>
    <mergeCell ref="D464:E464"/>
    <mergeCell ref="D507:E507"/>
    <mergeCell ref="D446:E446"/>
    <mergeCell ref="D447:E447"/>
    <mergeCell ref="D534:E534"/>
    <mergeCell ref="D535:E535"/>
    <mergeCell ref="D536:E536"/>
    <mergeCell ref="D537:E537"/>
    <mergeCell ref="D556:E556"/>
    <mergeCell ref="D555:E555"/>
    <mergeCell ref="D541:E541"/>
    <mergeCell ref="D547:E547"/>
    <mergeCell ref="D548:E548"/>
    <mergeCell ref="D549:E549"/>
    <mergeCell ref="D550:E550"/>
    <mergeCell ref="D542:E542"/>
    <mergeCell ref="D543:E543"/>
    <mergeCell ref="D544:E544"/>
    <mergeCell ref="D545:E545"/>
    <mergeCell ref="D508:E508"/>
    <mergeCell ref="D509:E509"/>
    <mergeCell ref="D510:E510"/>
    <mergeCell ref="D511:E511"/>
    <mergeCell ref="D515:E515"/>
    <mergeCell ref="D480:E480"/>
    <mergeCell ref="D506:E506"/>
    <mergeCell ref="D47:E47"/>
    <mergeCell ref="D496:E496"/>
    <mergeCell ref="D533:E533"/>
    <mergeCell ref="D440:E440"/>
    <mergeCell ref="D443:E443"/>
    <mergeCell ref="D449:E449"/>
    <mergeCell ref="D450:E450"/>
    <mergeCell ref="D451:E451"/>
    <mergeCell ref="D452:E452"/>
    <mergeCell ref="D494:E494"/>
    <mergeCell ref="D488:E488"/>
    <mergeCell ref="D489:E489"/>
    <mergeCell ref="D490:E490"/>
    <mergeCell ref="D476:E476"/>
    <mergeCell ref="D492:E492"/>
    <mergeCell ref="D493:E493"/>
    <mergeCell ref="D481:E481"/>
    <mergeCell ref="D485:E485"/>
    <mergeCell ref="D497:E497"/>
    <mergeCell ref="D498:E498"/>
    <mergeCell ref="D528:E528"/>
    <mergeCell ref="D529:E529"/>
    <mergeCell ref="D530:E530"/>
    <mergeCell ref="D501:E501"/>
    <mergeCell ref="D523:E523"/>
    <mergeCell ref="D524:E524"/>
    <mergeCell ref="D514:E514"/>
    <mergeCell ref="D546:E546"/>
    <mergeCell ref="D513:E513"/>
    <mergeCell ref="D538:E538"/>
    <mergeCell ref="D517:E517"/>
    <mergeCell ref="D518:E518"/>
    <mergeCell ref="D519:E519"/>
    <mergeCell ref="D520:E520"/>
    <mergeCell ref="D521:E521"/>
    <mergeCell ref="D522:E522"/>
    <mergeCell ref="D516:E516"/>
    <mergeCell ref="D531:E531"/>
    <mergeCell ref="D532:E532"/>
    <mergeCell ref="D610:E610"/>
    <mergeCell ref="D570:E570"/>
    <mergeCell ref="D571:E571"/>
    <mergeCell ref="D572:E572"/>
    <mergeCell ref="D573:E573"/>
    <mergeCell ref="D584:E584"/>
    <mergeCell ref="D585:E585"/>
    <mergeCell ref="D583:E583"/>
    <mergeCell ref="D578:E578"/>
    <mergeCell ref="D582:E582"/>
    <mergeCell ref="D606:E606"/>
    <mergeCell ref="D607:E607"/>
    <mergeCell ref="D608:E608"/>
    <mergeCell ref="D609:E609"/>
    <mergeCell ref="D611:E611"/>
    <mergeCell ref="D612:E612"/>
    <mergeCell ref="D17:E17"/>
    <mergeCell ref="D595:E595"/>
    <mergeCell ref="D596:E596"/>
    <mergeCell ref="D597:E597"/>
    <mergeCell ref="D598:E598"/>
    <mergeCell ref="D600:E600"/>
    <mergeCell ref="D601:E601"/>
    <mergeCell ref="D602:E602"/>
    <mergeCell ref="D586:E586"/>
    <mergeCell ref="D587:E587"/>
    <mergeCell ref="D588:E588"/>
    <mergeCell ref="D589:E589"/>
    <mergeCell ref="D590:E590"/>
    <mergeCell ref="D539:E539"/>
    <mergeCell ref="D540:E540"/>
    <mergeCell ref="D568:E568"/>
    <mergeCell ref="D551:E551"/>
    <mergeCell ref="D525:E525"/>
    <mergeCell ref="D526:E526"/>
    <mergeCell ref="D527:E527"/>
    <mergeCell ref="D574:E574"/>
    <mergeCell ref="D495:E495"/>
    <mergeCell ref="D669:E669"/>
    <mergeCell ref="D670:E670"/>
    <mergeCell ref="D629:E629"/>
    <mergeCell ref="D675:E675"/>
    <mergeCell ref="D676:E676"/>
    <mergeCell ref="D674:E674"/>
    <mergeCell ref="D660:E660"/>
    <mergeCell ref="D673:E673"/>
    <mergeCell ref="D666:E666"/>
    <mergeCell ref="D667:E667"/>
    <mergeCell ref="D668:E668"/>
    <mergeCell ref="D630:E630"/>
    <mergeCell ref="D635:E635"/>
    <mergeCell ref="D659:E659"/>
    <mergeCell ref="D662:E662"/>
    <mergeCell ref="D646:E646"/>
    <mergeCell ref="D639:E639"/>
    <mergeCell ref="D655:E655"/>
    <mergeCell ref="D656:E656"/>
    <mergeCell ref="D657:E657"/>
    <mergeCell ref="D658:E658"/>
    <mergeCell ref="D671:E671"/>
    <mergeCell ref="D645:E645"/>
    <mergeCell ref="D664:E664"/>
    <mergeCell ref="D706:E706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694:E694"/>
    <mergeCell ref="D677:E677"/>
    <mergeCell ref="D672:E672"/>
    <mergeCell ref="D678:E678"/>
    <mergeCell ref="D693:E693"/>
    <mergeCell ref="D684:E684"/>
    <mergeCell ref="D688:E688"/>
    <mergeCell ref="D692:E692"/>
    <mergeCell ref="D689:E689"/>
    <mergeCell ref="D690:E690"/>
    <mergeCell ref="D691:E691"/>
    <mergeCell ref="D679:E679"/>
    <mergeCell ref="D680:E680"/>
    <mergeCell ref="D687:E687"/>
    <mergeCell ref="D681:E681"/>
    <mergeCell ref="D682:E682"/>
    <mergeCell ref="D683:E683"/>
    <mergeCell ref="D685:E685"/>
    <mergeCell ref="D686:E686"/>
    <mergeCell ref="D616:E616"/>
    <mergeCell ref="D617:E617"/>
    <mergeCell ref="D591:E591"/>
    <mergeCell ref="D592:E592"/>
    <mergeCell ref="D593:E593"/>
    <mergeCell ref="D594:E594"/>
    <mergeCell ref="D626:E626"/>
    <mergeCell ref="D627:E627"/>
    <mergeCell ref="D628:E628"/>
    <mergeCell ref="D599:E599"/>
    <mergeCell ref="D603:E603"/>
    <mergeCell ref="D604:E604"/>
    <mergeCell ref="D618:E618"/>
    <mergeCell ref="D619:E619"/>
    <mergeCell ref="D613:E613"/>
    <mergeCell ref="D624:E624"/>
    <mergeCell ref="D625:E625"/>
    <mergeCell ref="D620:E620"/>
    <mergeCell ref="D621:E621"/>
    <mergeCell ref="D622:E622"/>
    <mergeCell ref="D623:E623"/>
    <mergeCell ref="D614:E614"/>
    <mergeCell ref="D615:E615"/>
    <mergeCell ref="D605:E605"/>
    <mergeCell ref="D665:E665"/>
    <mergeCell ref="D661:E661"/>
    <mergeCell ref="D651:E651"/>
    <mergeCell ref="D652:E652"/>
    <mergeCell ref="D653:E653"/>
    <mergeCell ref="D654:E654"/>
    <mergeCell ref="D631:E631"/>
    <mergeCell ref="D640:E640"/>
    <mergeCell ref="D641:E641"/>
    <mergeCell ref="D642:E642"/>
    <mergeCell ref="D643:E643"/>
    <mergeCell ref="D644:E644"/>
    <mergeCell ref="D648:E648"/>
    <mergeCell ref="D649:E649"/>
    <mergeCell ref="D650:E650"/>
    <mergeCell ref="D647:E647"/>
    <mergeCell ref="D638:E638"/>
    <mergeCell ref="D634:E634"/>
    <mergeCell ref="D636:E636"/>
    <mergeCell ref="D637:E637"/>
    <mergeCell ref="D632:E632"/>
    <mergeCell ref="D633:E633"/>
    <mergeCell ref="D663:E663"/>
    <mergeCell ref="D429:E429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0:E430"/>
    <mergeCell ref="D479:E479"/>
    <mergeCell ref="D466:E466"/>
    <mergeCell ref="D465:E465"/>
    <mergeCell ref="D459:E459"/>
    <mergeCell ref="D460:E460"/>
    <mergeCell ref="D461:E461"/>
    <mergeCell ref="D462:E462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8:E478"/>
    <mergeCell ref="D467:E467"/>
    <mergeCell ref="D441:E441"/>
    <mergeCell ref="D442:E442"/>
    <mergeCell ref="D404:E404"/>
    <mergeCell ref="D390:E390"/>
    <mergeCell ref="D403:E403"/>
    <mergeCell ref="D396:E396"/>
    <mergeCell ref="D397:E397"/>
    <mergeCell ref="D398:E398"/>
    <mergeCell ref="D399:E399"/>
    <mergeCell ref="D400:E400"/>
    <mergeCell ref="D401:E401"/>
    <mergeCell ref="D402:E402"/>
    <mergeCell ref="D395:E395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21:E421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368:E368"/>
    <mergeCell ref="D370:E370"/>
    <mergeCell ref="D362:E362"/>
    <mergeCell ref="D363:E363"/>
    <mergeCell ref="D373:E373"/>
    <mergeCell ref="D372:E372"/>
    <mergeCell ref="D371:E371"/>
    <mergeCell ref="D375:E375"/>
    <mergeCell ref="D376:E376"/>
    <mergeCell ref="D369:E369"/>
    <mergeCell ref="D366:E366"/>
    <mergeCell ref="D367:E367"/>
    <mergeCell ref="D364:E364"/>
    <mergeCell ref="D365:E365"/>
    <mergeCell ref="D381:E381"/>
    <mergeCell ref="D374:E374"/>
    <mergeCell ref="D382:E382"/>
    <mergeCell ref="D391:E391"/>
    <mergeCell ref="D392:E392"/>
    <mergeCell ref="D393:E393"/>
    <mergeCell ref="D394:E394"/>
    <mergeCell ref="D383:E383"/>
    <mergeCell ref="D384:E384"/>
    <mergeCell ref="D385:E385"/>
    <mergeCell ref="D386:E386"/>
    <mergeCell ref="D387:E387"/>
    <mergeCell ref="D388:E388"/>
    <mergeCell ref="D389:E389"/>
    <mergeCell ref="D380:E380"/>
    <mergeCell ref="D378:E378"/>
    <mergeCell ref="D379:E379"/>
    <mergeCell ref="D355:E355"/>
    <mergeCell ref="D344:E344"/>
    <mergeCell ref="D332:E332"/>
    <mergeCell ref="D333:E333"/>
    <mergeCell ref="D358:E358"/>
    <mergeCell ref="D351:E351"/>
    <mergeCell ref="D356:E356"/>
    <mergeCell ref="D357:E357"/>
    <mergeCell ref="D352:E352"/>
    <mergeCell ref="D353:E353"/>
    <mergeCell ref="D339:E339"/>
    <mergeCell ref="D350:E350"/>
    <mergeCell ref="D346:G346"/>
    <mergeCell ref="D347:E347"/>
    <mergeCell ref="D340:E340"/>
    <mergeCell ref="D341:E341"/>
    <mergeCell ref="D342:E342"/>
    <mergeCell ref="D343:E343"/>
    <mergeCell ref="D336:E336"/>
    <mergeCell ref="D337:E337"/>
    <mergeCell ref="D345:E345"/>
    <mergeCell ref="D359:E359"/>
    <mergeCell ref="D360:E360"/>
    <mergeCell ref="D237:E237"/>
    <mergeCell ref="D272:E272"/>
    <mergeCell ref="D280:E280"/>
    <mergeCell ref="D269:E269"/>
    <mergeCell ref="D287:E287"/>
    <mergeCell ref="D286:E286"/>
    <mergeCell ref="D377:E377"/>
    <mergeCell ref="D334:E334"/>
    <mergeCell ref="D335:E335"/>
    <mergeCell ref="D338:E338"/>
    <mergeCell ref="D316:E316"/>
    <mergeCell ref="D324:E324"/>
    <mergeCell ref="D325:E325"/>
    <mergeCell ref="D321:E321"/>
    <mergeCell ref="D323:E323"/>
    <mergeCell ref="D329:E329"/>
    <mergeCell ref="D330:E330"/>
    <mergeCell ref="D326:E326"/>
    <mergeCell ref="D331:E331"/>
    <mergeCell ref="D327:E327"/>
    <mergeCell ref="D328:E328"/>
    <mergeCell ref="D361:E361"/>
    <mergeCell ref="D254:E254"/>
    <mergeCell ref="D270:E270"/>
    <mergeCell ref="D267:E267"/>
    <mergeCell ref="D230:E230"/>
    <mergeCell ref="D275:E275"/>
    <mergeCell ref="D288:E288"/>
    <mergeCell ref="D348:E348"/>
    <mergeCell ref="D349:E349"/>
    <mergeCell ref="D354:E354"/>
    <mergeCell ref="D278:E278"/>
    <mergeCell ref="D273:E273"/>
    <mergeCell ref="D313:E313"/>
    <mergeCell ref="D306:E306"/>
    <mergeCell ref="D307:E307"/>
    <mergeCell ref="D304:E304"/>
    <mergeCell ref="D322:E322"/>
    <mergeCell ref="D318:E318"/>
    <mergeCell ref="D315:E315"/>
    <mergeCell ref="D301:E301"/>
    <mergeCell ref="D314:E314"/>
    <mergeCell ref="D308:E308"/>
    <mergeCell ref="D309:E309"/>
    <mergeCell ref="D310:E310"/>
    <mergeCell ref="D298:E298"/>
    <mergeCell ref="D291:E291"/>
    <mergeCell ref="D271:E271"/>
    <mergeCell ref="D289:E289"/>
    <mergeCell ref="D285:E285"/>
    <mergeCell ref="D284:E284"/>
    <mergeCell ref="D232:E232"/>
    <mergeCell ref="D233:E233"/>
    <mergeCell ref="D282:E282"/>
    <mergeCell ref="D190:E190"/>
    <mergeCell ref="D290:E290"/>
    <mergeCell ref="D242:E242"/>
    <mergeCell ref="D276:E276"/>
    <mergeCell ref="D262:E262"/>
    <mergeCell ref="D256:E256"/>
    <mergeCell ref="D238:E238"/>
    <mergeCell ref="D239:E239"/>
    <mergeCell ref="D251:E251"/>
    <mergeCell ref="D241:E241"/>
    <mergeCell ref="D243:E243"/>
    <mergeCell ref="D247:E247"/>
    <mergeCell ref="D248:E248"/>
    <mergeCell ref="D245:E245"/>
    <mergeCell ref="D283:E283"/>
    <mergeCell ref="D277:E277"/>
    <mergeCell ref="D299:E299"/>
    <mergeCell ref="D319:E319"/>
    <mergeCell ref="D320:E320"/>
    <mergeCell ref="D296:E296"/>
    <mergeCell ref="D297:E297"/>
    <mergeCell ref="D292:E292"/>
    <mergeCell ref="D300:E300"/>
    <mergeCell ref="D305:E305"/>
    <mergeCell ref="D311:E311"/>
    <mergeCell ref="D312:E312"/>
    <mergeCell ref="D295:E295"/>
    <mergeCell ref="D293:E293"/>
    <mergeCell ref="D294:E294"/>
    <mergeCell ref="D302:E302"/>
    <mergeCell ref="D303:E303"/>
    <mergeCell ref="D263:E263"/>
    <mergeCell ref="D246:E246"/>
    <mergeCell ref="D279:E279"/>
    <mergeCell ref="D268:E268"/>
    <mergeCell ref="D250:E250"/>
    <mergeCell ref="D249:E249"/>
    <mergeCell ref="D210:E210"/>
    <mergeCell ref="D217:E217"/>
    <mergeCell ref="D218:E218"/>
    <mergeCell ref="D236:E236"/>
    <mergeCell ref="D215:E215"/>
    <mergeCell ref="D252:E252"/>
    <mergeCell ref="D229:E229"/>
    <mergeCell ref="D244:E244"/>
    <mergeCell ref="D235:E235"/>
    <mergeCell ref="D222:E222"/>
    <mergeCell ref="D220:E220"/>
    <mergeCell ref="D227:E227"/>
    <mergeCell ref="D223:E223"/>
    <mergeCell ref="D216:E216"/>
    <mergeCell ref="D212:E212"/>
    <mergeCell ref="D228:E228"/>
    <mergeCell ref="D231:E231"/>
    <mergeCell ref="D221:E221"/>
    <mergeCell ref="D118:E118"/>
    <mergeCell ref="D101:E101"/>
    <mergeCell ref="D102:E102"/>
    <mergeCell ref="D159:E159"/>
    <mergeCell ref="D152:E152"/>
    <mergeCell ref="D153:E153"/>
    <mergeCell ref="D140:E140"/>
    <mergeCell ref="D136:E136"/>
    <mergeCell ref="D146:E146"/>
    <mergeCell ref="D148:E148"/>
    <mergeCell ref="D134:G134"/>
    <mergeCell ref="D131:E131"/>
    <mergeCell ref="D143:E143"/>
    <mergeCell ref="D144:E144"/>
    <mergeCell ref="D142:E142"/>
    <mergeCell ref="D149:E149"/>
    <mergeCell ref="D155:E155"/>
    <mergeCell ref="D151:E151"/>
    <mergeCell ref="D154:E154"/>
    <mergeCell ref="D150:E150"/>
    <mergeCell ref="D139:E139"/>
    <mergeCell ref="D137:E137"/>
    <mergeCell ref="D156:E156"/>
    <mergeCell ref="D158:E158"/>
    <mergeCell ref="D110:E110"/>
    <mergeCell ref="D111:E111"/>
    <mergeCell ref="D112:E112"/>
    <mergeCell ref="D93:E93"/>
    <mergeCell ref="D106:E106"/>
    <mergeCell ref="D103:E103"/>
    <mergeCell ref="D97:E97"/>
    <mergeCell ref="D100:E100"/>
    <mergeCell ref="D92:E92"/>
    <mergeCell ref="D109:E109"/>
    <mergeCell ref="D147:E147"/>
    <mergeCell ref="D145:E145"/>
    <mergeCell ref="D138:E138"/>
    <mergeCell ref="D119:E119"/>
    <mergeCell ref="D121:G121"/>
    <mergeCell ref="D126:E126"/>
    <mergeCell ref="D128:E128"/>
    <mergeCell ref="D129:E129"/>
    <mergeCell ref="D130:E130"/>
    <mergeCell ref="D127:E127"/>
    <mergeCell ref="D125:E125"/>
    <mergeCell ref="D122:E122"/>
    <mergeCell ref="D123:E123"/>
    <mergeCell ref="D120:E120"/>
    <mergeCell ref="D132:E132"/>
    <mergeCell ref="D133:E133"/>
    <mergeCell ref="D135:E135"/>
    <mergeCell ref="D168:E168"/>
    <mergeCell ref="D141:E141"/>
    <mergeCell ref="D161:E161"/>
    <mergeCell ref="D165:E165"/>
    <mergeCell ref="D171:E171"/>
    <mergeCell ref="D162:E162"/>
    <mergeCell ref="D167:E167"/>
    <mergeCell ref="D208:E208"/>
    <mergeCell ref="D204:E204"/>
    <mergeCell ref="D174:E174"/>
    <mergeCell ref="D175:E175"/>
    <mergeCell ref="D187:E187"/>
    <mergeCell ref="D188:E188"/>
    <mergeCell ref="D189:E189"/>
    <mergeCell ref="D201:E201"/>
    <mergeCell ref="D198:E198"/>
    <mergeCell ref="D199:E199"/>
    <mergeCell ref="D186:E186"/>
    <mergeCell ref="D202:E202"/>
    <mergeCell ref="D185:E185"/>
    <mergeCell ref="D173:E173"/>
    <mergeCell ref="D166:E166"/>
    <mergeCell ref="D169:E169"/>
    <mergeCell ref="D206:E206"/>
    <mergeCell ref="D176:E176"/>
    <mergeCell ref="D226:E226"/>
    <mergeCell ref="D207:E207"/>
    <mergeCell ref="D214:E214"/>
    <mergeCell ref="D224:E224"/>
    <mergeCell ref="D180:E180"/>
    <mergeCell ref="D205:E205"/>
    <mergeCell ref="D191:E191"/>
    <mergeCell ref="D192:E192"/>
    <mergeCell ref="D194:E194"/>
    <mergeCell ref="D193:E193"/>
    <mergeCell ref="D195:E195"/>
    <mergeCell ref="D197:E197"/>
    <mergeCell ref="D196:E196"/>
    <mergeCell ref="D203:E203"/>
    <mergeCell ref="D200:E200"/>
    <mergeCell ref="D219:E219"/>
    <mergeCell ref="D183:E183"/>
    <mergeCell ref="D26:E26"/>
    <mergeCell ref="D281:E281"/>
    <mergeCell ref="D163:E163"/>
    <mergeCell ref="D170:E170"/>
    <mergeCell ref="D160:E160"/>
    <mergeCell ref="D164:E164"/>
    <mergeCell ref="D157:E157"/>
    <mergeCell ref="D274:E274"/>
    <mergeCell ref="D253:E253"/>
    <mergeCell ref="D264:E264"/>
    <mergeCell ref="D261:E261"/>
    <mergeCell ref="D266:E266"/>
    <mergeCell ref="D255:E255"/>
    <mergeCell ref="D265:E265"/>
    <mergeCell ref="D240:E240"/>
    <mergeCell ref="D211:E211"/>
    <mergeCell ref="D213:E213"/>
    <mergeCell ref="D179:E179"/>
    <mergeCell ref="D177:G177"/>
    <mergeCell ref="D172:E172"/>
    <mergeCell ref="D184:E184"/>
    <mergeCell ref="D209:E209"/>
    <mergeCell ref="D225:E225"/>
    <mergeCell ref="D178:E178"/>
    <mergeCell ref="D88:E88"/>
    <mergeCell ref="B1:H1"/>
    <mergeCell ref="B2:B3"/>
    <mergeCell ref="C2:C3"/>
    <mergeCell ref="D7:E7"/>
    <mergeCell ref="D15:E15"/>
    <mergeCell ref="D12:E12"/>
    <mergeCell ref="D6:E6"/>
    <mergeCell ref="D82:G82"/>
    <mergeCell ref="D71:E71"/>
    <mergeCell ref="D27:E27"/>
    <mergeCell ref="D29:E29"/>
    <mergeCell ref="D46:E46"/>
    <mergeCell ref="D45:E45"/>
    <mergeCell ref="D34:E34"/>
    <mergeCell ref="D28:E28"/>
    <mergeCell ref="D70:E70"/>
    <mergeCell ref="D64:E64"/>
    <mergeCell ref="G2:I2"/>
    <mergeCell ref="D16:E16"/>
    <mergeCell ref="D5:E5"/>
    <mergeCell ref="D23:E23"/>
    <mergeCell ref="D14:E14"/>
    <mergeCell ref="D25:E25"/>
    <mergeCell ref="D19:E19"/>
    <mergeCell ref="D83:E83"/>
    <mergeCell ref="D84:E84"/>
    <mergeCell ref="D85:E85"/>
    <mergeCell ref="D96:E96"/>
    <mergeCell ref="D124:E124"/>
    <mergeCell ref="D113:E113"/>
    <mergeCell ref="D114:E114"/>
    <mergeCell ref="D115:E115"/>
    <mergeCell ref="D116:E116"/>
    <mergeCell ref="D117:E117"/>
    <mergeCell ref="D95:G95"/>
    <mergeCell ref="D98:E98"/>
    <mergeCell ref="D99:E99"/>
    <mergeCell ref="D108:G108"/>
    <mergeCell ref="D107:E107"/>
    <mergeCell ref="D104:E104"/>
    <mergeCell ref="D105:E105"/>
    <mergeCell ref="D86:E86"/>
    <mergeCell ref="D94:E94"/>
    <mergeCell ref="D87:E87"/>
    <mergeCell ref="D89:E89"/>
    <mergeCell ref="D90:E90"/>
    <mergeCell ref="D91:E91"/>
    <mergeCell ref="F2:F3"/>
    <mergeCell ref="P2:P3"/>
    <mergeCell ref="D72:E72"/>
    <mergeCell ref="D73:E73"/>
    <mergeCell ref="D74:E74"/>
    <mergeCell ref="D37:E37"/>
    <mergeCell ref="M2:M3"/>
    <mergeCell ref="D24:E24"/>
    <mergeCell ref="D56:E56"/>
    <mergeCell ref="D55:E55"/>
    <mergeCell ref="L2:L3"/>
    <mergeCell ref="D43:E43"/>
    <mergeCell ref="D49:E49"/>
    <mergeCell ref="D50:E50"/>
    <mergeCell ref="D51:E51"/>
    <mergeCell ref="K2:K3"/>
    <mergeCell ref="J2:J3"/>
    <mergeCell ref="D21:E21"/>
    <mergeCell ref="D18:E18"/>
    <mergeCell ref="D4:E4"/>
    <mergeCell ref="D13:E13"/>
    <mergeCell ref="D9:E9"/>
    <mergeCell ref="D10:E10"/>
    <mergeCell ref="D11:E11"/>
  </mergeCells>
  <phoneticPr fontId="0" type="noConversion"/>
  <conditionalFormatting sqref="B5 B68:D69 H68:O76 C70:D76 B70:B81">
    <cfRule type="expression" dxfId="1095" priority="8606" stopIfTrue="1">
      <formula>#REF!=2</formula>
    </cfRule>
    <cfRule type="expression" dxfId="1094" priority="8607" stopIfTrue="1">
      <formula>#REF!=3</formula>
    </cfRule>
  </conditionalFormatting>
  <conditionalFormatting sqref="B14">
    <cfRule type="expression" dxfId="1093" priority="8601" stopIfTrue="1">
      <formula>#REF!=3</formula>
    </cfRule>
    <cfRule type="expression" dxfId="1092" priority="8600" stopIfTrue="1">
      <formula>#REF!=2</formula>
    </cfRule>
    <cfRule type="expression" dxfId="1091" priority="8599" stopIfTrue="1">
      <formula>#REF!=1</formula>
    </cfRule>
  </conditionalFormatting>
  <conditionalFormatting sqref="B16:B17">
    <cfRule type="expression" dxfId="1090" priority="8207" stopIfTrue="1">
      <formula>#REF!=3</formula>
    </cfRule>
    <cfRule type="expression" dxfId="1089" priority="8206" stopIfTrue="1">
      <formula>#REF!=2</formula>
    </cfRule>
    <cfRule type="expression" dxfId="1088" priority="8205" stopIfTrue="1">
      <formula>#REF!=1</formula>
    </cfRule>
  </conditionalFormatting>
  <conditionalFormatting sqref="B23">
    <cfRule type="expression" dxfId="1087" priority="8204" stopIfTrue="1">
      <formula>#REF!=3</formula>
    </cfRule>
    <cfRule type="expression" dxfId="1086" priority="8203" stopIfTrue="1">
      <formula>#REF!=2</formula>
    </cfRule>
    <cfRule type="expression" dxfId="1085" priority="8202" stopIfTrue="1">
      <formula>#REF!=1</formula>
    </cfRule>
  </conditionalFormatting>
  <conditionalFormatting sqref="B25">
    <cfRule type="expression" dxfId="1084" priority="2544" stopIfTrue="1">
      <formula>#REF!=3</formula>
    </cfRule>
    <cfRule type="expression" dxfId="1083" priority="2542" stopIfTrue="1">
      <formula>#REF!=1</formula>
    </cfRule>
    <cfRule type="expression" dxfId="1082" priority="2543" stopIfTrue="1">
      <formula>#REF!=2</formula>
    </cfRule>
  </conditionalFormatting>
  <conditionalFormatting sqref="B27:B28 D22:D24 D29:D31">
    <cfRule type="expression" dxfId="1081" priority="6118" stopIfTrue="1">
      <formula>#REF!=3</formula>
    </cfRule>
  </conditionalFormatting>
  <conditionalFormatting sqref="B27:B28">
    <cfRule type="expression" dxfId="1080" priority="6116" stopIfTrue="1">
      <formula>#REF!=1</formula>
    </cfRule>
    <cfRule type="expression" dxfId="1079" priority="6117" stopIfTrue="1">
      <formula>#REF!=2</formula>
    </cfRule>
  </conditionalFormatting>
  <conditionalFormatting sqref="B28">
    <cfRule type="expression" dxfId="1078" priority="2319" stopIfTrue="1">
      <formula>#REF!=1</formula>
    </cfRule>
    <cfRule type="expression" dxfId="1077" priority="2320" stopIfTrue="1">
      <formula>#REF!=2</formula>
    </cfRule>
    <cfRule type="expression" dxfId="1076" priority="2321" stopIfTrue="1">
      <formula>#REF!=3</formula>
    </cfRule>
  </conditionalFormatting>
  <conditionalFormatting sqref="B32">
    <cfRule type="expression" dxfId="1075" priority="2309" stopIfTrue="1">
      <formula>#REF!=3</formula>
    </cfRule>
    <cfRule type="expression" dxfId="1074" priority="2308" stopIfTrue="1">
      <formula>#REF!=2</formula>
    </cfRule>
    <cfRule type="expression" dxfId="1073" priority="2307" stopIfTrue="1">
      <formula>#REF!=1</formula>
    </cfRule>
    <cfRule type="expression" dxfId="1072" priority="2316" stopIfTrue="1">
      <formula>#REF!=1</formula>
    </cfRule>
    <cfRule type="expression" dxfId="1071" priority="2317" stopIfTrue="1">
      <formula>#REF!=2</formula>
    </cfRule>
    <cfRule type="expression" dxfId="1070" priority="2318" stopIfTrue="1">
      <formula>#REF!=3</formula>
    </cfRule>
  </conditionalFormatting>
  <conditionalFormatting sqref="B41">
    <cfRule type="expression" dxfId="1069" priority="2823" stopIfTrue="1">
      <formula>#REF!=3</formula>
    </cfRule>
    <cfRule type="expression" dxfId="1068" priority="2821" stopIfTrue="1">
      <formula>#REF!=1</formula>
    </cfRule>
    <cfRule type="expression" dxfId="1067" priority="2822" stopIfTrue="1">
      <formula>#REF!=2</formula>
    </cfRule>
  </conditionalFormatting>
  <conditionalFormatting sqref="B62">
    <cfRule type="expression" dxfId="1066" priority="267" stopIfTrue="1">
      <formula>#REF!=2</formula>
    </cfRule>
    <cfRule type="expression" dxfId="1065" priority="275" stopIfTrue="1">
      <formula>#REF!=1</formula>
    </cfRule>
    <cfRule type="expression" dxfId="1064" priority="276" stopIfTrue="1">
      <formula>#REF!=2</formula>
    </cfRule>
    <cfRule type="expression" dxfId="1063" priority="277" stopIfTrue="1">
      <formula>#REF!=3</formula>
    </cfRule>
    <cfRule type="expression" dxfId="1062" priority="268" stopIfTrue="1">
      <formula>#REF!=3</formula>
    </cfRule>
    <cfRule type="expression" dxfId="1061" priority="266" stopIfTrue="1">
      <formula>#REF!=1</formula>
    </cfRule>
  </conditionalFormatting>
  <conditionalFormatting sqref="B65">
    <cfRule type="expression" dxfId="1060" priority="237" stopIfTrue="1">
      <formula>#REF!=3</formula>
    </cfRule>
    <cfRule type="expression" dxfId="1059" priority="227" stopIfTrue="1">
      <formula>#REF!=2</formula>
    </cfRule>
    <cfRule type="expression" dxfId="1058" priority="236" stopIfTrue="1">
      <formula>#REF!=2</formula>
    </cfRule>
    <cfRule type="expression" dxfId="1057" priority="228" stopIfTrue="1">
      <formula>#REF!=3</formula>
    </cfRule>
    <cfRule type="expression" dxfId="1056" priority="226" stopIfTrue="1">
      <formula>#REF!=1</formula>
    </cfRule>
    <cfRule type="expression" dxfId="1055" priority="235" stopIfTrue="1">
      <formula>#REF!=1</formula>
    </cfRule>
  </conditionalFormatting>
  <conditionalFormatting sqref="B83:B94">
    <cfRule type="expression" dxfId="1054" priority="19971" stopIfTrue="1">
      <formula>#REF!=1</formula>
    </cfRule>
    <cfRule type="expression" dxfId="1053" priority="19972" stopIfTrue="1">
      <formula>#REF!=2</formula>
    </cfRule>
    <cfRule type="expression" dxfId="1052" priority="19973" stopIfTrue="1">
      <formula>#REF!=3</formula>
    </cfRule>
  </conditionalFormatting>
  <conditionalFormatting sqref="B96:B107">
    <cfRule type="expression" dxfId="1051" priority="19951" stopIfTrue="1">
      <formula>#REF!=2</formula>
    </cfRule>
    <cfRule type="expression" dxfId="1050" priority="19952" stopIfTrue="1">
      <formula>#REF!=3</formula>
    </cfRule>
    <cfRule type="expression" dxfId="1049" priority="19950" stopIfTrue="1">
      <formula>#REF!=1</formula>
    </cfRule>
  </conditionalFormatting>
  <conditionalFormatting sqref="B109:B120">
    <cfRule type="expression" dxfId="1048" priority="19929" stopIfTrue="1">
      <formula>#REF!=1</formula>
    </cfRule>
    <cfRule type="expression" dxfId="1047" priority="19931" stopIfTrue="1">
      <formula>#REF!=3</formula>
    </cfRule>
    <cfRule type="expression" dxfId="1046" priority="19930" stopIfTrue="1">
      <formula>#REF!=2</formula>
    </cfRule>
  </conditionalFormatting>
  <conditionalFormatting sqref="B122:B133">
    <cfRule type="expression" dxfId="1045" priority="19909" stopIfTrue="1">
      <formula>#REF!=2</formula>
    </cfRule>
    <cfRule type="expression" dxfId="1044" priority="19908" stopIfTrue="1">
      <formula>#REF!=1</formula>
    </cfRule>
    <cfRule type="expression" dxfId="1043" priority="19910" stopIfTrue="1">
      <formula>#REF!=3</formula>
    </cfRule>
  </conditionalFormatting>
  <conditionalFormatting sqref="B134:B135 H134:J135">
    <cfRule type="expression" dxfId="1042" priority="20549" stopIfTrue="1">
      <formula>#REF!=3</formula>
    </cfRule>
  </conditionalFormatting>
  <conditionalFormatting sqref="B177 H177:J177">
    <cfRule type="expression" dxfId="1041" priority="20417" stopIfTrue="1">
      <formula>#REF!=3</formula>
    </cfRule>
  </conditionalFormatting>
  <conditionalFormatting sqref="B346 H346:J346">
    <cfRule type="expression" dxfId="1040" priority="20411" stopIfTrue="1">
      <formula>#REF!=3</formula>
    </cfRule>
  </conditionalFormatting>
  <conditionalFormatting sqref="B360:B706">
    <cfRule type="expression" dxfId="1039" priority="19841" stopIfTrue="1">
      <formula>#REF!=3</formula>
    </cfRule>
    <cfRule type="expression" dxfId="1038" priority="19839" stopIfTrue="1">
      <formula>#REF!=1</formula>
    </cfRule>
    <cfRule type="expression" dxfId="1037" priority="19840" stopIfTrue="1">
      <formula>#REF!=2</formula>
    </cfRule>
  </conditionalFormatting>
  <conditionalFormatting sqref="B57:C57">
    <cfRule type="expression" dxfId="1036" priority="5299" stopIfTrue="1">
      <formula>#REF!=1</formula>
    </cfRule>
    <cfRule type="expression" dxfId="1035" priority="5301" stopIfTrue="1">
      <formula>#REF!=3</formula>
    </cfRule>
    <cfRule type="expression" dxfId="1034" priority="5300" stopIfTrue="1">
      <formula>#REF!=2</formula>
    </cfRule>
  </conditionalFormatting>
  <conditionalFormatting sqref="B95:C95 B108:C108 B121:C121 B138:C139 B286:D286 B318:D318">
    <cfRule type="expression" dxfId="1033" priority="20858" stopIfTrue="1">
      <formula>#REF!=3</formula>
    </cfRule>
    <cfRule type="expression" dxfId="1032" priority="20857" stopIfTrue="1">
      <formula>#REF!=2</formula>
    </cfRule>
    <cfRule type="expression" dxfId="1031" priority="20856" stopIfTrue="1">
      <formula>#REF!=1</formula>
    </cfRule>
  </conditionalFormatting>
  <conditionalFormatting sqref="B55:D55">
    <cfRule type="expression" dxfId="1030" priority="19512" stopIfTrue="1">
      <formula>#REF!=3</formula>
    </cfRule>
    <cfRule type="expression" dxfId="1029" priority="19510" stopIfTrue="1">
      <formula>#REF!=1</formula>
    </cfRule>
    <cfRule type="expression" dxfId="1028" priority="19511" stopIfTrue="1">
      <formula>#REF!=2</formula>
    </cfRule>
  </conditionalFormatting>
  <conditionalFormatting sqref="B60:D60">
    <cfRule type="expression" dxfId="1027" priority="5053" stopIfTrue="1">
      <formula>#REF!=1</formula>
    </cfRule>
    <cfRule type="expression" dxfId="1026" priority="5054" stopIfTrue="1">
      <formula>#REF!=2</formula>
    </cfRule>
    <cfRule type="expression" dxfId="1025" priority="5055" stopIfTrue="1">
      <formula>#REF!=3</formula>
    </cfRule>
  </conditionalFormatting>
  <conditionalFormatting sqref="B82:D82">
    <cfRule type="expression" dxfId="1024" priority="19982" stopIfTrue="1">
      <formula>#REF!=3</formula>
    </cfRule>
    <cfRule type="expression" dxfId="1023" priority="19981" stopIfTrue="1">
      <formula>#REF!=2</formula>
    </cfRule>
    <cfRule type="expression" dxfId="1022" priority="19980" stopIfTrue="1">
      <formula>#REF!=1</formula>
    </cfRule>
  </conditionalFormatting>
  <conditionalFormatting sqref="B134:D135 H134:J135">
    <cfRule type="expression" dxfId="1021" priority="20548" stopIfTrue="1">
      <formula>#REF!=2</formula>
    </cfRule>
    <cfRule type="expression" dxfId="1020" priority="20547" stopIfTrue="1">
      <formula>#REF!=1</formula>
    </cfRule>
  </conditionalFormatting>
  <conditionalFormatting sqref="B157:D157">
    <cfRule type="expression" dxfId="1019" priority="20484" stopIfTrue="1">
      <formula>#REF!=1</formula>
    </cfRule>
    <cfRule type="expression" dxfId="1018" priority="20485" stopIfTrue="1">
      <formula>#REF!=2</formula>
    </cfRule>
    <cfRule type="expression" dxfId="1017" priority="20486" stopIfTrue="1">
      <formula>#REF!=3</formula>
    </cfRule>
  </conditionalFormatting>
  <conditionalFormatting sqref="B177:D177 H177:J177">
    <cfRule type="expression" dxfId="1016" priority="20416" stopIfTrue="1">
      <formula>#REF!=2</formula>
    </cfRule>
    <cfRule type="expression" dxfId="1015" priority="20415" stopIfTrue="1">
      <formula>#REF!=1</formula>
    </cfRule>
  </conditionalFormatting>
  <conditionalFormatting sqref="B346:D346 H346:J346">
    <cfRule type="expression" dxfId="1014" priority="20409" stopIfTrue="1">
      <formula>#REF!=1</formula>
    </cfRule>
    <cfRule type="expression" dxfId="1013" priority="20410" stopIfTrue="1">
      <formula>#REF!=2</formula>
    </cfRule>
  </conditionalFormatting>
  <conditionalFormatting sqref="C41:D44">
    <cfRule type="expression" dxfId="1012" priority="2829" stopIfTrue="1">
      <formula>#REF!=3</formula>
    </cfRule>
    <cfRule type="expression" dxfId="1011" priority="2828" stopIfTrue="1">
      <formula>#REF!=2</formula>
    </cfRule>
    <cfRule type="expression" dxfId="1010" priority="2827" stopIfTrue="1">
      <formula>#REF!=1</formula>
    </cfRule>
  </conditionalFormatting>
  <conditionalFormatting sqref="C134:D135">
    <cfRule type="expression" dxfId="1009" priority="20552" stopIfTrue="1">
      <formula>#REF!=3</formula>
    </cfRule>
  </conditionalFormatting>
  <conditionalFormatting sqref="C177:D177">
    <cfRule type="expression" dxfId="1008" priority="20420" stopIfTrue="1">
      <formula>#REF!=3</formula>
    </cfRule>
  </conditionalFormatting>
  <conditionalFormatting sqref="C346:D346">
    <cfRule type="expression" dxfId="1007" priority="20414" stopIfTrue="1">
      <formula>#REF!=3</formula>
    </cfRule>
  </conditionalFormatting>
  <conditionalFormatting sqref="D4">
    <cfRule type="expression" dxfId="1006" priority="17466" stopIfTrue="1">
      <formula>#REF!=3</formula>
    </cfRule>
  </conditionalFormatting>
  <conditionalFormatting sqref="D4:D22">
    <cfRule type="expression" dxfId="1005" priority="346" stopIfTrue="1">
      <formula>#REF!=2</formula>
    </cfRule>
    <cfRule type="expression" dxfId="1004" priority="345" stopIfTrue="1">
      <formula>#REF!=1</formula>
    </cfRule>
  </conditionalFormatting>
  <conditionalFormatting sqref="D5">
    <cfRule type="expression" dxfId="1003" priority="8604" stopIfTrue="1">
      <formula>#REF!=3</formula>
    </cfRule>
  </conditionalFormatting>
  <conditionalFormatting sqref="D6:D13">
    <cfRule type="expression" dxfId="1002" priority="347" stopIfTrue="1">
      <formula>#REF!=3</formula>
    </cfRule>
  </conditionalFormatting>
  <conditionalFormatting sqref="D14">
    <cfRule type="expression" dxfId="1001" priority="8598" stopIfTrue="1">
      <formula>#REF!=3</formula>
    </cfRule>
  </conditionalFormatting>
  <conditionalFormatting sqref="D15:D16">
    <cfRule type="expression" dxfId="1000" priority="6459" stopIfTrue="1">
      <formula>#REF!=3</formula>
    </cfRule>
  </conditionalFormatting>
  <conditionalFormatting sqref="D18:D22">
    <cfRule type="expression" dxfId="999" priority="1746" stopIfTrue="1">
      <formula>#REF!=3</formula>
    </cfRule>
  </conditionalFormatting>
  <conditionalFormatting sqref="D22:D31">
    <cfRule type="expression" dxfId="998" priority="2539" stopIfTrue="1">
      <formula>#REF!=1</formula>
    </cfRule>
    <cfRule type="expression" dxfId="997" priority="2540" stopIfTrue="1">
      <formula>#REF!=2</formula>
    </cfRule>
  </conditionalFormatting>
  <conditionalFormatting sqref="D25">
    <cfRule type="expression" dxfId="996" priority="2541" stopIfTrue="1">
      <formula>#REF!=3</formula>
    </cfRule>
  </conditionalFormatting>
  <conditionalFormatting sqref="D26">
    <cfRule type="expression" dxfId="995" priority="2547" stopIfTrue="1">
      <formula>#REF!=3</formula>
    </cfRule>
  </conditionalFormatting>
  <conditionalFormatting sqref="D27:D28">
    <cfRule type="expression" dxfId="994" priority="6115" stopIfTrue="1">
      <formula>#REF!=3</formula>
    </cfRule>
  </conditionalFormatting>
  <conditionalFormatting sqref="D28">
    <cfRule type="expression" dxfId="993" priority="2324" stopIfTrue="1">
      <formula>#REF!=3</formula>
    </cfRule>
    <cfRule type="expression" dxfId="992" priority="2322" stopIfTrue="1">
      <formula>#REF!=1</formula>
    </cfRule>
    <cfRule type="expression" dxfId="991" priority="2323" stopIfTrue="1">
      <formula>#REF!=2</formula>
    </cfRule>
  </conditionalFormatting>
  <conditionalFormatting sqref="D32">
    <cfRule type="expression" dxfId="990" priority="2315" stopIfTrue="1">
      <formula>#REF!=3</formula>
    </cfRule>
    <cfRule type="expression" dxfId="989" priority="2310" stopIfTrue="1">
      <formula>#REF!=1</formula>
    </cfRule>
    <cfRule type="expression" dxfId="988" priority="2312" stopIfTrue="1">
      <formula>#REF!=3</formula>
    </cfRule>
    <cfRule type="expression" dxfId="987" priority="2311" stopIfTrue="1">
      <formula>#REF!=2</formula>
    </cfRule>
  </conditionalFormatting>
  <conditionalFormatting sqref="D32:D34">
    <cfRule type="expression" dxfId="986" priority="2314" stopIfTrue="1">
      <formula>#REF!=2</formula>
    </cfRule>
    <cfRule type="expression" dxfId="985" priority="2313" stopIfTrue="1">
      <formula>#REF!=1</formula>
    </cfRule>
  </conditionalFormatting>
  <conditionalFormatting sqref="D33:D34">
    <cfRule type="expression" dxfId="984" priority="2327" stopIfTrue="1">
      <formula>#REF!=3</formula>
    </cfRule>
  </conditionalFormatting>
  <conditionalFormatting sqref="D35:D36 B335:D335 H335:J335">
    <cfRule type="expression" dxfId="983" priority="20879" stopIfTrue="1">
      <formula>#REF!=3</formula>
    </cfRule>
    <cfRule type="expression" dxfId="982" priority="20878" stopIfTrue="1">
      <formula>#REF!=2</formula>
    </cfRule>
    <cfRule type="expression" dxfId="981" priority="20877" stopIfTrue="1">
      <formula>#REF!=1</formula>
    </cfRule>
  </conditionalFormatting>
  <conditionalFormatting sqref="D35:D37">
    <cfRule type="expression" dxfId="980" priority="2367" stopIfTrue="1">
      <formula>#REF!=2</formula>
    </cfRule>
    <cfRule type="expression" dxfId="979" priority="2366" stopIfTrue="1">
      <formula>#REF!=1</formula>
    </cfRule>
    <cfRule type="expression" dxfId="978" priority="2368" stopIfTrue="1">
      <formula>#REF!=3</formula>
    </cfRule>
  </conditionalFormatting>
  <conditionalFormatting sqref="D37">
    <cfRule type="expression" dxfId="977" priority="2365" stopIfTrue="1">
      <formula>#REF!=3</formula>
    </cfRule>
    <cfRule type="expression" dxfId="976" priority="2364" stopIfTrue="1">
      <formula>#REF!=2</formula>
    </cfRule>
    <cfRule type="expression" dxfId="975" priority="2363" stopIfTrue="1">
      <formula>#REF!=1</formula>
    </cfRule>
  </conditionalFormatting>
  <conditionalFormatting sqref="D37:D40">
    <cfRule type="expression" dxfId="974" priority="2359" stopIfTrue="1">
      <formula>#REF!=3</formula>
    </cfRule>
    <cfRule type="expression" dxfId="973" priority="2354" stopIfTrue="1">
      <formula>#REF!=1</formula>
    </cfRule>
    <cfRule type="expression" dxfId="972" priority="2355" stopIfTrue="1">
      <formula>#REF!=2</formula>
    </cfRule>
  </conditionalFormatting>
  <conditionalFormatting sqref="D38:D40">
    <cfRule type="expression" dxfId="971" priority="2356" stopIfTrue="1">
      <formula>#REF!=3</formula>
    </cfRule>
    <cfRule type="expression" dxfId="970" priority="2351" stopIfTrue="1">
      <formula>#REF!=1</formula>
    </cfRule>
    <cfRule type="expression" dxfId="969" priority="2358" stopIfTrue="1">
      <formula>#REF!=2</formula>
    </cfRule>
    <cfRule type="expression" dxfId="968" priority="2357" stopIfTrue="1">
      <formula>#REF!=1</formula>
    </cfRule>
    <cfRule type="expression" dxfId="967" priority="2352" stopIfTrue="1">
      <formula>#REF!=2</formula>
    </cfRule>
    <cfRule type="expression" dxfId="966" priority="2353" stopIfTrue="1">
      <formula>#REF!=3</formula>
    </cfRule>
  </conditionalFormatting>
  <conditionalFormatting sqref="D42:D54">
    <cfRule type="expression" dxfId="965" priority="340" stopIfTrue="1">
      <formula>#REF!=2</formula>
    </cfRule>
    <cfRule type="expression" dxfId="964" priority="339" stopIfTrue="1">
      <formula>#REF!=1</formula>
    </cfRule>
    <cfRule type="expression" dxfId="963" priority="341" stopIfTrue="1">
      <formula>#REF!=3</formula>
    </cfRule>
  </conditionalFormatting>
  <conditionalFormatting sqref="D56:D59">
    <cfRule type="expression" dxfId="962" priority="296" stopIfTrue="1">
      <formula>#REF!=1</formula>
    </cfRule>
    <cfRule type="expression" dxfId="961" priority="297" stopIfTrue="1">
      <formula>#REF!=2</formula>
    </cfRule>
    <cfRule type="expression" dxfId="960" priority="298" stopIfTrue="1">
      <formula>#REF!=3</formula>
    </cfRule>
  </conditionalFormatting>
  <conditionalFormatting sqref="D61">
    <cfRule type="expression" dxfId="959" priority="282" stopIfTrue="1">
      <formula>#REF!=3</formula>
    </cfRule>
  </conditionalFormatting>
  <conditionalFormatting sqref="D61:D63">
    <cfRule type="expression" dxfId="958" priority="273" stopIfTrue="1">
      <formula>#REF!=2</formula>
    </cfRule>
    <cfRule type="expression" dxfId="957" priority="272" stopIfTrue="1">
      <formula>#REF!=1</formula>
    </cfRule>
  </conditionalFormatting>
  <conditionalFormatting sqref="D62">
    <cfRule type="expression" dxfId="956" priority="274" stopIfTrue="1">
      <formula>#REF!=3</formula>
    </cfRule>
    <cfRule type="expression" dxfId="955" priority="269" stopIfTrue="1">
      <formula>#REF!=1</formula>
    </cfRule>
    <cfRule type="expression" dxfId="954" priority="270" stopIfTrue="1">
      <formula>#REF!=2</formula>
    </cfRule>
    <cfRule type="expression" dxfId="953" priority="271" stopIfTrue="1">
      <formula>#REF!=3</formula>
    </cfRule>
  </conditionalFormatting>
  <conditionalFormatting sqref="D63 D70:D74">
    <cfRule type="expression" dxfId="952" priority="1233" stopIfTrue="1">
      <formula>#REF!=3</formula>
    </cfRule>
  </conditionalFormatting>
  <conditionalFormatting sqref="D64:D65">
    <cfRule type="expression" dxfId="951" priority="212" stopIfTrue="1">
      <formula>#REF!=2</formula>
    </cfRule>
    <cfRule type="expression" dxfId="950" priority="213" stopIfTrue="1">
      <formula>#REF!=3</formula>
    </cfRule>
    <cfRule type="expression" dxfId="949" priority="211" stopIfTrue="1">
      <formula>#REF!=1</formula>
    </cfRule>
  </conditionalFormatting>
  <conditionalFormatting sqref="D65">
    <cfRule type="expression" dxfId="948" priority="234" stopIfTrue="1">
      <formula>#REF!=3</formula>
    </cfRule>
  </conditionalFormatting>
  <conditionalFormatting sqref="D65:D67">
    <cfRule type="expression" dxfId="947" priority="233" stopIfTrue="1">
      <formula>#REF!=2</formula>
    </cfRule>
    <cfRule type="expression" dxfId="946" priority="232" stopIfTrue="1">
      <formula>#REF!=1</formula>
    </cfRule>
  </conditionalFormatting>
  <conditionalFormatting sqref="D66:D67">
    <cfRule type="expression" dxfId="945" priority="265" stopIfTrue="1">
      <formula>#REF!=3</formula>
    </cfRule>
  </conditionalFormatting>
  <conditionalFormatting sqref="D69 D75:D76">
    <cfRule type="expression" dxfId="944" priority="20570" stopIfTrue="1">
      <formula>#REF!=3</formula>
    </cfRule>
  </conditionalFormatting>
  <conditionalFormatting sqref="D69:D76">
    <cfRule type="expression" dxfId="943" priority="17465" stopIfTrue="1">
      <formula>#REF!=2</formula>
    </cfRule>
    <cfRule type="expression" dxfId="942" priority="17464" stopIfTrue="1">
      <formula>#REF!=1</formula>
    </cfRule>
  </conditionalFormatting>
  <conditionalFormatting sqref="D77:D79">
    <cfRule type="expression" dxfId="941" priority="2369" stopIfTrue="1">
      <formula>#REF!=1</formula>
    </cfRule>
    <cfRule type="expression" dxfId="940" priority="2370" stopIfTrue="1">
      <formula>#REF!=2</formula>
    </cfRule>
    <cfRule type="expression" dxfId="939" priority="2371" stopIfTrue="1">
      <formula>#REF!=3</formula>
    </cfRule>
  </conditionalFormatting>
  <conditionalFormatting sqref="D81">
    <cfRule type="expression" dxfId="938" priority="2404" stopIfTrue="1">
      <formula>#REF!=1</formula>
    </cfRule>
    <cfRule type="expression" dxfId="937" priority="2405" stopIfTrue="1">
      <formula>#REF!=2</formula>
    </cfRule>
    <cfRule type="expression" dxfId="936" priority="2406" stopIfTrue="1">
      <formula>#REF!=3</formula>
    </cfRule>
  </conditionalFormatting>
  <conditionalFormatting sqref="D83">
    <cfRule type="expression" dxfId="935" priority="19979" stopIfTrue="1">
      <formula>#REF!=3</formula>
    </cfRule>
  </conditionalFormatting>
  <conditionalFormatting sqref="D83:D133">
    <cfRule type="expression" dxfId="934" priority="19903" stopIfTrue="1">
      <formula>#REF!=2</formula>
    </cfRule>
    <cfRule type="expression" dxfId="933" priority="19902" stopIfTrue="1">
      <formula>#REF!=1</formula>
    </cfRule>
  </conditionalFormatting>
  <conditionalFormatting sqref="D84:D95">
    <cfRule type="expression" dxfId="932" priority="19961" stopIfTrue="1">
      <formula>#REF!=3</formula>
    </cfRule>
  </conditionalFormatting>
  <conditionalFormatting sqref="D96">
    <cfRule type="expression" dxfId="931" priority="19958" stopIfTrue="1">
      <formula>#REF!=3</formula>
    </cfRule>
  </conditionalFormatting>
  <conditionalFormatting sqref="D97:D108">
    <cfRule type="expression" dxfId="930" priority="19940" stopIfTrue="1">
      <formula>#REF!=3</formula>
    </cfRule>
  </conditionalFormatting>
  <conditionalFormatting sqref="D109">
    <cfRule type="expression" dxfId="929" priority="19937" stopIfTrue="1">
      <formula>#REF!=3</formula>
    </cfRule>
  </conditionalFormatting>
  <conditionalFormatting sqref="D110:D121">
    <cfRule type="expression" dxfId="928" priority="19919" stopIfTrue="1">
      <formula>#REF!=3</formula>
    </cfRule>
  </conditionalFormatting>
  <conditionalFormatting sqref="D122">
    <cfRule type="expression" dxfId="927" priority="19916" stopIfTrue="1">
      <formula>#REF!=3</formula>
    </cfRule>
  </conditionalFormatting>
  <conditionalFormatting sqref="D123:D133">
    <cfRule type="expression" dxfId="926" priority="19904" stopIfTrue="1">
      <formula>#REF!=3</formula>
    </cfRule>
  </conditionalFormatting>
  <conditionalFormatting sqref="D138">
    <cfRule type="expression" dxfId="925" priority="20525" stopIfTrue="1">
      <formula>#REF!=3</formula>
    </cfRule>
    <cfRule type="expression" dxfId="924" priority="20524" stopIfTrue="1">
      <formula>#REF!=2</formula>
    </cfRule>
    <cfRule type="expression" dxfId="923" priority="20523" stopIfTrue="1">
      <formula>#REF!=1</formula>
    </cfRule>
  </conditionalFormatting>
  <conditionalFormatting sqref="D144">
    <cfRule type="expression" dxfId="922" priority="20508" stopIfTrue="1">
      <formula>#REF!=1</formula>
    </cfRule>
    <cfRule type="expression" dxfId="921" priority="20509" stopIfTrue="1">
      <formula>#REF!=2</formula>
    </cfRule>
    <cfRule type="expression" dxfId="920" priority="20510" stopIfTrue="1">
      <formula>#REF!=3</formula>
    </cfRule>
  </conditionalFormatting>
  <conditionalFormatting sqref="D146">
    <cfRule type="expression" dxfId="919" priority="20502" stopIfTrue="1">
      <formula>#REF!=1</formula>
    </cfRule>
    <cfRule type="expression" dxfId="918" priority="20504" stopIfTrue="1">
      <formula>#REF!=3</formula>
    </cfRule>
    <cfRule type="expression" dxfId="917" priority="20503" stopIfTrue="1">
      <formula>#REF!=2</formula>
    </cfRule>
  </conditionalFormatting>
  <conditionalFormatting sqref="D161">
    <cfRule type="expression" dxfId="916" priority="20435" stopIfTrue="1">
      <formula>#REF!=3</formula>
    </cfRule>
    <cfRule type="expression" dxfId="915" priority="20433" stopIfTrue="1">
      <formula>#REF!=1</formula>
    </cfRule>
    <cfRule type="expression" dxfId="914" priority="20434" stopIfTrue="1">
      <formula>#REF!=2</formula>
    </cfRule>
  </conditionalFormatting>
  <conditionalFormatting sqref="D163">
    <cfRule type="expression" dxfId="913" priority="20432" stopIfTrue="1">
      <formula>#REF!=3</formula>
    </cfRule>
    <cfRule type="expression" dxfId="912" priority="20431" stopIfTrue="1">
      <formula>#REF!=2</formula>
    </cfRule>
    <cfRule type="expression" dxfId="911" priority="20430" stopIfTrue="1">
      <formula>#REF!=1</formula>
    </cfRule>
  </conditionalFormatting>
  <conditionalFormatting sqref="D165">
    <cfRule type="expression" dxfId="910" priority="20429" stopIfTrue="1">
      <formula>#REF!=3</formula>
    </cfRule>
    <cfRule type="expression" dxfId="909" priority="20427" stopIfTrue="1">
      <formula>#REF!=1</formula>
    </cfRule>
    <cfRule type="expression" dxfId="908" priority="20428" stopIfTrue="1">
      <formula>#REF!=2</formula>
    </cfRule>
  </conditionalFormatting>
  <conditionalFormatting sqref="D360:D706">
    <cfRule type="expression" dxfId="907" priority="19836" stopIfTrue="1">
      <formula>#REF!=1</formula>
    </cfRule>
    <cfRule type="expression" dxfId="906" priority="19838" stopIfTrue="1">
      <formula>#REF!=3</formula>
    </cfRule>
    <cfRule type="expression" dxfId="905" priority="19837" stopIfTrue="1">
      <formula>#REF!=2</formula>
    </cfRule>
  </conditionalFormatting>
  <conditionalFormatting sqref="H95:J95">
    <cfRule type="expression" dxfId="904" priority="19963" stopIfTrue="1">
      <formula>#REF!=2</formula>
    </cfRule>
    <cfRule type="expression" dxfId="903" priority="19962" stopIfTrue="1">
      <formula>#REF!=1</formula>
    </cfRule>
    <cfRule type="expression" dxfId="902" priority="19964" stopIfTrue="1">
      <formula>#REF!=3</formula>
    </cfRule>
  </conditionalFormatting>
  <conditionalFormatting sqref="H108:J108">
    <cfRule type="expression" dxfId="901" priority="19941" stopIfTrue="1">
      <formula>#REF!=1</formula>
    </cfRule>
    <cfRule type="expression" dxfId="900" priority="19942" stopIfTrue="1">
      <formula>#REF!=2</formula>
    </cfRule>
    <cfRule type="expression" dxfId="899" priority="19943" stopIfTrue="1">
      <formula>#REF!=3</formula>
    </cfRule>
  </conditionalFormatting>
  <conditionalFormatting sqref="H121:J121">
    <cfRule type="expression" dxfId="898" priority="19920" stopIfTrue="1">
      <formula>#REF!=1</formula>
    </cfRule>
    <cfRule type="expression" dxfId="897" priority="19922" stopIfTrue="1">
      <formula>#REF!=3</formula>
    </cfRule>
    <cfRule type="expression" dxfId="896" priority="19921" stopIfTrue="1">
      <formula>#REF!=2</formula>
    </cfRule>
  </conditionalFormatting>
  <conditionalFormatting sqref="H286:J286 H318:J318 D17">
    <cfRule type="expression" dxfId="895" priority="20915" stopIfTrue="1">
      <formula>#REF!=3</formula>
    </cfRule>
  </conditionalFormatting>
  <conditionalFormatting sqref="H286:J286 H318:J318">
    <cfRule type="expression" dxfId="894" priority="20913" stopIfTrue="1">
      <formula>#REF!=1</formula>
    </cfRule>
    <cfRule type="expression" dxfId="893" priority="20914" stopIfTrue="1">
      <formula>#REF!=2</formula>
    </cfRule>
  </conditionalFormatting>
  <conditionalFormatting sqref="H41:O44">
    <cfRule type="expression" dxfId="892" priority="2760" stopIfTrue="1">
      <formula>#REF!=1</formula>
    </cfRule>
    <cfRule type="expression" dxfId="891" priority="2761" stopIfTrue="1">
      <formula>#REF!=2</formula>
    </cfRule>
    <cfRule type="expression" dxfId="890" priority="2762" stopIfTrue="1">
      <formula>#REF!=3</formula>
    </cfRule>
  </conditionalFormatting>
  <conditionalFormatting sqref="H55:O55">
    <cfRule type="expression" dxfId="889" priority="15893" stopIfTrue="1">
      <formula>#REF!=3</formula>
    </cfRule>
    <cfRule type="expression" dxfId="888" priority="15892" stopIfTrue="1">
      <formula>#REF!=2</formula>
    </cfRule>
    <cfRule type="expression" dxfId="887" priority="15891" stopIfTrue="1">
      <formula>#REF!=1</formula>
    </cfRule>
  </conditionalFormatting>
  <conditionalFormatting sqref="H57:O57">
    <cfRule type="expression" dxfId="886" priority="5292" stopIfTrue="1">
      <formula>#REF!=3</formula>
    </cfRule>
    <cfRule type="expression" dxfId="885" priority="5290" stopIfTrue="1">
      <formula>#REF!=1</formula>
    </cfRule>
    <cfRule type="expression" dxfId="884" priority="5291" stopIfTrue="1">
      <formula>#REF!=2</formula>
    </cfRule>
  </conditionalFormatting>
  <conditionalFormatting sqref="H60:O60">
    <cfRule type="expression" dxfId="883" priority="5056" stopIfTrue="1">
      <formula>#REF!=1</formula>
    </cfRule>
    <cfRule type="expression" dxfId="882" priority="5057" stopIfTrue="1">
      <formula>#REF!=2</formula>
    </cfRule>
    <cfRule type="expression" dxfId="881" priority="5058" stopIfTrue="1">
      <formula>#REF!=3</formula>
    </cfRule>
  </conditionalFormatting>
  <conditionalFormatting sqref="H68:O76 C70:D76 B5 B68:D69 B70:B81">
    <cfRule type="expression" dxfId="880" priority="8605" stopIfTrue="1">
      <formula>#REF!=1</formula>
    </cfRule>
  </conditionalFormatting>
  <conditionalFormatting sqref="H82:O82">
    <cfRule type="expression" dxfId="879" priority="19983" stopIfTrue="1">
      <formula>#REF!=1</formula>
    </cfRule>
    <cfRule type="expression" dxfId="878" priority="19984" stopIfTrue="1">
      <formula>#REF!=2</formula>
    </cfRule>
    <cfRule type="expression" dxfId="877" priority="19985" stopIfTrue="1">
      <formula>#REF!=3</formula>
    </cfRule>
  </conditionalFormatting>
  <conditionalFormatting sqref="K7 K18:K21 K31 K37 O74">
    <cfRule type="expression" dxfId="876" priority="3247" stopIfTrue="1">
      <formula>$K7="failed"</formula>
    </cfRule>
  </conditionalFormatting>
  <conditionalFormatting sqref="K7 K18:K21 O74 K31 K37">
    <cfRule type="expression" dxfId="875" priority="3246" stopIfTrue="1">
      <formula>$K7="OK"</formula>
    </cfRule>
  </conditionalFormatting>
  <conditionalFormatting sqref="K7 K18:K21 O74:O75">
    <cfRule type="expression" dxfId="874" priority="3244">
      <formula>$K7="permissible deviation"</formula>
    </cfRule>
    <cfRule type="expression" dxfId="873" priority="3245" stopIfTrue="1">
      <formula>$H7=""</formula>
    </cfRule>
    <cfRule type="expression" dxfId="872" priority="3243">
      <formula>$K7="not testable"</formula>
    </cfRule>
  </conditionalFormatting>
  <conditionalFormatting sqref="K9:K11">
    <cfRule type="expression" dxfId="871" priority="536">
      <formula>$K9="not testable"</formula>
    </cfRule>
    <cfRule type="expression" dxfId="870" priority="537">
      <formula>$K9="permissible deviation"</formula>
    </cfRule>
    <cfRule type="expression" dxfId="869" priority="539" stopIfTrue="1">
      <formula>$K9="OK"</formula>
    </cfRule>
    <cfRule type="expression" dxfId="868" priority="540" stopIfTrue="1">
      <formula>$K9="failed"</formula>
    </cfRule>
    <cfRule type="expression" dxfId="867" priority="538" stopIfTrue="1">
      <formula>$H9=""</formula>
    </cfRule>
  </conditionalFormatting>
  <conditionalFormatting sqref="K22 K29 K31">
    <cfRule type="expression" dxfId="866" priority="18">
      <formula>$K22="not testable"</formula>
    </cfRule>
    <cfRule type="expression" dxfId="865" priority="19">
      <formula>$K22="permissible deviation"</formula>
    </cfRule>
  </conditionalFormatting>
  <conditionalFormatting sqref="K22">
    <cfRule type="expression" dxfId="864" priority="6">
      <formula>$K22="not testable"</formula>
    </cfRule>
    <cfRule type="expression" dxfId="863" priority="7">
      <formula>$K22="permissible deviation"</formula>
    </cfRule>
    <cfRule type="expression" dxfId="862" priority="8" stopIfTrue="1">
      <formula>$H22=""</formula>
    </cfRule>
    <cfRule type="expression" dxfId="861" priority="9" stopIfTrue="1">
      <formula>$K22="OK"</formula>
    </cfRule>
    <cfRule type="expression" dxfId="860" priority="10" stopIfTrue="1">
      <formula>$K22="failed"</formula>
    </cfRule>
    <cfRule type="expression" dxfId="859" priority="20">
      <formula>$H22=""</formula>
    </cfRule>
  </conditionalFormatting>
  <conditionalFormatting sqref="K29 K24:O24 K34:K36 M34:O36 K42:O44 K56 M56:O56 K58:O58 K70:L76 M74:N76 K83:O133 K135:O210 K234:O763 L15:O15">
    <cfRule type="expression" dxfId="858" priority="19639">
      <formula>$K15="not testable"</formula>
    </cfRule>
  </conditionalFormatting>
  <conditionalFormatting sqref="K29 L15:O15 K70:L76 K34:K36 K42:K44 K56 M42:O42 K24:O24 K83:O133 K135:O210 K234:O763">
    <cfRule type="expression" dxfId="857" priority="20918">
      <formula>$H15=""</formula>
    </cfRule>
  </conditionalFormatting>
  <conditionalFormatting sqref="K29">
    <cfRule type="expression" dxfId="856" priority="3200" stopIfTrue="1">
      <formula>$K29="failed"</formula>
    </cfRule>
    <cfRule type="expression" dxfId="855" priority="3199" stopIfTrue="1">
      <formula>$K29="OK"</formula>
    </cfRule>
  </conditionalFormatting>
  <conditionalFormatting sqref="K33">
    <cfRule type="expression" dxfId="854" priority="3187">
      <formula>$H33=""</formula>
    </cfRule>
    <cfRule type="expression" dxfId="853" priority="3178" stopIfTrue="1">
      <formula>$K33="OK"</formula>
    </cfRule>
    <cfRule type="expression" dxfId="852" priority="3179" stopIfTrue="1">
      <formula>$K33="failed"</formula>
    </cfRule>
    <cfRule type="expression" dxfId="851" priority="3181">
      <formula>$K33="permissible deviation"</formula>
    </cfRule>
    <cfRule type="expression" dxfId="850" priority="3182" stopIfTrue="1">
      <formula>$H33=""</formula>
    </cfRule>
    <cfRule type="expression" dxfId="849" priority="3180">
      <formula>$K33="not testable"</formula>
    </cfRule>
  </conditionalFormatting>
  <conditionalFormatting sqref="K33:K36">
    <cfRule type="expression" dxfId="848" priority="3186">
      <formula>$K33="permissible deviation"</formula>
    </cfRule>
    <cfRule type="expression" dxfId="847" priority="3183" stopIfTrue="1">
      <formula>$K33="OK"</formula>
    </cfRule>
    <cfRule type="expression" dxfId="846" priority="3185">
      <formula>$K33="not testable"</formula>
    </cfRule>
    <cfRule type="expression" dxfId="845" priority="3184" stopIfTrue="1">
      <formula>$K33="failed"</formula>
    </cfRule>
  </conditionalFormatting>
  <conditionalFormatting sqref="K34:K37 K42:L42 K43:O44 M34:O36 K56 M56:O56 K29 K31 M58:O58 K70:K76 M74:N76">
    <cfRule type="expression" dxfId="844" priority="3198" stopIfTrue="1">
      <formula>$H29=""</formula>
    </cfRule>
  </conditionalFormatting>
  <conditionalFormatting sqref="K37 N22:O22">
    <cfRule type="expression" dxfId="843" priority="2304">
      <formula>$K22="not testable"</formula>
    </cfRule>
  </conditionalFormatting>
  <conditionalFormatting sqref="K37:K40">
    <cfRule type="expression" dxfId="842" priority="2292" stopIfTrue="1">
      <formula>$K37="OK"</formula>
    </cfRule>
    <cfRule type="expression" dxfId="841" priority="2294">
      <formula>$K37="not testable"</formula>
    </cfRule>
    <cfRule type="expression" dxfId="840" priority="2296">
      <formula>$H37=""</formula>
    </cfRule>
    <cfRule type="expression" dxfId="839" priority="2295">
      <formula>$K37="permissible deviation"</formula>
    </cfRule>
    <cfRule type="expression" dxfId="838" priority="2293" stopIfTrue="1">
      <formula>$K37="failed"</formula>
    </cfRule>
  </conditionalFormatting>
  <conditionalFormatting sqref="K38:K40">
    <cfRule type="expression" dxfId="837" priority="2287" stopIfTrue="1">
      <formula>$K38="OK"</formula>
    </cfRule>
    <cfRule type="expression" dxfId="836" priority="2288" stopIfTrue="1">
      <formula>$K38="failed"</formula>
    </cfRule>
    <cfRule type="expression" dxfId="835" priority="2289">
      <formula>$K38="not testable"</formula>
    </cfRule>
    <cfRule type="expression" dxfId="834" priority="2290">
      <formula>$K38="permissible deviation"</formula>
    </cfRule>
    <cfRule type="expression" dxfId="833" priority="2291" stopIfTrue="1">
      <formula>$H38=""</formula>
    </cfRule>
  </conditionalFormatting>
  <conditionalFormatting sqref="K45:K46">
    <cfRule type="expression" dxfId="832" priority="2180" stopIfTrue="1">
      <formula>$K45="failed"</formula>
    </cfRule>
    <cfRule type="expression" dxfId="831" priority="2176" stopIfTrue="1">
      <formula>$H45=""</formula>
    </cfRule>
    <cfRule type="expression" dxfId="830" priority="2177" stopIfTrue="1">
      <formula>$K45="OK"</formula>
    </cfRule>
    <cfRule type="expression" dxfId="829" priority="2178" stopIfTrue="1">
      <formula>$K45="failed"</formula>
    </cfRule>
    <cfRule type="expression" dxfId="828" priority="2179" stopIfTrue="1">
      <formula>$K45="OK"</formula>
    </cfRule>
    <cfRule type="expression" dxfId="827" priority="2181">
      <formula>$K45="not testable"</formula>
    </cfRule>
    <cfRule type="expression" dxfId="826" priority="2182">
      <formula>$K45="permissible deviation"</formula>
    </cfRule>
    <cfRule type="expression" dxfId="825" priority="2186">
      <formula>$K45="not testable"</formula>
    </cfRule>
    <cfRule type="expression" dxfId="824" priority="2187">
      <formula>$K45="permissible deviation"</formula>
    </cfRule>
    <cfRule type="expression" dxfId="823" priority="2188">
      <formula>$H45=""</formula>
    </cfRule>
  </conditionalFormatting>
  <conditionalFormatting sqref="K45:K47">
    <cfRule type="expression" dxfId="822" priority="2183" stopIfTrue="1">
      <formula>$H45=""</formula>
    </cfRule>
    <cfRule type="expression" dxfId="821" priority="2184" stopIfTrue="1">
      <formula>$K45="OK"</formula>
    </cfRule>
    <cfRule type="expression" dxfId="820" priority="2185" stopIfTrue="1">
      <formula>$K45="failed"</formula>
    </cfRule>
  </conditionalFormatting>
  <conditionalFormatting sqref="K47">
    <cfRule type="expression" dxfId="819" priority="2211">
      <formula>$K47="not testable"</formula>
    </cfRule>
    <cfRule type="expression" dxfId="818" priority="2209" stopIfTrue="1">
      <formula>$K47="OK"</formula>
    </cfRule>
    <cfRule type="expression" dxfId="817" priority="2210" stopIfTrue="1">
      <formula>$K47="failed"</formula>
    </cfRule>
    <cfRule type="expression" dxfId="816" priority="2217">
      <formula>$K47="permissible deviation"</formula>
    </cfRule>
    <cfRule type="expression" dxfId="815" priority="2212">
      <formula>$K47="permissible deviation"</formula>
    </cfRule>
    <cfRule type="expression" dxfId="814" priority="2218">
      <formula>$H47=""</formula>
    </cfRule>
    <cfRule type="expression" dxfId="813" priority="2216">
      <formula>$K47="not testable"</formula>
    </cfRule>
  </conditionalFormatting>
  <conditionalFormatting sqref="K47:K48">
    <cfRule type="expression" dxfId="812" priority="2213" stopIfTrue="1">
      <formula>$H47=""</formula>
    </cfRule>
    <cfRule type="expression" dxfId="811" priority="2215" stopIfTrue="1">
      <formula>$K47="failed"</formula>
    </cfRule>
    <cfRule type="expression" dxfId="810" priority="2214" stopIfTrue="1">
      <formula>$K47="OK"</formula>
    </cfRule>
  </conditionalFormatting>
  <conditionalFormatting sqref="K48">
    <cfRule type="expression" dxfId="809" priority="2691">
      <formula>$H48=""</formula>
    </cfRule>
    <cfRule type="expression" dxfId="808" priority="2690">
      <formula>$K48="permissible deviation"</formula>
    </cfRule>
    <cfRule type="expression" dxfId="807" priority="2689">
      <formula>$K48="not testable"</formula>
    </cfRule>
    <cfRule type="expression" dxfId="806" priority="2687" stopIfTrue="1">
      <formula>$K48="OK"</formula>
    </cfRule>
    <cfRule type="expression" dxfId="805" priority="2686" stopIfTrue="1">
      <formula>$H48=""</formula>
    </cfRule>
    <cfRule type="expression" dxfId="804" priority="2685">
      <formula>$K48="permissible deviation"</formula>
    </cfRule>
    <cfRule type="expression" dxfId="803" priority="2684">
      <formula>$K48="not testable"</formula>
    </cfRule>
    <cfRule type="expression" dxfId="802" priority="2683" stopIfTrue="1">
      <formula>$K48="failed"</formula>
    </cfRule>
    <cfRule type="expression" dxfId="801" priority="2682" stopIfTrue="1">
      <formula>$K48="OK"</formula>
    </cfRule>
    <cfRule type="expression" dxfId="800" priority="2688" stopIfTrue="1">
      <formula>$K48="failed"</formula>
    </cfRule>
  </conditionalFormatting>
  <conditionalFormatting sqref="K49">
    <cfRule type="expression" dxfId="799" priority="927">
      <formula>$K49="not testable"</formula>
    </cfRule>
    <cfRule type="expression" dxfId="798" priority="930" stopIfTrue="1">
      <formula>$K49="OK"</formula>
    </cfRule>
    <cfRule type="expression" dxfId="797" priority="929" stopIfTrue="1">
      <formula>$H49=""</formula>
    </cfRule>
    <cfRule type="expression" dxfId="796" priority="928">
      <formula>$K49="permissible deviation"</formula>
    </cfRule>
    <cfRule type="expression" dxfId="795" priority="934">
      <formula>$H49=""</formula>
    </cfRule>
    <cfRule type="expression" dxfId="794" priority="925" stopIfTrue="1">
      <formula>$K49="OK"</formula>
    </cfRule>
    <cfRule type="expression" dxfId="793" priority="933">
      <formula>$K49="permissible deviation"</formula>
    </cfRule>
    <cfRule type="expression" dxfId="792" priority="926" stopIfTrue="1">
      <formula>$K49="failed"</formula>
    </cfRule>
    <cfRule type="expression" dxfId="791" priority="932">
      <formula>$K49="not testable"</formula>
    </cfRule>
    <cfRule type="expression" dxfId="790" priority="931" stopIfTrue="1">
      <formula>$K49="failed"</formula>
    </cfRule>
  </conditionalFormatting>
  <conditionalFormatting sqref="K49:K50">
    <cfRule type="expression" dxfId="789" priority="845" stopIfTrue="1">
      <formula>$H49=""</formula>
    </cfRule>
    <cfRule type="expression" dxfId="788" priority="846" stopIfTrue="1">
      <formula>$K49="OK"</formula>
    </cfRule>
    <cfRule type="expression" dxfId="787" priority="847" stopIfTrue="1">
      <formula>$K49="failed"</formula>
    </cfRule>
  </conditionalFormatting>
  <conditionalFormatting sqref="K50">
    <cfRule type="expression" dxfId="786" priority="843">
      <formula>$K50="not testable"</formula>
    </cfRule>
    <cfRule type="expression" dxfId="785" priority="842" stopIfTrue="1">
      <formula>$K50="failed"</formula>
    </cfRule>
    <cfRule type="expression" dxfId="784" priority="841" stopIfTrue="1">
      <formula>$K50="OK"</formula>
    </cfRule>
    <cfRule type="expression" dxfId="783" priority="849">
      <formula>$K50="permissible deviation"</formula>
    </cfRule>
    <cfRule type="expression" dxfId="782" priority="850">
      <formula>$H50=""</formula>
    </cfRule>
    <cfRule type="expression" dxfId="781" priority="848">
      <formula>$K50="not testable"</formula>
    </cfRule>
    <cfRule type="expression" dxfId="780" priority="844">
      <formula>$K50="permissible deviation"</formula>
    </cfRule>
  </conditionalFormatting>
  <conditionalFormatting sqref="K50:K54">
    <cfRule type="expression" dxfId="779" priority="333" stopIfTrue="1">
      <formula>$H50=""</formula>
    </cfRule>
    <cfRule type="expression" dxfId="778" priority="334" stopIfTrue="1">
      <formula>$K50="OK"</formula>
    </cfRule>
    <cfRule type="expression" dxfId="777" priority="335" stopIfTrue="1">
      <formula>$K50="failed"</formula>
    </cfRule>
  </conditionalFormatting>
  <conditionalFormatting sqref="K51:K54">
    <cfRule type="expression" dxfId="776" priority="328" stopIfTrue="1">
      <formula>$K51="failed"</formula>
    </cfRule>
    <cfRule type="expression" dxfId="775" priority="329" stopIfTrue="1">
      <formula>$K51="OK"</formula>
    </cfRule>
    <cfRule type="expression" dxfId="774" priority="338">
      <formula>$H51=""</formula>
    </cfRule>
    <cfRule type="expression" dxfId="773" priority="331">
      <formula>$K51="not testable"</formula>
    </cfRule>
    <cfRule type="expression" dxfId="772" priority="330" stopIfTrue="1">
      <formula>$K51="failed"</formula>
    </cfRule>
    <cfRule type="expression" dxfId="771" priority="326" stopIfTrue="1">
      <formula>$H51=""</formula>
    </cfRule>
    <cfRule type="expression" dxfId="770" priority="337">
      <formula>$K51="permissible deviation"</formula>
    </cfRule>
    <cfRule type="expression" dxfId="769" priority="332">
      <formula>$K51="permissible deviation"</formula>
    </cfRule>
    <cfRule type="expression" dxfId="768" priority="336">
      <formula>$K51="not testable"</formula>
    </cfRule>
    <cfRule type="expression" dxfId="767" priority="327" stopIfTrue="1">
      <formula>$K51="OK"</formula>
    </cfRule>
  </conditionalFormatting>
  <conditionalFormatting sqref="K58:K59 M59:N59 K18:O22 K24:O24 K31:O31 K34:K36 M34:O40 K42:O44 K56:O56 M58:O58 K70:L74 K70:K76 O71:O75 M71:N76 K75:O79 K29:O29">
    <cfRule type="expression" dxfId="766" priority="305" stopIfTrue="1">
      <formula>$K18="failed"</formula>
    </cfRule>
  </conditionalFormatting>
  <conditionalFormatting sqref="K58:K59 M59:N59">
    <cfRule type="expression" dxfId="765" priority="301">
      <formula>$K58="not testable"</formula>
    </cfRule>
    <cfRule type="expression" dxfId="764" priority="302">
      <formula>$K58="permissible deviation"</formula>
    </cfRule>
    <cfRule type="expression" dxfId="763" priority="303" stopIfTrue="1">
      <formula>$H58=""</formula>
    </cfRule>
    <cfRule type="expression" dxfId="762" priority="304" stopIfTrue="1">
      <formula>$K58="OK"</formula>
    </cfRule>
  </conditionalFormatting>
  <conditionalFormatting sqref="K61">
    <cfRule type="expression" dxfId="761" priority="283">
      <formula>$K61="not testable"</formula>
    </cfRule>
    <cfRule type="expression" dxfId="760" priority="287" stopIfTrue="1">
      <formula>$K61="failed"</formula>
    </cfRule>
    <cfRule type="expression" dxfId="759" priority="286" stopIfTrue="1">
      <formula>$K61="OK"</formula>
    </cfRule>
    <cfRule type="expression" dxfId="758" priority="285" stopIfTrue="1">
      <formula>$H61=""</formula>
    </cfRule>
    <cfRule type="expression" dxfId="757" priority="284">
      <formula>$K61="permissible deviation"</formula>
    </cfRule>
  </conditionalFormatting>
  <conditionalFormatting sqref="K63">
    <cfRule type="expression" dxfId="756" priority="1227" stopIfTrue="1">
      <formula>$K63="failed"</formula>
    </cfRule>
    <cfRule type="expression" dxfId="755" priority="1225" stopIfTrue="1">
      <formula>$H63=""</formula>
    </cfRule>
    <cfRule type="expression" dxfId="754" priority="1219" stopIfTrue="1">
      <formula>$K63="OK"</formula>
    </cfRule>
    <cfRule type="expression" dxfId="753" priority="1220" stopIfTrue="1">
      <formula>$K63="failed"</formula>
    </cfRule>
    <cfRule type="expression" dxfId="752" priority="1215">
      <formula>$H63=""</formula>
    </cfRule>
    <cfRule type="expression" dxfId="751" priority="1223">
      <formula>$K63="not testable"</formula>
    </cfRule>
    <cfRule type="expression" dxfId="750" priority="1224">
      <formula>$K63="permissible deviation"</formula>
    </cfRule>
    <cfRule type="expression" dxfId="749" priority="1213">
      <formula>$K63="not testable"</formula>
    </cfRule>
    <cfRule type="expression" dxfId="748" priority="1226" stopIfTrue="1">
      <formula>$K63="OK"</formula>
    </cfRule>
    <cfRule type="expression" dxfId="747" priority="1214">
      <formula>$K63="permissible deviation"</formula>
    </cfRule>
    <cfRule type="expression" dxfId="746" priority="1216">
      <formula>$K63="not testable"</formula>
    </cfRule>
    <cfRule type="expression" dxfId="745" priority="1217">
      <formula>$K63="permissible deviation"</formula>
    </cfRule>
    <cfRule type="expression" dxfId="744" priority="1218" stopIfTrue="1">
      <formula>$H63=""</formula>
    </cfRule>
  </conditionalFormatting>
  <conditionalFormatting sqref="K66">
    <cfRule type="expression" dxfId="743" priority="248">
      <formula>$K66="not testable"</formula>
    </cfRule>
    <cfRule type="expression" dxfId="742" priority="249">
      <formula>$K66="permissible deviation"</formula>
    </cfRule>
    <cfRule type="expression" dxfId="741" priority="251" stopIfTrue="1">
      <formula>$K66="OK"</formula>
    </cfRule>
    <cfRule type="expression" dxfId="740" priority="258" stopIfTrue="1">
      <formula>$K66="OK"</formula>
    </cfRule>
    <cfRule type="expression" dxfId="739" priority="256">
      <formula>$K66="permissible deviation"</formula>
    </cfRule>
    <cfRule type="expression" dxfId="738" priority="255">
      <formula>$K66="not testable"</formula>
    </cfRule>
    <cfRule type="expression" dxfId="737" priority="245">
      <formula>$K66="not testable"</formula>
    </cfRule>
    <cfRule type="expression" dxfId="736" priority="252" stopIfTrue="1">
      <formula>$K66="failed"</formula>
    </cfRule>
    <cfRule type="expression" dxfId="735" priority="257" stopIfTrue="1">
      <formula>$H66=""</formula>
    </cfRule>
    <cfRule type="expression" dxfId="734" priority="246">
      <formula>$K66="permissible deviation"</formula>
    </cfRule>
    <cfRule type="expression" dxfId="733" priority="250" stopIfTrue="1">
      <formula>$H66=""</formula>
    </cfRule>
    <cfRule type="expression" dxfId="732" priority="247">
      <formula>$H66=""</formula>
    </cfRule>
    <cfRule type="expression" dxfId="731" priority="259" stopIfTrue="1">
      <formula>$K66="failed"</formula>
    </cfRule>
  </conditionalFormatting>
  <conditionalFormatting sqref="K58:L59">
    <cfRule type="expression" dxfId="730" priority="308">
      <formula>$H58=""</formula>
    </cfRule>
  </conditionalFormatting>
  <conditionalFormatting sqref="K59:L59">
    <cfRule type="expression" dxfId="729" priority="307">
      <formula>$K59="permissible deviation"</formula>
    </cfRule>
    <cfRule type="expression" dxfId="728" priority="306">
      <formula>$K59="not testable"</formula>
    </cfRule>
  </conditionalFormatting>
  <conditionalFormatting sqref="K63:L63">
    <cfRule type="expression" dxfId="727" priority="1229">
      <formula>$K63="permissible deviation"</formula>
    </cfRule>
    <cfRule type="expression" dxfId="726" priority="1228">
      <formula>$K63="not testable"</formula>
    </cfRule>
    <cfRule type="expression" dxfId="725" priority="1230">
      <formula>$H63=""</formula>
    </cfRule>
    <cfRule type="expression" dxfId="724" priority="1221" stopIfTrue="1">
      <formula>$K63="OK"</formula>
    </cfRule>
    <cfRule type="expression" dxfId="723" priority="1222" stopIfTrue="1">
      <formula>$K63="failed"</formula>
    </cfRule>
  </conditionalFormatting>
  <conditionalFormatting sqref="K66:L66">
    <cfRule type="expression" dxfId="722" priority="253" stopIfTrue="1">
      <formula>$K66="OK"</formula>
    </cfRule>
    <cfRule type="expression" dxfId="721" priority="254" stopIfTrue="1">
      <formula>$K66="failed"</formula>
    </cfRule>
    <cfRule type="expression" dxfId="720" priority="262">
      <formula>$H66=""</formula>
    </cfRule>
    <cfRule type="expression" dxfId="719" priority="261">
      <formula>$K66="permissible deviation"</formula>
    </cfRule>
    <cfRule type="expression" dxfId="718" priority="260">
      <formula>$K66="not testable"</formula>
    </cfRule>
  </conditionalFormatting>
  <conditionalFormatting sqref="K22:M22 M73:O73 O76">
    <cfRule type="expression" dxfId="717" priority="11" stopIfTrue="1">
      <formula>$K22="OK"</formula>
    </cfRule>
    <cfRule type="expression" dxfId="716" priority="15" stopIfTrue="1">
      <formula>$H22=""</formula>
    </cfRule>
    <cfRule type="expression" dxfId="715" priority="14">
      <formula>$K22="permissible deviation"</formula>
    </cfRule>
    <cfRule type="expression" dxfId="714" priority="13">
      <formula>$K22="not testable"</formula>
    </cfRule>
    <cfRule type="expression" dxfId="713" priority="12" stopIfTrue="1">
      <formula>$K22="failed"</formula>
    </cfRule>
  </conditionalFormatting>
  <conditionalFormatting sqref="K9:N11">
    <cfRule type="expression" dxfId="712" priority="543">
      <formula>$H9=""</formula>
    </cfRule>
    <cfRule type="expression" dxfId="711" priority="542">
      <formula>$K9="permissible deviation"</formula>
    </cfRule>
    <cfRule type="expression" dxfId="710" priority="541">
      <formula>$K9="not testable"</formula>
    </cfRule>
  </conditionalFormatting>
  <conditionalFormatting sqref="K45:N54">
    <cfRule type="expression" dxfId="709" priority="315">
      <formula>$K45="permissible deviation"</formula>
    </cfRule>
    <cfRule type="expression" dxfId="708" priority="314">
      <formula>$K45="not testable"</formula>
    </cfRule>
  </conditionalFormatting>
  <conditionalFormatting sqref="K7:O7">
    <cfRule type="expression" dxfId="707" priority="3249">
      <formula>$K7="permissible deviation"</formula>
    </cfRule>
    <cfRule type="expression" dxfId="706" priority="3248">
      <formula>$K7="not testable"</formula>
    </cfRule>
    <cfRule type="expression" dxfId="705" priority="3242" stopIfTrue="1">
      <formula>$K7="failed"</formula>
    </cfRule>
    <cfRule type="expression" dxfId="704" priority="3241" stopIfTrue="1">
      <formula>$K7="OK"</formula>
    </cfRule>
    <cfRule type="expression" dxfId="703" priority="3250">
      <formula>$H7=""</formula>
    </cfRule>
  </conditionalFormatting>
  <conditionalFormatting sqref="K9:O11">
    <cfRule type="expression" dxfId="702" priority="197" stopIfTrue="1">
      <formula>$K9="failed"</formula>
    </cfRule>
  </conditionalFormatting>
  <conditionalFormatting sqref="K18:O21">
    <cfRule type="expression" dxfId="701" priority="1135">
      <formula>$H18=""</formula>
    </cfRule>
    <cfRule type="expression" dxfId="700" priority="1134">
      <formula>$K18="permissible deviation"</formula>
    </cfRule>
    <cfRule type="expression" dxfId="699" priority="1133">
      <formula>$K18="not testable"</formula>
    </cfRule>
  </conditionalFormatting>
  <conditionalFormatting sqref="K29:O29 K70:L76 M74:N76 K34:K37 M34:O36 K42:O44 K56 M56:O56 K58:O58 K24:O24 K83:O133 K135:O210 K234:O763">
    <cfRule type="expression" dxfId="698" priority="17937">
      <formula>$K24="permissible deviation"</formula>
    </cfRule>
  </conditionalFormatting>
  <conditionalFormatting sqref="K29:O29">
    <cfRule type="expression" dxfId="697" priority="17132" stopIfTrue="1">
      <formula>$K29="OK"</formula>
    </cfRule>
    <cfRule type="expression" dxfId="696" priority="17940" stopIfTrue="1">
      <formula>$K29="failed"</formula>
    </cfRule>
    <cfRule type="expression" dxfId="695" priority="17939" stopIfTrue="1">
      <formula>$K29="OK"</formula>
    </cfRule>
    <cfRule type="expression" dxfId="694" priority="17938" stopIfTrue="1">
      <formula>$H29=""</formula>
    </cfRule>
    <cfRule type="expression" dxfId="693" priority="17936">
      <formula>$K29="not testable"</formula>
    </cfRule>
  </conditionalFormatting>
  <conditionalFormatting sqref="K31:O31">
    <cfRule type="expression" dxfId="692" priority="3202">
      <formula>$K31="permissible deviation"</formula>
    </cfRule>
    <cfRule type="expression" dxfId="691" priority="3203">
      <formula>$H31=""</formula>
    </cfRule>
    <cfRule type="expression" dxfId="690" priority="3201">
      <formula>$K31="not testable"</formula>
    </cfRule>
  </conditionalFormatting>
  <conditionalFormatting sqref="K33:O33">
    <cfRule type="expression" dxfId="689" priority="2282">
      <formula>$K33="not testable"</formula>
    </cfRule>
    <cfRule type="expression" dxfId="688" priority="2286" stopIfTrue="1">
      <formula>$K33="failed"</formula>
    </cfRule>
    <cfRule type="expression" dxfId="687" priority="2285" stopIfTrue="1">
      <formula>$K33="OK"</formula>
    </cfRule>
    <cfRule type="expression" dxfId="686" priority="2284" stopIfTrue="1">
      <formula>$H33=""</formula>
    </cfRule>
    <cfRule type="expression" dxfId="685" priority="2283">
      <formula>$K33="permissible deviation"</formula>
    </cfRule>
  </conditionalFormatting>
  <conditionalFormatting sqref="K56:O56">
    <cfRule type="expression" dxfId="684" priority="1855" stopIfTrue="1">
      <formula>$K56="OK"</formula>
    </cfRule>
    <cfRule type="expression" dxfId="683" priority="1856" stopIfTrue="1">
      <formula>$K56="failed"</formula>
    </cfRule>
  </conditionalFormatting>
  <conditionalFormatting sqref="K58:O59">
    <cfRule type="expression" dxfId="682" priority="72" stopIfTrue="1">
      <formula>$K58="failed"</formula>
    </cfRule>
    <cfRule type="expression" dxfId="681" priority="71" stopIfTrue="1">
      <formula>$K58="OK"</formula>
    </cfRule>
  </conditionalFormatting>
  <conditionalFormatting sqref="K61:O61">
    <cfRule type="expression" dxfId="680" priority="278" stopIfTrue="1">
      <formula>$K61="OK"</formula>
    </cfRule>
    <cfRule type="expression" dxfId="679" priority="288">
      <formula>$K61="not testable"</formula>
    </cfRule>
    <cfRule type="expression" dxfId="678" priority="279" stopIfTrue="1">
      <formula>$K61="failed"</formula>
    </cfRule>
    <cfRule type="expression" dxfId="677" priority="289">
      <formula>$K61="permissible deviation"</formula>
    </cfRule>
    <cfRule type="expression" dxfId="676" priority="290">
      <formula>$H61=""</formula>
    </cfRule>
  </conditionalFormatting>
  <conditionalFormatting sqref="K134:O134">
    <cfRule type="expression" dxfId="675" priority="20574" stopIfTrue="1">
      <formula>$H134=""</formula>
    </cfRule>
    <cfRule type="expression" dxfId="674" priority="20575" stopIfTrue="1">
      <formula>$K134="OK"</formula>
    </cfRule>
    <cfRule type="expression" dxfId="673" priority="20576" stopIfTrue="1">
      <formula>$K134&lt;&gt;"OK"</formula>
    </cfRule>
  </conditionalFormatting>
  <conditionalFormatting sqref="K211:O233">
    <cfRule type="expression" dxfId="672" priority="19901" stopIfTrue="1">
      <formula>$K211&lt;&gt;"OK"</formula>
    </cfRule>
    <cfRule type="expression" dxfId="671" priority="19899" stopIfTrue="1">
      <formula>$H211=""</formula>
    </cfRule>
    <cfRule type="expression" dxfId="670" priority="19900" stopIfTrue="1">
      <formula>$K211="OK"</formula>
    </cfRule>
  </conditionalFormatting>
  <conditionalFormatting sqref="L33:L36">
    <cfRule type="expression" dxfId="669" priority="2269" stopIfTrue="1">
      <formula>$K33="failed"</formula>
    </cfRule>
    <cfRule type="expression" dxfId="668" priority="2268" stopIfTrue="1">
      <formula>$K33="OK"</formula>
    </cfRule>
  </conditionalFormatting>
  <conditionalFormatting sqref="L34:L35">
    <cfRule type="expression" dxfId="667" priority="2274">
      <formula>$H34=""</formula>
    </cfRule>
    <cfRule type="expression" dxfId="666" priority="2272">
      <formula>$K34="not testable"</formula>
    </cfRule>
    <cfRule type="expression" dxfId="665" priority="2273">
      <formula>$K34="permissible deviation"</formula>
    </cfRule>
  </conditionalFormatting>
  <conditionalFormatting sqref="L36">
    <cfRule type="expression" dxfId="664" priority="2267" stopIfTrue="1">
      <formula>$H36=""</formula>
    </cfRule>
  </conditionalFormatting>
  <conditionalFormatting sqref="L36:L40">
    <cfRule type="expression" dxfId="663" priority="2256">
      <formula>$K36="permissible deviation"</formula>
    </cfRule>
    <cfRule type="expression" dxfId="662" priority="2255">
      <formula>$K36="not testable"</formula>
    </cfRule>
    <cfRule type="expression" dxfId="661" priority="2254" stopIfTrue="1">
      <formula>$K36="failed"</formula>
    </cfRule>
    <cfRule type="expression" dxfId="660" priority="2253" stopIfTrue="1">
      <formula>$K36="OK"</formula>
    </cfRule>
  </conditionalFormatting>
  <conditionalFormatting sqref="L37:L40">
    <cfRule type="expression" dxfId="659" priority="2257">
      <formula>$H37=""</formula>
    </cfRule>
  </conditionalFormatting>
  <conditionalFormatting sqref="L45:L54">
    <cfRule type="expression" dxfId="658" priority="316">
      <formula>$H45=""</formula>
    </cfRule>
  </conditionalFormatting>
  <conditionalFormatting sqref="L56">
    <cfRule type="expression" dxfId="657" priority="1852">
      <formula>$K56="not testable"</formula>
    </cfRule>
    <cfRule type="expression" dxfId="656" priority="1854" stopIfTrue="1">
      <formula>$H56=""</formula>
    </cfRule>
    <cfRule type="expression" dxfId="655" priority="1853">
      <formula>$K56="permissible deviation"</formula>
    </cfRule>
  </conditionalFormatting>
  <conditionalFormatting sqref="L45:N54">
    <cfRule type="expression" dxfId="654" priority="313" stopIfTrue="1">
      <formula>$K45="failed"</formula>
    </cfRule>
    <cfRule type="expression" dxfId="653" priority="312" stopIfTrue="1">
      <formula>$K45="OK"</formula>
    </cfRule>
  </conditionalFormatting>
  <conditionalFormatting sqref="L6:O6">
    <cfRule type="expression" dxfId="652" priority="4998">
      <formula>$K6="not testable"</formula>
    </cfRule>
    <cfRule type="expression" dxfId="651" priority="4991" stopIfTrue="1">
      <formula>$K6="OK"</formula>
    </cfRule>
    <cfRule type="expression" dxfId="650" priority="4992" stopIfTrue="1">
      <formula>$K6="failed"</formula>
    </cfRule>
    <cfRule type="expression" dxfId="649" priority="5000">
      <formula>$H6=""</formula>
    </cfRule>
    <cfRule type="expression" dxfId="648" priority="4999">
      <formula>$K6="permissible deviation"</formula>
    </cfRule>
  </conditionalFormatting>
  <conditionalFormatting sqref="L12:O12">
    <cfRule type="expression" dxfId="647" priority="6400">
      <formula>$K12="permissible deviation"</formula>
    </cfRule>
    <cfRule type="expression" dxfId="646" priority="6401">
      <formula>$H12=""</formula>
    </cfRule>
    <cfRule type="expression" dxfId="645" priority="6399">
      <formula>$K12="not testable"</formula>
    </cfRule>
    <cfRule type="expression" dxfId="644" priority="6397" stopIfTrue="1">
      <formula>$K12="OK"</formula>
    </cfRule>
    <cfRule type="expression" dxfId="643" priority="6398" stopIfTrue="1">
      <formula>$K12="failed"</formula>
    </cfRule>
  </conditionalFormatting>
  <conditionalFormatting sqref="L15:O15">
    <cfRule type="expression" dxfId="642" priority="17133" stopIfTrue="1">
      <formula>$K15="failed"</formula>
    </cfRule>
    <cfRule type="expression" dxfId="641" priority="19640">
      <formula>$K15="permissible deviation"</formula>
    </cfRule>
  </conditionalFormatting>
  <conditionalFormatting sqref="L26:O26">
    <cfRule type="expression" dxfId="640" priority="2529">
      <formula>$K26="permissible deviation"</formula>
    </cfRule>
    <cfRule type="expression" dxfId="639" priority="2528">
      <formula>$K26="not testable"</formula>
    </cfRule>
    <cfRule type="expression" dxfId="638" priority="2527" stopIfTrue="1">
      <formula>$K26="failed"</formula>
    </cfRule>
    <cfRule type="expression" dxfId="637" priority="2526" stopIfTrue="1">
      <formula>$K26="OK"</formula>
    </cfRule>
    <cfRule type="expression" dxfId="636" priority="2530">
      <formula>$H26=""</formula>
    </cfRule>
  </conditionalFormatting>
  <conditionalFormatting sqref="L30:O30">
    <cfRule type="expression" dxfId="635" priority="4">
      <formula>$K30="permissible deviation"</formula>
    </cfRule>
    <cfRule type="expression" dxfId="634" priority="1" stopIfTrue="1">
      <formula>$K30="OK"</formula>
    </cfRule>
    <cfRule type="expression" dxfId="633" priority="5">
      <formula>$H30=""</formula>
    </cfRule>
    <cfRule type="expression" dxfId="632" priority="2" stopIfTrue="1">
      <formula>$K30="failed"</formula>
    </cfRule>
    <cfRule type="expression" dxfId="631" priority="3">
      <formula>$K30="not testable"</formula>
    </cfRule>
  </conditionalFormatting>
  <conditionalFormatting sqref="M45:N54">
    <cfRule type="expression" dxfId="630" priority="321" stopIfTrue="1">
      <formula>$H45=""</formula>
    </cfRule>
    <cfRule type="expression" dxfId="629" priority="322" stopIfTrue="1">
      <formula>$K45="OK"</formula>
    </cfRule>
    <cfRule type="expression" dxfId="628" priority="323" stopIfTrue="1">
      <formula>$K45="failed"</formula>
    </cfRule>
  </conditionalFormatting>
  <conditionalFormatting sqref="M33:O40">
    <cfRule type="expression" dxfId="627" priority="2303" stopIfTrue="1">
      <formula>$K33="failed"</formula>
    </cfRule>
    <cfRule type="expression" dxfId="626" priority="2302" stopIfTrue="1">
      <formula>$K33="OK"</formula>
    </cfRule>
  </conditionalFormatting>
  <conditionalFormatting sqref="M37:O40">
    <cfRule type="expression" dxfId="625" priority="2301" stopIfTrue="1">
      <formula>$H37=""</formula>
    </cfRule>
    <cfRule type="expression" dxfId="624" priority="2299">
      <formula>$K37="not testable"</formula>
    </cfRule>
    <cfRule type="expression" dxfId="623" priority="2300">
      <formula>$K37="permissible deviation"</formula>
    </cfRule>
  </conditionalFormatting>
  <conditionalFormatting sqref="M58:O58 K18:O22 K31:O31 O71:O75 M71:N76 K75:O79 K9:O11 L15:O15 K24:O24 K34:K36 M34:O40 K42:O44 K56:O56 K70:L74 K70:K76">
    <cfRule type="expression" dxfId="622" priority="196" stopIfTrue="1">
      <formula>$K9="OK"</formula>
    </cfRule>
  </conditionalFormatting>
  <conditionalFormatting sqref="M63:O63">
    <cfRule type="expression" dxfId="621" priority="1147" stopIfTrue="1">
      <formula>$K63="failed"</formula>
    </cfRule>
    <cfRule type="expression" dxfId="620" priority="1148" stopIfTrue="1">
      <formula>$K63="OK"</formula>
    </cfRule>
    <cfRule type="expression" dxfId="619" priority="1149" stopIfTrue="1">
      <formula>$K63="failed"</formula>
    </cfRule>
    <cfRule type="expression" dxfId="618" priority="1144">
      <formula>$K63="permissible deviation"</formula>
    </cfRule>
    <cfRule type="expression" dxfId="617" priority="1145" stopIfTrue="1">
      <formula>$H63=""</formula>
    </cfRule>
    <cfRule type="expression" dxfId="616" priority="1143">
      <formula>$K63="not testable"</formula>
    </cfRule>
    <cfRule type="expression" dxfId="615" priority="1146" stopIfTrue="1">
      <formula>$K63="OK"</formula>
    </cfRule>
  </conditionalFormatting>
  <conditionalFormatting sqref="M66:O66">
    <cfRule type="expression" dxfId="614" priority="238">
      <formula>$K66="not testable"</formula>
    </cfRule>
    <cfRule type="expression" dxfId="613" priority="239">
      <formula>$K66="permissible deviation"</formula>
    </cfRule>
    <cfRule type="expression" dxfId="612" priority="240" stopIfTrue="1">
      <formula>$H66=""</formula>
    </cfRule>
    <cfRule type="expression" dxfId="611" priority="242" stopIfTrue="1">
      <formula>$K66="failed"</formula>
    </cfRule>
    <cfRule type="expression" dxfId="610" priority="243" stopIfTrue="1">
      <formula>$K66="OK"</formula>
    </cfRule>
    <cfRule type="expression" dxfId="609" priority="244" stopIfTrue="1">
      <formula>$K66="failed"</formula>
    </cfRule>
    <cfRule type="expression" dxfId="608" priority="241" stopIfTrue="1">
      <formula>$K66="OK"</formula>
    </cfRule>
  </conditionalFormatting>
  <conditionalFormatting sqref="M70:O70">
    <cfRule type="expression" dxfId="607" priority="1178" stopIfTrue="1">
      <formula>$K70="OK"</formula>
    </cfRule>
    <cfRule type="expression" dxfId="606" priority="1179" stopIfTrue="1">
      <formula>$K70="failed"</formula>
    </cfRule>
  </conditionalFormatting>
  <conditionalFormatting sqref="M70:O71">
    <cfRule type="expression" dxfId="605" priority="1180">
      <formula>$K70="not testable"</formula>
    </cfRule>
    <cfRule type="expression" dxfId="604" priority="1184" stopIfTrue="1">
      <formula>$K70="failed"</formula>
    </cfRule>
    <cfRule type="expression" dxfId="603" priority="1183" stopIfTrue="1">
      <formula>$K70="OK"</formula>
    </cfRule>
    <cfRule type="expression" dxfId="602" priority="1182" stopIfTrue="1">
      <formula>$H70=""</formula>
    </cfRule>
    <cfRule type="expression" dxfId="601" priority="1181">
      <formula>$K70="permissible deviation"</formula>
    </cfRule>
  </conditionalFormatting>
  <conditionalFormatting sqref="M72:O72">
    <cfRule type="expression" dxfId="600" priority="1167">
      <formula>$K72="permissible deviation"</formula>
    </cfRule>
    <cfRule type="expression" dxfId="599" priority="1166">
      <formula>$K72="not testable"</formula>
    </cfRule>
    <cfRule type="expression" dxfId="598" priority="1168" stopIfTrue="1">
      <formula>$H72=""</formula>
    </cfRule>
  </conditionalFormatting>
  <conditionalFormatting sqref="N22:O22">
    <cfRule type="expression" dxfId="597" priority="2305">
      <formula>$K22="permissible deviation"</formula>
    </cfRule>
    <cfRule type="expression" dxfId="596" priority="2306">
      <formula>$H22=""</formula>
    </cfRule>
  </conditionalFormatting>
  <conditionalFormatting sqref="O9:O11">
    <cfRule type="expression" dxfId="595" priority="200">
      <formula>$H9=""</formula>
    </cfRule>
    <cfRule type="expression" dxfId="594" priority="199">
      <formula>$K9="permissible deviation"</formula>
    </cfRule>
    <cfRule type="expression" dxfId="593" priority="198">
      <formula>$K9="not testable"</formula>
    </cfRule>
  </conditionalFormatting>
  <conditionalFormatting sqref="O45:O48">
    <cfRule type="expression" dxfId="592" priority="140">
      <formula>$H45=""</formula>
    </cfRule>
    <cfRule type="expression" dxfId="591" priority="138">
      <formula>$K45="not testable"</formula>
    </cfRule>
    <cfRule type="expression" dxfId="590" priority="139">
      <formula>$K45="permissible deviation"</formula>
    </cfRule>
  </conditionalFormatting>
  <conditionalFormatting sqref="O45:O49">
    <cfRule type="expression" dxfId="589" priority="131" stopIfTrue="1">
      <formula>$K45="OK"</formula>
    </cfRule>
    <cfRule type="expression" dxfId="588" priority="132" stopIfTrue="1">
      <formula>$K45="failed"</formula>
    </cfRule>
  </conditionalFormatting>
  <conditionalFormatting sqref="O45:O54">
    <cfRule type="expression" dxfId="587" priority="75" stopIfTrue="1">
      <formula>#REF!=3</formula>
    </cfRule>
    <cfRule type="expression" dxfId="586" priority="74" stopIfTrue="1">
      <formula>#REF!=2</formula>
    </cfRule>
    <cfRule type="expression" dxfId="585" priority="73" stopIfTrue="1">
      <formula>#REF!=1</formula>
    </cfRule>
  </conditionalFormatting>
  <conditionalFormatting sqref="O49">
    <cfRule type="expression" dxfId="584" priority="128">
      <formula>$K49="not testable"</formula>
    </cfRule>
    <cfRule type="expression" dxfId="583" priority="129">
      <formula>$K49="permissible deviation"</formula>
    </cfRule>
    <cfRule type="expression" dxfId="582" priority="130" stopIfTrue="1">
      <formula>$H49=""</formula>
    </cfRule>
  </conditionalFormatting>
  <conditionalFormatting sqref="O49:O50">
    <cfRule type="expression" dxfId="581" priority="121" stopIfTrue="1">
      <formula>$K49="OK"</formula>
    </cfRule>
    <cfRule type="expression" dxfId="580" priority="122" stopIfTrue="1">
      <formula>$K49="failed"</formula>
    </cfRule>
  </conditionalFormatting>
  <conditionalFormatting sqref="O50">
    <cfRule type="expression" dxfId="579" priority="120" stopIfTrue="1">
      <formula>$H50=""</formula>
    </cfRule>
    <cfRule type="expression" dxfId="578" priority="119">
      <formula>$K50="permissible deviation"</formula>
    </cfRule>
    <cfRule type="expression" dxfId="577" priority="118">
      <formula>$K50="not testable"</formula>
    </cfRule>
  </conditionalFormatting>
  <conditionalFormatting sqref="O50:O51">
    <cfRule type="expression" dxfId="576" priority="111" stopIfTrue="1">
      <formula>$K50="OK"</formula>
    </cfRule>
    <cfRule type="expression" dxfId="575" priority="112" stopIfTrue="1">
      <formula>$K50="failed"</formula>
    </cfRule>
  </conditionalFormatting>
  <conditionalFormatting sqref="O51">
    <cfRule type="expression" dxfId="574" priority="110" stopIfTrue="1">
      <formula>$H51=""</formula>
    </cfRule>
    <cfRule type="expression" dxfId="573" priority="109">
      <formula>$K51="permissible deviation"</formula>
    </cfRule>
    <cfRule type="expression" dxfId="572" priority="108">
      <formula>$K51="not testable"</formula>
    </cfRule>
  </conditionalFormatting>
  <conditionalFormatting sqref="O51:O52">
    <cfRule type="expression" dxfId="571" priority="101" stopIfTrue="1">
      <formula>$K51="OK"</formula>
    </cfRule>
    <cfRule type="expression" dxfId="570" priority="102" stopIfTrue="1">
      <formula>$K51="failed"</formula>
    </cfRule>
  </conditionalFormatting>
  <conditionalFormatting sqref="O52">
    <cfRule type="expression" dxfId="569" priority="98">
      <formula>$K52="not testable"</formula>
    </cfRule>
    <cfRule type="expression" dxfId="568" priority="99">
      <formula>$K52="permissible deviation"</formula>
    </cfRule>
    <cfRule type="expression" dxfId="567" priority="100" stopIfTrue="1">
      <formula>$H52=""</formula>
    </cfRule>
  </conditionalFormatting>
  <conditionalFormatting sqref="O52:O53">
    <cfRule type="expression" dxfId="566" priority="91" stopIfTrue="1">
      <formula>$K52="OK"</formula>
    </cfRule>
    <cfRule type="expression" dxfId="565" priority="92" stopIfTrue="1">
      <formula>$K52="failed"</formula>
    </cfRule>
  </conditionalFormatting>
  <conditionalFormatting sqref="O53">
    <cfRule type="expression" dxfId="564" priority="88">
      <formula>$K53="not testable"</formula>
    </cfRule>
    <cfRule type="expression" dxfId="563" priority="89">
      <formula>$K53="permissible deviation"</formula>
    </cfRule>
    <cfRule type="expression" dxfId="562" priority="90" stopIfTrue="1">
      <formula>$H53=""</formula>
    </cfRule>
  </conditionalFormatting>
  <conditionalFormatting sqref="O53:O54">
    <cfRule type="expression" dxfId="561" priority="81" stopIfTrue="1">
      <formula>$K53="OK"</formula>
    </cfRule>
    <cfRule type="expression" dxfId="560" priority="82" stopIfTrue="1">
      <formula>$K53="failed"</formula>
    </cfRule>
  </conditionalFormatting>
  <conditionalFormatting sqref="O54">
    <cfRule type="expression" dxfId="559" priority="76" stopIfTrue="1">
      <formula>$K54="OK"</formula>
    </cfRule>
    <cfRule type="expression" dxfId="558" priority="79">
      <formula>$K54="permissible deviation"</formula>
    </cfRule>
    <cfRule type="expression" dxfId="557" priority="80" stopIfTrue="1">
      <formula>$H54=""</formula>
    </cfRule>
    <cfRule type="expression" dxfId="556" priority="78">
      <formula>$K54="not testable"</formula>
    </cfRule>
    <cfRule type="expression" dxfId="555" priority="77" stopIfTrue="1">
      <formula>$K54="failed"</formula>
    </cfRule>
  </conditionalFormatting>
  <conditionalFormatting sqref="O59">
    <cfRule type="expression" dxfId="554" priority="70" stopIfTrue="1">
      <formula>$H59=""</formula>
    </cfRule>
    <cfRule type="expression" dxfId="553" priority="69">
      <formula>$K59="permissible deviation"</formula>
    </cfRule>
    <cfRule type="expression" dxfId="552" priority="68">
      <formula>$K59="not testable"</formula>
    </cfRule>
    <cfRule type="expression" dxfId="551" priority="67" stopIfTrue="1">
      <formula>$K59="failed"</formula>
    </cfRule>
    <cfRule type="expression" dxfId="550" priority="66" stopIfTrue="1">
      <formula>$K59="OK"</formula>
    </cfRule>
  </conditionalFormatting>
  <printOptions horizontalCentered="1" headings="1" gridLines="1"/>
  <pageMargins left="0.78740157480314965" right="0.78740157480314965" top="0.59055118110236227" bottom="0.98425196850393704" header="0.11811023622047245" footer="0.51181102362204722"/>
  <pageSetup paperSize="9" scale="53" fitToHeight="0" orientation="landscape" r:id="rId1"/>
  <headerFooter alignWithMargins="0">
    <oddFooter>&amp;L&amp;D&amp;C&amp;F &amp;"Arial,Fett"&amp;A&amp;R&amp;P von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CF5A-FE20-438D-A01C-FF2F4D574BAA}">
  <sheetPr>
    <outlinePr summaryBelow="0" summaryRight="0"/>
    <pageSetUpPr fitToPage="1"/>
  </sheetPr>
  <dimension ref="A1:T1329"/>
  <sheetViews>
    <sheetView topLeftCell="B1" zoomScale="80" zoomScaleNormal="80" workbookViewId="0">
      <pane ySplit="3" topLeftCell="A4" activePane="bottomLeft" state="frozen"/>
      <selection activeCell="B1" sqref="B1"/>
      <selection pane="bottomLeft" activeCell="G49" sqref="G49"/>
    </sheetView>
  </sheetViews>
  <sheetFormatPr defaultColWidth="11.42578125" defaultRowHeight="12.75" outlineLevelRow="1" x14ac:dyDescent="0.2"/>
  <cols>
    <col min="1" max="1" width="7.5703125" style="1" hidden="1" customWidth="1"/>
    <col min="2" max="2" width="8.5703125" style="85" customWidth="1"/>
    <col min="3" max="3" width="71.140625" style="11" bestFit="1" customWidth="1"/>
    <col min="4" max="4" width="23.5703125" style="75" customWidth="1"/>
    <col min="5" max="5" width="31.42578125" style="75" customWidth="1"/>
    <col min="6" max="6" width="9.42578125" style="75" bestFit="1" customWidth="1"/>
    <col min="7" max="7" width="24" style="85" customWidth="1"/>
    <col min="8" max="8" width="12" style="85" bestFit="1" customWidth="1"/>
    <col min="9" max="9" width="22.85546875" style="112" customWidth="1"/>
    <col min="10" max="10" width="20.5703125" style="113" customWidth="1"/>
    <col min="11" max="14" width="20.5703125" style="1" customWidth="1"/>
    <col min="15" max="15" width="20" style="137" bestFit="1" customWidth="1"/>
    <col min="16" max="16" width="20" customWidth="1"/>
    <col min="17" max="17" width="19" customWidth="1"/>
    <col min="18" max="18" width="23" customWidth="1"/>
    <col min="19" max="19" width="29.5703125" customWidth="1"/>
    <col min="20" max="20" width="23.42578125" customWidth="1"/>
  </cols>
  <sheetData>
    <row r="1" spans="1:20" s="5" customFormat="1" ht="53.25" customHeight="1" thickBot="1" x14ac:dyDescent="0.35">
      <c r="A1" s="12" t="s">
        <v>49</v>
      </c>
      <c r="B1" s="278" t="e">
        <f ca="1">MID(CELL("DATEINAME"),FIND("[",CELL("DATEINAME"))+1,FIND("]",CELL("DATEINAME"))-FIND("[",CELL("DATEINAME"))-6)</f>
        <v>#VALUE!</v>
      </c>
      <c r="C1" s="278"/>
      <c r="D1" s="278"/>
      <c r="E1" s="278"/>
      <c r="F1" s="278"/>
      <c r="G1" s="278"/>
      <c r="H1" s="99"/>
      <c r="I1" s="86"/>
      <c r="J1" s="90"/>
      <c r="K1" s="78"/>
      <c r="L1" s="167"/>
      <c r="M1" s="167"/>
      <c r="N1" s="167"/>
      <c r="O1" s="137"/>
      <c r="P1" s="36"/>
      <c r="Q1" s="37"/>
      <c r="R1" s="37"/>
      <c r="S1" s="37"/>
      <c r="T1" s="14"/>
    </row>
    <row r="2" spans="1:20" s="5" customFormat="1" ht="53.25" customHeight="1" thickBot="1" x14ac:dyDescent="0.35">
      <c r="A2" s="59"/>
      <c r="B2" s="279" t="s">
        <v>51</v>
      </c>
      <c r="C2" s="256" t="s">
        <v>52</v>
      </c>
      <c r="D2" s="306" t="s">
        <v>53</v>
      </c>
      <c r="E2" s="307"/>
      <c r="F2" s="284" t="s">
        <v>54</v>
      </c>
      <c r="G2" s="285"/>
      <c r="H2" s="286"/>
      <c r="I2" s="269" t="s">
        <v>55</v>
      </c>
      <c r="J2" s="269" t="s">
        <v>56</v>
      </c>
      <c r="K2" s="262" t="s">
        <v>57</v>
      </c>
      <c r="L2" s="262" t="s">
        <v>58</v>
      </c>
      <c r="M2" s="262" t="s">
        <v>59</v>
      </c>
      <c r="N2" s="303" t="s">
        <v>60</v>
      </c>
      <c r="O2" s="258"/>
      <c r="P2" s="36"/>
      <c r="Q2" s="37"/>
      <c r="R2" s="37"/>
      <c r="S2" s="37"/>
      <c r="T2" s="14"/>
    </row>
    <row r="3" spans="1:20" ht="16.5" thickBot="1" x14ac:dyDescent="0.25">
      <c r="A3" s="39" t="s">
        <v>61</v>
      </c>
      <c r="B3" s="280"/>
      <c r="C3" s="257"/>
      <c r="D3" s="308"/>
      <c r="E3" s="309"/>
      <c r="F3" s="193" t="s">
        <v>62</v>
      </c>
      <c r="G3" s="189" t="s">
        <v>63</v>
      </c>
      <c r="H3" s="189" t="s">
        <v>64</v>
      </c>
      <c r="I3" s="270"/>
      <c r="J3" s="270"/>
      <c r="K3" s="266"/>
      <c r="L3" s="263"/>
      <c r="M3" s="263"/>
      <c r="N3" s="304"/>
      <c r="O3" s="259"/>
      <c r="R3" s="34"/>
    </row>
    <row r="4" spans="1:20" ht="34.5" customHeight="1" x14ac:dyDescent="0.2">
      <c r="B4" s="48">
        <v>1</v>
      </c>
      <c r="C4" s="96" t="s">
        <v>65</v>
      </c>
      <c r="D4" s="273"/>
      <c r="E4" s="274"/>
      <c r="F4" s="114"/>
      <c r="G4" s="124"/>
      <c r="H4" s="124"/>
      <c r="I4" s="187"/>
      <c r="J4" s="187"/>
      <c r="K4" s="187"/>
      <c r="L4" s="70"/>
      <c r="M4" s="70"/>
      <c r="N4" s="70"/>
      <c r="O4" s="137" t="str">
        <f t="shared" ref="O4:O67" si="0">IF(G4="","-",IF(J4="","",J4))</f>
        <v>-</v>
      </c>
    </row>
    <row r="5" spans="1:20" ht="34.5" customHeight="1" outlineLevel="1" x14ac:dyDescent="0.2">
      <c r="B5" s="158" t="s">
        <v>6</v>
      </c>
      <c r="C5" s="65" t="s">
        <v>66</v>
      </c>
      <c r="D5" s="282"/>
      <c r="E5" s="283"/>
      <c r="F5" s="195"/>
      <c r="G5" s="194"/>
      <c r="H5" s="194"/>
      <c r="I5" s="194"/>
      <c r="J5" s="187"/>
      <c r="K5" s="187"/>
      <c r="L5" s="70"/>
      <c r="M5" s="70"/>
      <c r="N5" s="70"/>
      <c r="O5" s="137" t="str">
        <f t="shared" si="0"/>
        <v>-</v>
      </c>
      <c r="P5" s="172"/>
    </row>
    <row r="6" spans="1:20" ht="34.5" customHeight="1" outlineLevel="1" x14ac:dyDescent="0.2">
      <c r="B6" s="157" t="s">
        <v>67</v>
      </c>
      <c r="C6" s="93" t="s">
        <v>68</v>
      </c>
      <c r="D6" s="271"/>
      <c r="E6" s="272"/>
      <c r="F6" s="66"/>
      <c r="G6" s="66"/>
      <c r="H6" s="66"/>
      <c r="I6" s="66"/>
      <c r="J6" s="163"/>
      <c r="K6" s="95"/>
      <c r="L6" s="164"/>
      <c r="M6" s="164"/>
      <c r="N6" s="164"/>
      <c r="O6" s="137" t="str">
        <f t="shared" si="0"/>
        <v>-</v>
      </c>
      <c r="P6" s="172"/>
    </row>
    <row r="7" spans="1:20" ht="54" customHeight="1" outlineLevel="1" x14ac:dyDescent="0.2">
      <c r="B7" s="157" t="s">
        <v>69</v>
      </c>
      <c r="C7" s="93" t="s">
        <v>70</v>
      </c>
      <c r="D7" s="271" t="s">
        <v>71</v>
      </c>
      <c r="E7" s="272"/>
      <c r="F7" s="66"/>
      <c r="G7" s="185" t="s">
        <v>72</v>
      </c>
      <c r="H7" s="66"/>
      <c r="I7" s="185"/>
      <c r="J7" s="91" t="str">
        <f>IF(OR(I7=G7,I7="i.O.",I7="io"),"ok","failed")</f>
        <v>failed</v>
      </c>
      <c r="K7" s="95" t="s">
        <v>73</v>
      </c>
      <c r="L7" s="164" t="s">
        <v>74</v>
      </c>
      <c r="M7" s="164"/>
      <c r="N7" s="164" t="s">
        <v>75</v>
      </c>
      <c r="O7" s="137" t="str">
        <f t="shared" si="0"/>
        <v>failed</v>
      </c>
      <c r="P7" s="172"/>
    </row>
    <row r="8" spans="1:20" ht="34.5" customHeight="1" outlineLevel="1" x14ac:dyDescent="0.2">
      <c r="B8" s="157" t="s">
        <v>76</v>
      </c>
      <c r="C8" s="93" t="s">
        <v>77</v>
      </c>
      <c r="D8" s="271"/>
      <c r="E8" s="272"/>
      <c r="F8" s="115"/>
      <c r="G8" s="165"/>
      <c r="H8" s="115"/>
      <c r="I8" s="163"/>
      <c r="J8" s="163"/>
      <c r="K8" s="163"/>
      <c r="L8" s="163"/>
      <c r="M8" s="163"/>
      <c r="N8" s="207" t="s">
        <v>78</v>
      </c>
      <c r="O8" s="137" t="str">
        <f t="shared" si="0"/>
        <v>-</v>
      </c>
    </row>
    <row r="9" spans="1:20" ht="54" customHeight="1" outlineLevel="1" x14ac:dyDescent="0.2">
      <c r="B9" s="157" t="s">
        <v>79</v>
      </c>
      <c r="C9" s="93" t="s">
        <v>80</v>
      </c>
      <c r="D9" s="271"/>
      <c r="E9" s="272"/>
      <c r="F9" s="66"/>
      <c r="G9" s="185" t="s">
        <v>72</v>
      </c>
      <c r="H9" s="66"/>
      <c r="I9" s="185"/>
      <c r="J9" s="91" t="str">
        <f>IF(OR(I9=G9,I9="i.O.",I9="io"),"ok","failed")</f>
        <v>failed</v>
      </c>
      <c r="K9" s="95" t="s">
        <v>73</v>
      </c>
      <c r="L9" s="164"/>
      <c r="M9" s="164"/>
      <c r="N9" s="164" t="s">
        <v>75</v>
      </c>
      <c r="O9" s="137" t="str">
        <f t="shared" si="0"/>
        <v>failed</v>
      </c>
      <c r="P9" s="172"/>
    </row>
    <row r="10" spans="1:20" ht="54" customHeight="1" outlineLevel="1" x14ac:dyDescent="0.2">
      <c r="B10" s="157" t="s">
        <v>81</v>
      </c>
      <c r="C10" s="93" t="s">
        <v>82</v>
      </c>
      <c r="D10" s="271"/>
      <c r="E10" s="272"/>
      <c r="F10" s="66"/>
      <c r="G10" s="185" t="s">
        <v>72</v>
      </c>
      <c r="H10" s="66"/>
      <c r="I10" s="185"/>
      <c r="J10" s="91" t="str">
        <f>IF(OR(I10=G10,I10="i.O.",I10="io"),"ok","failed")</f>
        <v>failed</v>
      </c>
      <c r="K10" s="95" t="s">
        <v>73</v>
      </c>
      <c r="L10" s="164"/>
      <c r="M10" s="164"/>
      <c r="N10" s="164" t="s">
        <v>75</v>
      </c>
      <c r="O10" s="137" t="str">
        <f t="shared" si="0"/>
        <v>failed</v>
      </c>
      <c r="P10" s="172"/>
    </row>
    <row r="11" spans="1:20" ht="54" customHeight="1" outlineLevel="1" x14ac:dyDescent="0.2">
      <c r="B11" s="157" t="s">
        <v>83</v>
      </c>
      <c r="C11" s="93" t="s">
        <v>84</v>
      </c>
      <c r="D11" s="271"/>
      <c r="E11" s="272"/>
      <c r="F11" s="66"/>
      <c r="G11" s="185" t="s">
        <v>72</v>
      </c>
      <c r="H11" s="66"/>
      <c r="I11" s="185"/>
      <c r="J11" s="91" t="str">
        <f>IF(OR(I11=G11,I11="i.O.",I11="io"),"ok","failed")</f>
        <v>failed</v>
      </c>
      <c r="K11" s="95" t="s">
        <v>73</v>
      </c>
      <c r="L11" s="164"/>
      <c r="M11" s="164"/>
      <c r="N11" s="164" t="s">
        <v>75</v>
      </c>
      <c r="O11" s="137" t="str">
        <f t="shared" si="0"/>
        <v>failed</v>
      </c>
      <c r="P11" s="172"/>
    </row>
    <row r="12" spans="1:20" ht="34.5" customHeight="1" outlineLevel="1" x14ac:dyDescent="0.2">
      <c r="B12" s="157" t="s">
        <v>85</v>
      </c>
      <c r="C12" s="93" t="s">
        <v>86</v>
      </c>
      <c r="D12" s="271" t="s">
        <v>87</v>
      </c>
      <c r="E12" s="272"/>
      <c r="F12" s="190" t="s">
        <v>88</v>
      </c>
      <c r="G12" s="165"/>
      <c r="H12" s="66"/>
      <c r="I12" s="66"/>
      <c r="J12" s="66"/>
      <c r="K12" s="95"/>
      <c r="L12" s="164"/>
      <c r="M12" s="164"/>
      <c r="N12" s="164"/>
      <c r="O12" s="137" t="str">
        <f t="shared" si="0"/>
        <v>-</v>
      </c>
    </row>
    <row r="13" spans="1:20" ht="34.5" customHeight="1" outlineLevel="1" x14ac:dyDescent="0.2">
      <c r="B13" s="157" t="s">
        <v>91</v>
      </c>
      <c r="C13" s="93" t="s">
        <v>92</v>
      </c>
      <c r="D13" s="271" t="s">
        <v>93</v>
      </c>
      <c r="E13" s="272"/>
      <c r="F13" s="115"/>
      <c r="G13" s="165"/>
      <c r="H13" s="115"/>
      <c r="I13" s="163"/>
      <c r="J13" s="163"/>
      <c r="K13" s="163"/>
      <c r="L13" s="163"/>
      <c r="M13" s="163"/>
      <c r="N13" s="207" t="s">
        <v>78</v>
      </c>
    </row>
    <row r="14" spans="1:20" s="139" customFormat="1" ht="30" customHeight="1" outlineLevel="1" x14ac:dyDescent="0.2">
      <c r="A14" s="184"/>
      <c r="B14" s="158" t="s">
        <v>50</v>
      </c>
      <c r="C14" s="65" t="s">
        <v>94</v>
      </c>
      <c r="D14" s="282"/>
      <c r="E14" s="283"/>
      <c r="F14" s="195"/>
      <c r="G14" s="194"/>
      <c r="H14" s="194"/>
      <c r="I14" s="194"/>
      <c r="J14" s="187"/>
      <c r="K14" s="187"/>
      <c r="L14" s="70"/>
      <c r="M14" s="70"/>
      <c r="N14" s="70"/>
      <c r="O14" s="137" t="str">
        <f t="shared" si="0"/>
        <v>-</v>
      </c>
      <c r="P14" s="172"/>
      <c r="Q14" s="173"/>
    </row>
    <row r="15" spans="1:20" s="139" customFormat="1" ht="108.6" customHeight="1" outlineLevel="1" x14ac:dyDescent="0.2">
      <c r="A15" s="184"/>
      <c r="B15" s="157" t="s">
        <v>95</v>
      </c>
      <c r="C15" s="93" t="s">
        <v>96</v>
      </c>
      <c r="D15" s="271" t="s">
        <v>97</v>
      </c>
      <c r="E15" s="272"/>
      <c r="F15" s="66"/>
      <c r="G15" s="66"/>
      <c r="H15" s="66"/>
      <c r="I15" s="66"/>
      <c r="J15" s="66"/>
      <c r="K15" s="164"/>
      <c r="L15" s="164"/>
      <c r="M15" s="164"/>
      <c r="N15" s="164" t="s">
        <v>90</v>
      </c>
      <c r="O15" s="137" t="str">
        <f t="shared" si="0"/>
        <v>-</v>
      </c>
      <c r="P15" s="174"/>
      <c r="Q15" s="173"/>
    </row>
    <row r="16" spans="1:20" s="139" customFormat="1" ht="30" customHeight="1" x14ac:dyDescent="0.2">
      <c r="A16" s="184"/>
      <c r="B16" s="96">
        <v>2</v>
      </c>
      <c r="C16" s="96" t="s">
        <v>98</v>
      </c>
      <c r="D16" s="273"/>
      <c r="E16" s="281"/>
      <c r="F16" s="125"/>
      <c r="G16" s="124"/>
      <c r="H16" s="124"/>
      <c r="I16" s="187"/>
      <c r="J16" s="187"/>
      <c r="K16" s="187"/>
      <c r="L16" s="70"/>
      <c r="M16" s="70"/>
      <c r="N16" s="70"/>
      <c r="O16" s="137" t="str">
        <f t="shared" si="0"/>
        <v>-</v>
      </c>
      <c r="P16" s="175"/>
      <c r="Q16" s="173"/>
    </row>
    <row r="17" spans="1:17" s="139" customFormat="1" ht="30" customHeight="1" outlineLevel="1" x14ac:dyDescent="0.2">
      <c r="A17" s="184"/>
      <c r="B17" s="158" t="s">
        <v>99</v>
      </c>
      <c r="C17" s="65" t="s">
        <v>100</v>
      </c>
      <c r="D17" s="282"/>
      <c r="E17" s="283"/>
      <c r="F17" s="188"/>
      <c r="G17" s="187"/>
      <c r="H17" s="187"/>
      <c r="I17" s="187"/>
      <c r="J17" s="187"/>
      <c r="K17" s="187"/>
      <c r="L17" s="70"/>
      <c r="M17" s="70"/>
      <c r="N17" s="70"/>
      <c r="O17" s="137" t="str">
        <f t="shared" si="0"/>
        <v>-</v>
      </c>
    </row>
    <row r="18" spans="1:17" s="139" customFormat="1" ht="30" customHeight="1" outlineLevel="1" x14ac:dyDescent="0.2">
      <c r="A18" s="184"/>
      <c r="B18" s="157" t="s">
        <v>101</v>
      </c>
      <c r="C18" s="93" t="s">
        <v>102</v>
      </c>
      <c r="D18" s="271" t="s">
        <v>103</v>
      </c>
      <c r="E18" s="272"/>
      <c r="F18" s="66"/>
      <c r="G18" s="185">
        <v>1</v>
      </c>
      <c r="H18" s="66"/>
      <c r="I18" s="185"/>
      <c r="J18" s="91" t="str">
        <f>IF(ISBLANK(I18),"failed",IF(OR(I18=G18,I18="i. O.",I18="i.O.",I18="io"),"ok","failed"))</f>
        <v>failed</v>
      </c>
      <c r="K18" s="95" t="s">
        <v>73</v>
      </c>
      <c r="L18" s="164" t="s">
        <v>104</v>
      </c>
      <c r="M18" s="164"/>
      <c r="N18" s="164" t="s">
        <v>90</v>
      </c>
      <c r="O18" s="137" t="str">
        <f t="shared" si="0"/>
        <v>failed</v>
      </c>
      <c r="P18" s="175"/>
      <c r="Q18" s="173"/>
    </row>
    <row r="19" spans="1:17" s="139" customFormat="1" ht="30" customHeight="1" outlineLevel="1" x14ac:dyDescent="0.2">
      <c r="A19" s="184"/>
      <c r="B19" s="157" t="s">
        <v>105</v>
      </c>
      <c r="C19" s="93" t="s">
        <v>106</v>
      </c>
      <c r="D19" s="271" t="s">
        <v>107</v>
      </c>
      <c r="E19" s="272"/>
      <c r="F19" s="66"/>
      <c r="G19" s="185" t="s">
        <v>108</v>
      </c>
      <c r="H19" s="66"/>
      <c r="I19" s="185"/>
      <c r="J19" s="91" t="str">
        <f t="shared" ref="J19:J20" si="1">IF(OR(I19=G19,I19="i. O.",I19="i.O.",I19="io"),"ok","failed")</f>
        <v>failed</v>
      </c>
      <c r="K19" s="95" t="s">
        <v>73</v>
      </c>
      <c r="L19" s="164" t="s">
        <v>109</v>
      </c>
      <c r="M19" s="164"/>
      <c r="N19" s="164" t="s">
        <v>90</v>
      </c>
      <c r="O19" s="137" t="str">
        <f t="shared" si="0"/>
        <v>failed</v>
      </c>
      <c r="P19" s="175"/>
      <c r="Q19" s="173"/>
    </row>
    <row r="20" spans="1:17" s="139" customFormat="1" ht="30" customHeight="1" outlineLevel="1" x14ac:dyDescent="0.2">
      <c r="A20" s="184"/>
      <c r="B20" s="157" t="s">
        <v>110</v>
      </c>
      <c r="C20" s="93" t="s">
        <v>111</v>
      </c>
      <c r="D20" s="271" t="s">
        <v>112</v>
      </c>
      <c r="E20" s="272"/>
      <c r="F20" s="66"/>
      <c r="G20" s="185" t="s">
        <v>108</v>
      </c>
      <c r="H20" s="66"/>
      <c r="I20" s="185"/>
      <c r="J20" s="91" t="str">
        <f t="shared" si="1"/>
        <v>failed</v>
      </c>
      <c r="K20" s="95" t="s">
        <v>73</v>
      </c>
      <c r="L20" s="164" t="s">
        <v>109</v>
      </c>
      <c r="M20" s="164"/>
      <c r="N20" s="164" t="s">
        <v>90</v>
      </c>
      <c r="O20" s="137" t="str">
        <f t="shared" si="0"/>
        <v>failed</v>
      </c>
      <c r="P20" s="175"/>
      <c r="Q20" s="173"/>
    </row>
    <row r="21" spans="1:17" s="139" customFormat="1" ht="30" customHeight="1" outlineLevel="1" x14ac:dyDescent="0.2">
      <c r="A21" s="184"/>
      <c r="B21" s="157" t="s">
        <v>113</v>
      </c>
      <c r="C21" s="93" t="s">
        <v>114</v>
      </c>
      <c r="D21" s="271"/>
      <c r="E21" s="272"/>
      <c r="F21" s="66"/>
      <c r="G21" s="185">
        <v>0</v>
      </c>
      <c r="H21" s="66"/>
      <c r="I21" s="185"/>
      <c r="J21" s="91" t="str">
        <f>IF(ISBLANK(I21),"failed",IF(OR(I21=G21,I21="i. O.",I21="i.O.",I21="io"),"ok","failed"))</f>
        <v>failed</v>
      </c>
      <c r="K21" s="95" t="s">
        <v>73</v>
      </c>
      <c r="L21" s="164" t="s">
        <v>115</v>
      </c>
      <c r="M21" s="164"/>
      <c r="N21" s="164" t="s">
        <v>90</v>
      </c>
      <c r="O21" s="137" t="str">
        <f t="shared" si="0"/>
        <v>failed</v>
      </c>
      <c r="P21" s="175"/>
      <c r="Q21" s="173"/>
    </row>
    <row r="22" spans="1:17" s="139" customFormat="1" ht="45" customHeight="1" outlineLevel="1" x14ac:dyDescent="0.2">
      <c r="A22" s="184"/>
      <c r="B22" s="157" t="s">
        <v>305</v>
      </c>
      <c r="C22" s="94" t="s">
        <v>294</v>
      </c>
      <c r="D22" s="260" t="s">
        <v>295</v>
      </c>
      <c r="E22" s="261"/>
      <c r="F22" s="117"/>
      <c r="G22" s="185" t="s">
        <v>296</v>
      </c>
      <c r="H22" s="45"/>
      <c r="I22" s="185"/>
      <c r="J22" s="91" t="s">
        <v>35</v>
      </c>
      <c r="K22" s="95" t="s">
        <v>73</v>
      </c>
      <c r="L22" s="164" t="s">
        <v>297</v>
      </c>
      <c r="M22" s="164"/>
      <c r="N22" s="164"/>
      <c r="O22" s="137"/>
    </row>
    <row r="23" spans="1:17" s="139" customFormat="1" ht="30" customHeight="1" outlineLevel="1" x14ac:dyDescent="0.2">
      <c r="A23" s="184"/>
      <c r="B23" s="158" t="s">
        <v>116</v>
      </c>
      <c r="C23" s="65" t="s">
        <v>117</v>
      </c>
      <c r="D23" s="282"/>
      <c r="E23" s="283"/>
      <c r="F23" s="188"/>
      <c r="G23" s="70"/>
      <c r="H23" s="192"/>
      <c r="I23" s="187"/>
      <c r="J23" s="187"/>
      <c r="K23" s="187"/>
      <c r="L23" s="70"/>
      <c r="M23" s="70"/>
      <c r="N23" s="70"/>
      <c r="O23" s="137" t="str">
        <f t="shared" si="0"/>
        <v>-</v>
      </c>
    </row>
    <row r="24" spans="1:17" s="139" customFormat="1" ht="30" customHeight="1" outlineLevel="1" x14ac:dyDescent="0.2">
      <c r="A24" s="184"/>
      <c r="B24" s="157" t="s">
        <v>118</v>
      </c>
      <c r="C24" s="93" t="s">
        <v>119</v>
      </c>
      <c r="D24" s="260" t="s">
        <v>120</v>
      </c>
      <c r="E24" s="261"/>
      <c r="F24" s="190" t="s">
        <v>121</v>
      </c>
      <c r="G24" s="45">
        <v>50</v>
      </c>
      <c r="H24" s="126" t="s">
        <v>122</v>
      </c>
      <c r="I24" s="185"/>
      <c r="J24" s="91" t="str">
        <f>IF(ISBLANK(I24),"failed",IF(I24&lt;=30,"ok","failed"))</f>
        <v>failed</v>
      </c>
      <c r="K24" s="95" t="s">
        <v>73</v>
      </c>
      <c r="L24" s="164" t="s">
        <v>123</v>
      </c>
      <c r="M24" s="164"/>
      <c r="N24" s="164" t="s">
        <v>124</v>
      </c>
      <c r="O24" s="137" t="str">
        <f t="shared" si="0"/>
        <v>failed</v>
      </c>
    </row>
    <row r="25" spans="1:17" s="139" customFormat="1" ht="30" customHeight="1" x14ac:dyDescent="0.2">
      <c r="A25" s="184"/>
      <c r="B25" s="96">
        <v>3</v>
      </c>
      <c r="C25" s="96" t="s">
        <v>125</v>
      </c>
      <c r="D25" s="273"/>
      <c r="E25" s="281"/>
      <c r="F25" s="125"/>
      <c r="G25" s="124"/>
      <c r="H25" s="124"/>
      <c r="I25" s="187"/>
      <c r="J25" s="187"/>
      <c r="K25" s="187"/>
      <c r="L25" s="70"/>
      <c r="M25" s="70"/>
      <c r="N25" s="70"/>
      <c r="O25" s="137" t="str">
        <f t="shared" si="0"/>
        <v>-</v>
      </c>
    </row>
    <row r="26" spans="1:17" s="139" customFormat="1" ht="101.45" customHeight="1" outlineLevel="1" x14ac:dyDescent="0.2">
      <c r="A26" s="184"/>
      <c r="B26" s="157" t="s">
        <v>126</v>
      </c>
      <c r="C26" s="94" t="s">
        <v>127</v>
      </c>
      <c r="D26" s="260" t="s">
        <v>128</v>
      </c>
      <c r="E26" s="261"/>
      <c r="F26" s="66"/>
      <c r="G26" s="66"/>
      <c r="H26" s="66"/>
      <c r="I26" s="66"/>
      <c r="J26" s="66"/>
      <c r="K26" s="164"/>
      <c r="L26" s="164"/>
      <c r="M26" s="164"/>
      <c r="N26" s="164" t="s">
        <v>75</v>
      </c>
      <c r="O26" s="137" t="str">
        <f t="shared" si="0"/>
        <v>-</v>
      </c>
    </row>
    <row r="27" spans="1:17" s="139" customFormat="1" ht="30" customHeight="1" x14ac:dyDescent="0.2">
      <c r="A27" s="184"/>
      <c r="B27" s="96">
        <v>4</v>
      </c>
      <c r="C27" s="96" t="s">
        <v>129</v>
      </c>
      <c r="D27" s="273"/>
      <c r="E27" s="281"/>
      <c r="F27" s="125"/>
      <c r="G27" s="124"/>
      <c r="H27" s="124"/>
      <c r="I27" s="187"/>
      <c r="J27" s="187"/>
      <c r="K27" s="187"/>
      <c r="L27" s="70"/>
      <c r="M27" s="70"/>
      <c r="N27" s="70"/>
      <c r="O27" s="137" t="str">
        <f t="shared" si="0"/>
        <v>-</v>
      </c>
    </row>
    <row r="28" spans="1:17" s="139" customFormat="1" ht="30" customHeight="1" outlineLevel="1" x14ac:dyDescent="0.2">
      <c r="A28" s="184"/>
      <c r="B28" s="158" t="s">
        <v>130</v>
      </c>
      <c r="C28" s="65" t="s">
        <v>131</v>
      </c>
      <c r="D28" s="282"/>
      <c r="E28" s="283"/>
      <c r="F28" s="195"/>
      <c r="G28" s="194"/>
      <c r="H28" s="194"/>
      <c r="I28" s="194"/>
      <c r="J28" s="187"/>
      <c r="K28" s="187"/>
      <c r="L28" s="70"/>
      <c r="M28" s="70"/>
      <c r="N28" s="70"/>
      <c r="O28" s="137" t="str">
        <f t="shared" si="0"/>
        <v>-</v>
      </c>
      <c r="P28" s="175"/>
      <c r="Q28" s="173"/>
    </row>
    <row r="29" spans="1:17" s="139" customFormat="1" ht="45" customHeight="1" outlineLevel="1" x14ac:dyDescent="0.2">
      <c r="A29" s="184"/>
      <c r="B29" s="157" t="s">
        <v>132</v>
      </c>
      <c r="C29" s="94" t="s">
        <v>133</v>
      </c>
      <c r="D29" s="260" t="s">
        <v>134</v>
      </c>
      <c r="E29" s="261"/>
      <c r="F29" s="117" t="s">
        <v>135</v>
      </c>
      <c r="G29" s="185">
        <v>15</v>
      </c>
      <c r="H29" s="45" t="s">
        <v>122</v>
      </c>
      <c r="I29" s="185"/>
      <c r="J29" s="91" t="str">
        <f>IF(OR(I29=G29,I29="i. O.",I29="i.O.",I29="io"),"ok","failed")</f>
        <v>failed</v>
      </c>
      <c r="K29" s="95" t="s">
        <v>73</v>
      </c>
      <c r="L29" s="164" t="s">
        <v>136</v>
      </c>
      <c r="M29" s="164"/>
      <c r="N29" s="164" t="s">
        <v>90</v>
      </c>
      <c r="O29" s="137" t="str">
        <f t="shared" si="0"/>
        <v>failed</v>
      </c>
    </row>
    <row r="30" spans="1:17" s="139" customFormat="1" ht="36" customHeight="1" outlineLevel="1" x14ac:dyDescent="0.2">
      <c r="A30" s="184"/>
      <c r="B30" s="157" t="s">
        <v>137</v>
      </c>
      <c r="C30" s="93" t="s">
        <v>138</v>
      </c>
      <c r="D30" s="260"/>
      <c r="E30" s="261"/>
      <c r="F30" s="117" t="s">
        <v>139</v>
      </c>
      <c r="G30" s="66"/>
      <c r="H30" s="66"/>
      <c r="I30" s="66"/>
      <c r="J30" s="66"/>
      <c r="K30" s="164"/>
      <c r="L30" s="164"/>
      <c r="M30" s="164"/>
      <c r="N30" s="164" t="s">
        <v>75</v>
      </c>
      <c r="O30" s="137" t="str">
        <f t="shared" si="0"/>
        <v>-</v>
      </c>
    </row>
    <row r="31" spans="1:17" s="139" customFormat="1" ht="45" customHeight="1" outlineLevel="1" x14ac:dyDescent="0.2">
      <c r="A31" s="184"/>
      <c r="B31" s="157" t="s">
        <v>141</v>
      </c>
      <c r="C31" s="93" t="s">
        <v>142</v>
      </c>
      <c r="D31" s="260" t="s">
        <v>143</v>
      </c>
      <c r="E31" s="261"/>
      <c r="F31" s="117" t="s">
        <v>139</v>
      </c>
      <c r="G31" s="159" t="s">
        <v>144</v>
      </c>
      <c r="H31" s="45" t="s">
        <v>304</v>
      </c>
      <c r="I31" s="128"/>
      <c r="J31" s="91" t="str">
        <f t="shared" ref="J31:J39" si="2">IF(OR(I31=G31,I31="i. O.",I31="i.O.",I31="io"),"ok","failed")</f>
        <v>failed</v>
      </c>
      <c r="K31" s="95" t="s">
        <v>73</v>
      </c>
      <c r="L31" s="164" t="s">
        <v>140</v>
      </c>
      <c r="M31" s="164"/>
      <c r="N31" s="164" t="s">
        <v>90</v>
      </c>
      <c r="O31" s="137" t="str">
        <f t="shared" si="0"/>
        <v>failed</v>
      </c>
    </row>
    <row r="32" spans="1:17" s="139" customFormat="1" ht="30" customHeight="1" outlineLevel="1" x14ac:dyDescent="0.2">
      <c r="A32" s="184"/>
      <c r="B32" s="158" t="s">
        <v>146</v>
      </c>
      <c r="C32" s="65" t="s">
        <v>147</v>
      </c>
      <c r="D32" s="282"/>
      <c r="E32" s="283"/>
      <c r="F32" s="195"/>
      <c r="G32" s="194"/>
      <c r="H32" s="194"/>
      <c r="I32" s="194"/>
      <c r="J32" s="187"/>
      <c r="K32" s="187"/>
      <c r="L32" s="70"/>
      <c r="M32" s="70"/>
      <c r="N32" s="70"/>
      <c r="O32" s="137" t="str">
        <f t="shared" si="0"/>
        <v>-</v>
      </c>
      <c r="P32" s="175"/>
      <c r="Q32" s="173"/>
    </row>
    <row r="33" spans="1:15" s="139" customFormat="1" ht="79.5" customHeight="1" outlineLevel="1" x14ac:dyDescent="0.2">
      <c r="A33" s="184"/>
      <c r="B33" s="157" t="s">
        <v>148</v>
      </c>
      <c r="C33" s="94" t="s">
        <v>149</v>
      </c>
      <c r="D33" s="260" t="s">
        <v>150</v>
      </c>
      <c r="E33" s="261"/>
      <c r="F33" s="117" t="s">
        <v>135</v>
      </c>
      <c r="G33" s="159" t="s">
        <v>151</v>
      </c>
      <c r="H33" s="45" t="s">
        <v>152</v>
      </c>
      <c r="I33" s="128"/>
      <c r="J33" s="91" t="str">
        <f t="shared" si="2"/>
        <v>failed</v>
      </c>
      <c r="K33" s="95" t="s">
        <v>73</v>
      </c>
      <c r="L33" s="164" t="s">
        <v>153</v>
      </c>
      <c r="M33" s="164"/>
      <c r="N33" s="164" t="s">
        <v>90</v>
      </c>
      <c r="O33" s="137" t="str">
        <f t="shared" si="0"/>
        <v>failed</v>
      </c>
    </row>
    <row r="34" spans="1:15" ht="60.75" customHeight="1" outlineLevel="1" x14ac:dyDescent="0.2">
      <c r="B34" s="157" t="s">
        <v>154</v>
      </c>
      <c r="C34" s="93" t="s">
        <v>155</v>
      </c>
      <c r="D34" s="260" t="s">
        <v>156</v>
      </c>
      <c r="E34" s="261"/>
      <c r="F34" s="117" t="s">
        <v>88</v>
      </c>
      <c r="G34" s="159" t="s">
        <v>157</v>
      </c>
      <c r="H34" s="45" t="s">
        <v>301</v>
      </c>
      <c r="I34" s="128"/>
      <c r="J34" s="91" t="str">
        <f t="shared" si="2"/>
        <v>failed</v>
      </c>
      <c r="K34" s="95" t="s">
        <v>73</v>
      </c>
      <c r="L34" s="164" t="s">
        <v>158</v>
      </c>
      <c r="M34" s="164"/>
      <c r="N34" s="164" t="s">
        <v>90</v>
      </c>
      <c r="O34" s="137" t="str">
        <f t="shared" si="0"/>
        <v>failed</v>
      </c>
    </row>
    <row r="35" spans="1:15" s="139" customFormat="1" ht="35.25" customHeight="1" outlineLevel="1" x14ac:dyDescent="0.2">
      <c r="A35" s="184"/>
      <c r="B35" s="157" t="s">
        <v>159</v>
      </c>
      <c r="C35" s="93" t="s">
        <v>160</v>
      </c>
      <c r="D35" s="260" t="s">
        <v>161</v>
      </c>
      <c r="E35" s="261"/>
      <c r="F35" s="117" t="s">
        <v>88</v>
      </c>
      <c r="G35" s="159" t="s">
        <v>157</v>
      </c>
      <c r="H35" s="45" t="s">
        <v>301</v>
      </c>
      <c r="I35" s="128"/>
      <c r="J35" s="91" t="str">
        <f t="shared" si="2"/>
        <v>failed</v>
      </c>
      <c r="K35" s="95" t="s">
        <v>73</v>
      </c>
      <c r="L35" s="164" t="s">
        <v>162</v>
      </c>
      <c r="M35" s="164"/>
      <c r="N35" s="164" t="s">
        <v>90</v>
      </c>
      <c r="O35" s="137" t="str">
        <f t="shared" si="0"/>
        <v>failed</v>
      </c>
    </row>
    <row r="36" spans="1:15" s="139" customFormat="1" ht="35.25" customHeight="1" outlineLevel="1" x14ac:dyDescent="0.2">
      <c r="A36" s="184"/>
      <c r="B36" s="157" t="s">
        <v>163</v>
      </c>
      <c r="C36" s="93" t="s">
        <v>164</v>
      </c>
      <c r="D36" s="260" t="s">
        <v>165</v>
      </c>
      <c r="E36" s="261"/>
      <c r="F36" s="117" t="s">
        <v>88</v>
      </c>
      <c r="G36" s="159" t="s">
        <v>157</v>
      </c>
      <c r="H36" s="45" t="s">
        <v>301</v>
      </c>
      <c r="I36" s="128"/>
      <c r="J36" s="91" t="str">
        <f t="shared" si="2"/>
        <v>failed</v>
      </c>
      <c r="K36" s="95" t="s">
        <v>73</v>
      </c>
      <c r="L36" s="164" t="s">
        <v>162</v>
      </c>
      <c r="M36" s="164"/>
      <c r="N36" s="164" t="s">
        <v>90</v>
      </c>
      <c r="O36" s="137" t="str">
        <f t="shared" si="0"/>
        <v>failed</v>
      </c>
    </row>
    <row r="37" spans="1:15" s="139" customFormat="1" ht="35.25" customHeight="1" outlineLevel="1" x14ac:dyDescent="0.2">
      <c r="A37" s="184"/>
      <c r="B37" s="157" t="s">
        <v>166</v>
      </c>
      <c r="C37" s="93" t="s">
        <v>167</v>
      </c>
      <c r="D37" s="260" t="s">
        <v>168</v>
      </c>
      <c r="E37" s="261"/>
      <c r="F37" s="117" t="s">
        <v>88</v>
      </c>
      <c r="G37" s="159" t="s">
        <v>157</v>
      </c>
      <c r="H37" s="45" t="s">
        <v>301</v>
      </c>
      <c r="I37" s="128"/>
      <c r="J37" s="91" t="str">
        <f t="shared" si="2"/>
        <v>failed</v>
      </c>
      <c r="K37" s="95" t="s">
        <v>73</v>
      </c>
      <c r="L37" s="164" t="s">
        <v>169</v>
      </c>
      <c r="M37" s="164"/>
      <c r="N37" s="164" t="s">
        <v>90</v>
      </c>
      <c r="O37" s="137" t="str">
        <f t="shared" si="0"/>
        <v>failed</v>
      </c>
    </row>
    <row r="38" spans="1:15" s="139" customFormat="1" ht="35.25" customHeight="1" outlineLevel="1" x14ac:dyDescent="0.2">
      <c r="A38" s="184"/>
      <c r="B38" s="157" t="s">
        <v>170</v>
      </c>
      <c r="C38" s="93" t="s">
        <v>171</v>
      </c>
      <c r="D38" s="260" t="s">
        <v>172</v>
      </c>
      <c r="E38" s="261"/>
      <c r="F38" s="117" t="s">
        <v>88</v>
      </c>
      <c r="G38" s="159" t="s">
        <v>157</v>
      </c>
      <c r="H38" s="45" t="s">
        <v>301</v>
      </c>
      <c r="I38" s="128"/>
      <c r="J38" s="91" t="str">
        <f t="shared" si="2"/>
        <v>failed</v>
      </c>
      <c r="K38" s="95" t="s">
        <v>73</v>
      </c>
      <c r="L38" s="164" t="s">
        <v>169</v>
      </c>
      <c r="M38" s="164"/>
      <c r="N38" s="164" t="s">
        <v>90</v>
      </c>
      <c r="O38" s="137" t="str">
        <f t="shared" si="0"/>
        <v>failed</v>
      </c>
    </row>
    <row r="39" spans="1:15" s="139" customFormat="1" ht="35.25" customHeight="1" outlineLevel="1" x14ac:dyDescent="0.2">
      <c r="A39" s="184"/>
      <c r="B39" s="157" t="s">
        <v>173</v>
      </c>
      <c r="C39" s="93" t="s">
        <v>174</v>
      </c>
      <c r="D39" s="185"/>
      <c r="E39" s="126"/>
      <c r="F39" s="117" t="s">
        <v>88</v>
      </c>
      <c r="G39" s="159" t="s">
        <v>175</v>
      </c>
      <c r="H39" s="186" t="s">
        <v>122</v>
      </c>
      <c r="I39" s="208"/>
      <c r="J39" s="91" t="str">
        <f t="shared" si="2"/>
        <v>failed</v>
      </c>
      <c r="K39" s="95"/>
      <c r="L39" s="164"/>
      <c r="M39" s="164"/>
      <c r="N39" s="164" t="s">
        <v>90</v>
      </c>
      <c r="O39" s="137" t="str">
        <f t="shared" si="0"/>
        <v>failed</v>
      </c>
    </row>
    <row r="40" spans="1:15" s="139" customFormat="1" ht="35.25" customHeight="1" outlineLevel="1" x14ac:dyDescent="0.2">
      <c r="A40" s="184"/>
      <c r="B40" s="157" t="s">
        <v>176</v>
      </c>
      <c r="C40" s="93" t="s">
        <v>177</v>
      </c>
      <c r="D40" s="185"/>
      <c r="E40" s="126"/>
      <c r="F40" s="117" t="s">
        <v>88</v>
      </c>
      <c r="G40" s="159" t="s">
        <v>175</v>
      </c>
      <c r="H40" s="186" t="s">
        <v>122</v>
      </c>
      <c r="I40" s="208"/>
      <c r="J40" s="91"/>
      <c r="K40" s="95"/>
      <c r="L40" s="164"/>
      <c r="M40" s="164"/>
      <c r="N40" s="164" t="s">
        <v>90</v>
      </c>
      <c r="O40" s="137"/>
    </row>
    <row r="41" spans="1:15" s="139" customFormat="1" ht="30" customHeight="1" outlineLevel="1" x14ac:dyDescent="0.2">
      <c r="A41" s="184"/>
      <c r="B41" s="158" t="s">
        <v>178</v>
      </c>
      <c r="C41" s="168" t="s">
        <v>179</v>
      </c>
      <c r="D41" s="194"/>
      <c r="E41" s="196"/>
      <c r="F41" s="169"/>
      <c r="G41" s="169"/>
      <c r="H41" s="195"/>
      <c r="I41" s="194"/>
      <c r="J41" s="169"/>
      <c r="K41" s="169"/>
      <c r="L41" s="169"/>
      <c r="M41" s="169"/>
      <c r="N41" s="169"/>
      <c r="O41" s="137" t="str">
        <f t="shared" si="0"/>
        <v>-</v>
      </c>
    </row>
    <row r="42" spans="1:15" s="139" customFormat="1" ht="56.25" customHeight="1" outlineLevel="1" x14ac:dyDescent="0.2">
      <c r="A42" s="184"/>
      <c r="B42" s="157" t="s">
        <v>180</v>
      </c>
      <c r="C42" s="93" t="s">
        <v>181</v>
      </c>
      <c r="D42" s="260" t="s">
        <v>182</v>
      </c>
      <c r="E42" s="261"/>
      <c r="F42" s="115"/>
      <c r="G42" s="115"/>
      <c r="H42" s="115"/>
      <c r="I42" s="115"/>
      <c r="J42" s="91"/>
      <c r="K42" s="179" t="s">
        <v>73</v>
      </c>
      <c r="L42" s="164"/>
      <c r="M42" s="164"/>
      <c r="N42" s="164" t="s">
        <v>75</v>
      </c>
      <c r="O42" s="137" t="str">
        <f>IF(G42="","-",IF(J42="","",J42))</f>
        <v>-</v>
      </c>
    </row>
    <row r="43" spans="1:15" s="139" customFormat="1" ht="56.25" customHeight="1" outlineLevel="1" x14ac:dyDescent="0.2">
      <c r="A43" s="184"/>
      <c r="B43" s="157" t="s">
        <v>183</v>
      </c>
      <c r="C43" s="93" t="s">
        <v>184</v>
      </c>
      <c r="D43" s="260" t="s">
        <v>185</v>
      </c>
      <c r="E43" s="261"/>
      <c r="F43" s="115"/>
      <c r="G43" s="115"/>
      <c r="H43" s="115"/>
      <c r="I43" s="115"/>
      <c r="J43" s="91"/>
      <c r="K43" s="179" t="s">
        <v>73</v>
      </c>
      <c r="L43" s="164"/>
      <c r="M43" s="164"/>
      <c r="N43" s="164" t="s">
        <v>78</v>
      </c>
      <c r="O43" s="137" t="str">
        <f>IF(G43="","-",IF(J43="","",J43))</f>
        <v>-</v>
      </c>
    </row>
    <row r="44" spans="1:15" s="139" customFormat="1" ht="56.25" customHeight="1" outlineLevel="1" x14ac:dyDescent="0.2">
      <c r="A44" s="184"/>
      <c r="B44" s="157" t="s">
        <v>186</v>
      </c>
      <c r="C44" s="93" t="s">
        <v>187</v>
      </c>
      <c r="D44" s="260" t="s">
        <v>188</v>
      </c>
      <c r="E44" s="261"/>
      <c r="F44" s="115"/>
      <c r="G44" s="115"/>
      <c r="H44" s="115"/>
      <c r="I44" s="115"/>
      <c r="J44" s="91"/>
      <c r="K44" s="179" t="s">
        <v>73</v>
      </c>
      <c r="L44" s="164"/>
      <c r="M44" s="164"/>
      <c r="N44" s="164" t="s">
        <v>78</v>
      </c>
      <c r="O44" s="137" t="str">
        <f>IF(G44="","-",IF(J44="","",J44))</f>
        <v>-</v>
      </c>
    </row>
    <row r="45" spans="1:15" s="139" customFormat="1" ht="40.5" customHeight="1" outlineLevel="1" x14ac:dyDescent="0.2">
      <c r="A45" s="184"/>
      <c r="B45" s="157" t="s">
        <v>189</v>
      </c>
      <c r="C45" s="93" t="s">
        <v>190</v>
      </c>
      <c r="D45" s="260" t="s">
        <v>191</v>
      </c>
      <c r="E45" s="261"/>
      <c r="F45" s="115"/>
      <c r="G45" s="170">
        <v>20</v>
      </c>
      <c r="H45" s="165"/>
      <c r="I45" s="128"/>
      <c r="J45" s="91" t="str">
        <f t="shared" ref="J45:J47" si="3">IF(OR(I45=G45,I45="i. O.",I45="i.O.",I45="io"),"ok","failed")</f>
        <v>failed</v>
      </c>
      <c r="K45" s="95" t="s">
        <v>73</v>
      </c>
      <c r="L45" s="164" t="s">
        <v>192</v>
      </c>
      <c r="M45" s="164"/>
      <c r="N45" s="164" t="s">
        <v>75</v>
      </c>
      <c r="O45" s="137" t="str">
        <f t="shared" si="0"/>
        <v>failed</v>
      </c>
    </row>
    <row r="46" spans="1:15" s="139" customFormat="1" ht="40.5" customHeight="1" outlineLevel="1" x14ac:dyDescent="0.2">
      <c r="A46" s="184"/>
      <c r="B46" s="157" t="s">
        <v>193</v>
      </c>
      <c r="C46" s="93" t="s">
        <v>194</v>
      </c>
      <c r="D46" s="260" t="s">
        <v>195</v>
      </c>
      <c r="E46" s="261"/>
      <c r="F46" s="115"/>
      <c r="G46" s="170">
        <v>30</v>
      </c>
      <c r="H46" s="165"/>
      <c r="I46" s="128"/>
      <c r="J46" s="91" t="str">
        <f t="shared" si="3"/>
        <v>failed</v>
      </c>
      <c r="K46" s="95" t="s">
        <v>73</v>
      </c>
      <c r="L46" s="164" t="s">
        <v>192</v>
      </c>
      <c r="M46" s="164"/>
      <c r="N46" s="164" t="s">
        <v>75</v>
      </c>
      <c r="O46" s="137" t="str">
        <f t="shared" si="0"/>
        <v>failed</v>
      </c>
    </row>
    <row r="47" spans="1:15" s="139" customFormat="1" ht="40.5" customHeight="1" outlineLevel="1" x14ac:dyDescent="0.2">
      <c r="A47" s="184"/>
      <c r="B47" s="157" t="s">
        <v>196</v>
      </c>
      <c r="C47" s="93" t="s">
        <v>197</v>
      </c>
      <c r="D47" s="260" t="s">
        <v>198</v>
      </c>
      <c r="E47" s="261"/>
      <c r="F47" s="115"/>
      <c r="G47" s="170">
        <v>34</v>
      </c>
      <c r="H47" s="165"/>
      <c r="I47" s="128"/>
      <c r="J47" s="91" t="str">
        <f t="shared" si="3"/>
        <v>failed</v>
      </c>
      <c r="K47" s="95" t="s">
        <v>73</v>
      </c>
      <c r="L47" s="164" t="s">
        <v>192</v>
      </c>
      <c r="M47" s="164"/>
      <c r="N47" s="164" t="s">
        <v>75</v>
      </c>
      <c r="O47" s="137" t="str">
        <f t="shared" si="0"/>
        <v>failed</v>
      </c>
    </row>
    <row r="48" spans="1:15" s="139" customFormat="1" ht="40.5" customHeight="1" outlineLevel="1" x14ac:dyDescent="0.2">
      <c r="A48" s="184"/>
      <c r="B48" s="157" t="s">
        <v>199</v>
      </c>
      <c r="C48" s="93" t="s">
        <v>200</v>
      </c>
      <c r="D48" s="260" t="s">
        <v>201</v>
      </c>
      <c r="E48" s="261"/>
      <c r="F48" s="115"/>
      <c r="G48" s="170">
        <v>1</v>
      </c>
      <c r="H48" s="165"/>
      <c r="I48" s="128"/>
      <c r="J48" s="91" t="str">
        <f>IF(OR(I48=G48,I48="i. O.",I48="i.O.",I48="io"),"ok","failed")</f>
        <v>failed</v>
      </c>
      <c r="K48" s="95" t="s">
        <v>73</v>
      </c>
      <c r="L48" s="164" t="s">
        <v>192</v>
      </c>
      <c r="M48" s="164"/>
      <c r="N48" s="164" t="s">
        <v>75</v>
      </c>
      <c r="O48" s="137" t="str">
        <f t="shared" si="0"/>
        <v>failed</v>
      </c>
    </row>
    <row r="49" spans="1:19" s="139" customFormat="1" ht="40.5" customHeight="1" outlineLevel="1" x14ac:dyDescent="0.2">
      <c r="A49" s="184"/>
      <c r="B49" s="210" t="s">
        <v>202</v>
      </c>
      <c r="C49" s="211" t="s">
        <v>203</v>
      </c>
      <c r="D49" s="267" t="s">
        <v>204</v>
      </c>
      <c r="E49" s="268"/>
      <c r="F49" s="212"/>
      <c r="G49" s="213">
        <v>7</v>
      </c>
      <c r="H49" s="214"/>
      <c r="I49" s="215"/>
      <c r="J49" s="216" t="str">
        <f t="shared" ref="J49:J54" si="4">IF(OR(I49=G49,I49="i. O.",I49="i.O.",I49="io"),"ok","failed")</f>
        <v>failed</v>
      </c>
      <c r="K49" s="217" t="s">
        <v>73</v>
      </c>
      <c r="L49" s="218" t="s">
        <v>192</v>
      </c>
      <c r="M49" s="218"/>
      <c r="N49" s="218" t="s">
        <v>78</v>
      </c>
      <c r="O49" s="137" t="str">
        <f t="shared" si="0"/>
        <v>failed</v>
      </c>
    </row>
    <row r="50" spans="1:19" s="139" customFormat="1" ht="40.5" customHeight="1" outlineLevel="1" x14ac:dyDescent="0.2">
      <c r="A50" s="184"/>
      <c r="B50" s="210" t="s">
        <v>205</v>
      </c>
      <c r="C50" s="211" t="s">
        <v>206</v>
      </c>
      <c r="D50" s="267" t="s">
        <v>207</v>
      </c>
      <c r="E50" s="268"/>
      <c r="F50" s="212"/>
      <c r="G50" s="213">
        <v>0</v>
      </c>
      <c r="H50" s="214"/>
      <c r="I50" s="215"/>
      <c r="J50" s="216" t="str">
        <f t="shared" si="4"/>
        <v>ok</v>
      </c>
      <c r="K50" s="217" t="s">
        <v>73</v>
      </c>
      <c r="L50" s="218" t="s">
        <v>192</v>
      </c>
      <c r="M50" s="218"/>
      <c r="N50" s="218" t="s">
        <v>78</v>
      </c>
      <c r="O50" s="137" t="str">
        <f t="shared" si="0"/>
        <v>ok</v>
      </c>
    </row>
    <row r="51" spans="1:19" s="139" customFormat="1" ht="40.5" customHeight="1" outlineLevel="1" x14ac:dyDescent="0.2">
      <c r="A51" s="184"/>
      <c r="B51" s="210" t="s">
        <v>208</v>
      </c>
      <c r="C51" s="211" t="s">
        <v>209</v>
      </c>
      <c r="D51" s="267" t="s">
        <v>210</v>
      </c>
      <c r="E51" s="268"/>
      <c r="F51" s="212"/>
      <c r="G51" s="213">
        <v>2</v>
      </c>
      <c r="H51" s="214"/>
      <c r="I51" s="215"/>
      <c r="J51" s="216" t="str">
        <f t="shared" si="4"/>
        <v>failed</v>
      </c>
      <c r="K51" s="217" t="s">
        <v>73</v>
      </c>
      <c r="L51" s="218" t="s">
        <v>192</v>
      </c>
      <c r="M51" s="218"/>
      <c r="N51" s="218" t="s">
        <v>78</v>
      </c>
      <c r="O51" s="137" t="str">
        <f t="shared" si="0"/>
        <v>failed</v>
      </c>
    </row>
    <row r="52" spans="1:19" s="139" customFormat="1" ht="40.5" customHeight="1" outlineLevel="1" x14ac:dyDescent="0.2">
      <c r="A52" s="184"/>
      <c r="B52" s="210" t="s">
        <v>211</v>
      </c>
      <c r="C52" s="211" t="s">
        <v>212</v>
      </c>
      <c r="D52" s="267" t="s">
        <v>213</v>
      </c>
      <c r="E52" s="268"/>
      <c r="F52" s="212"/>
      <c r="G52" s="213">
        <v>3</v>
      </c>
      <c r="H52" s="214"/>
      <c r="I52" s="215"/>
      <c r="J52" s="216" t="str">
        <f t="shared" si="4"/>
        <v>failed</v>
      </c>
      <c r="K52" s="217" t="s">
        <v>73</v>
      </c>
      <c r="L52" s="218" t="s">
        <v>192</v>
      </c>
      <c r="M52" s="218"/>
      <c r="N52" s="218" t="s">
        <v>78</v>
      </c>
      <c r="O52" s="137" t="str">
        <f t="shared" si="0"/>
        <v>failed</v>
      </c>
    </row>
    <row r="53" spans="1:19" s="139" customFormat="1" ht="40.5" customHeight="1" outlineLevel="1" x14ac:dyDescent="0.2">
      <c r="A53" s="184"/>
      <c r="B53" s="210" t="s">
        <v>214</v>
      </c>
      <c r="C53" s="211" t="s">
        <v>215</v>
      </c>
      <c r="D53" s="267" t="s">
        <v>216</v>
      </c>
      <c r="E53" s="268"/>
      <c r="F53" s="212"/>
      <c r="G53" s="213">
        <v>2</v>
      </c>
      <c r="H53" s="214"/>
      <c r="I53" s="215"/>
      <c r="J53" s="216" t="str">
        <f t="shared" si="4"/>
        <v>failed</v>
      </c>
      <c r="K53" s="217" t="s">
        <v>73</v>
      </c>
      <c r="L53" s="218" t="s">
        <v>192</v>
      </c>
      <c r="M53" s="218"/>
      <c r="N53" s="218" t="s">
        <v>78</v>
      </c>
      <c r="O53" s="137" t="str">
        <f t="shared" si="0"/>
        <v>failed</v>
      </c>
    </row>
    <row r="54" spans="1:19" s="139" customFormat="1" ht="40.5" customHeight="1" outlineLevel="1" x14ac:dyDescent="0.2">
      <c r="A54" s="184"/>
      <c r="B54" s="210" t="s">
        <v>217</v>
      </c>
      <c r="C54" s="211" t="s">
        <v>218</v>
      </c>
      <c r="D54" s="267" t="s">
        <v>219</v>
      </c>
      <c r="E54" s="268"/>
      <c r="F54" s="212"/>
      <c r="G54" s="213">
        <v>0</v>
      </c>
      <c r="H54" s="214"/>
      <c r="I54" s="215"/>
      <c r="J54" s="216" t="str">
        <f t="shared" si="4"/>
        <v>ok</v>
      </c>
      <c r="K54" s="217" t="s">
        <v>73</v>
      </c>
      <c r="L54" s="218" t="s">
        <v>192</v>
      </c>
      <c r="M54" s="218"/>
      <c r="N54" s="218" t="s">
        <v>78</v>
      </c>
      <c r="O54" s="137" t="str">
        <f t="shared" si="0"/>
        <v>ok</v>
      </c>
    </row>
    <row r="55" spans="1:19" s="139" customFormat="1" ht="30.6" customHeight="1" x14ac:dyDescent="0.2">
      <c r="A55" s="184"/>
      <c r="B55" s="96">
        <v>5</v>
      </c>
      <c r="C55" s="96" t="s">
        <v>220</v>
      </c>
      <c r="D55" s="264"/>
      <c r="E55" s="265"/>
      <c r="F55" s="70"/>
      <c r="G55" s="70"/>
      <c r="H55" s="188"/>
      <c r="I55" s="70"/>
      <c r="J55" s="70"/>
      <c r="K55" s="70"/>
      <c r="L55" s="70"/>
      <c r="M55" s="70"/>
      <c r="N55" s="70"/>
      <c r="O55" s="137" t="str">
        <f t="shared" si="0"/>
        <v>-</v>
      </c>
    </row>
    <row r="56" spans="1:19" s="139" customFormat="1" ht="40.5" customHeight="1" outlineLevel="1" x14ac:dyDescent="0.2">
      <c r="A56" s="184"/>
      <c r="B56" s="157" t="s">
        <v>221</v>
      </c>
      <c r="C56" s="93" t="s">
        <v>222</v>
      </c>
      <c r="D56" s="260" t="s">
        <v>223</v>
      </c>
      <c r="E56" s="261"/>
      <c r="F56" s="115"/>
      <c r="G56" s="170" t="s">
        <v>224</v>
      </c>
      <c r="H56" s="165"/>
      <c r="I56" s="128"/>
      <c r="J56" s="91" t="str">
        <f>IF(OR(I56=G56,I56="i. O.",I56="i.O.",I56="io"),"ok","failed")</f>
        <v>failed</v>
      </c>
      <c r="K56" s="179" t="s">
        <v>73</v>
      </c>
      <c r="L56" s="164" t="s">
        <v>225</v>
      </c>
      <c r="M56" s="164" t="s">
        <v>89</v>
      </c>
      <c r="N56" s="164" t="s">
        <v>90</v>
      </c>
      <c r="O56" s="137" t="str">
        <f t="shared" si="0"/>
        <v>failed</v>
      </c>
    </row>
    <row r="57" spans="1:19" s="139" customFormat="1" ht="35.25" customHeight="1" x14ac:dyDescent="0.2">
      <c r="A57" s="184"/>
      <c r="B57" s="96">
        <v>6</v>
      </c>
      <c r="C57" s="96" t="s">
        <v>226</v>
      </c>
      <c r="D57" s="264" t="s">
        <v>227</v>
      </c>
      <c r="E57" s="277"/>
      <c r="F57" s="70"/>
      <c r="G57" s="70"/>
      <c r="H57" s="188"/>
      <c r="I57" s="70"/>
      <c r="J57" s="70"/>
      <c r="K57" s="70"/>
      <c r="L57" s="70"/>
      <c r="M57" s="70"/>
      <c r="N57" s="70"/>
      <c r="O57" s="137" t="str">
        <f t="shared" si="0"/>
        <v>-</v>
      </c>
    </row>
    <row r="58" spans="1:19" s="139" customFormat="1" ht="78" customHeight="1" outlineLevel="1" x14ac:dyDescent="0.2">
      <c r="A58" s="184"/>
      <c r="B58" s="157" t="s">
        <v>228</v>
      </c>
      <c r="C58" s="93" t="s">
        <v>229</v>
      </c>
      <c r="D58" s="260" t="s">
        <v>223</v>
      </c>
      <c r="E58" s="261"/>
      <c r="F58" s="115"/>
      <c r="G58" s="170" t="s">
        <v>224</v>
      </c>
      <c r="H58" s="165"/>
      <c r="I58" s="185"/>
      <c r="J58" s="91" t="str">
        <f t="shared" ref="J58:J59" si="5">IF(OR(I58=G58,I58="i.O.",I58="io"),"ok","failed")</f>
        <v>failed</v>
      </c>
      <c r="K58" s="95" t="s">
        <v>73</v>
      </c>
      <c r="L58" s="164" t="s">
        <v>230</v>
      </c>
      <c r="M58" s="164" t="s">
        <v>89</v>
      </c>
      <c r="N58" s="164" t="s">
        <v>78</v>
      </c>
      <c r="O58" s="137" t="str">
        <f t="shared" si="0"/>
        <v>failed</v>
      </c>
    </row>
    <row r="59" spans="1:19" s="139" customFormat="1" ht="78" customHeight="1" outlineLevel="1" x14ac:dyDescent="0.2">
      <c r="A59" s="184"/>
      <c r="B59" s="157" t="s">
        <v>231</v>
      </c>
      <c r="C59" s="93" t="s">
        <v>232</v>
      </c>
      <c r="D59" s="260" t="s">
        <v>223</v>
      </c>
      <c r="E59" s="261"/>
      <c r="F59" s="115"/>
      <c r="G59" s="170" t="s">
        <v>224</v>
      </c>
      <c r="H59" s="165"/>
      <c r="I59" s="185"/>
      <c r="J59" s="91" t="str">
        <f t="shared" si="5"/>
        <v>failed</v>
      </c>
      <c r="K59" s="95" t="s">
        <v>73</v>
      </c>
      <c r="L59" s="164" t="s">
        <v>230</v>
      </c>
      <c r="M59" s="164" t="s">
        <v>89</v>
      </c>
      <c r="N59" s="164" t="s">
        <v>78</v>
      </c>
      <c r="O59" s="137" t="str">
        <f t="shared" si="0"/>
        <v>failed</v>
      </c>
    </row>
    <row r="60" spans="1:19" s="139" customFormat="1" ht="30" customHeight="1" x14ac:dyDescent="0.2">
      <c r="A60" s="184"/>
      <c r="B60" s="158" t="s">
        <v>233</v>
      </c>
      <c r="C60" s="96" t="s">
        <v>234</v>
      </c>
      <c r="D60" s="187"/>
      <c r="E60" s="192"/>
      <c r="F60" s="70"/>
      <c r="G60" s="70"/>
      <c r="H60" s="188"/>
      <c r="I60" s="187"/>
      <c r="J60" s="70"/>
      <c r="K60" s="188"/>
      <c r="L60" s="70"/>
      <c r="M60" s="70" t="s">
        <v>235</v>
      </c>
      <c r="N60" s="70"/>
      <c r="O60" s="137" t="str">
        <f t="shared" si="0"/>
        <v>-</v>
      </c>
    </row>
    <row r="61" spans="1:19" s="139" customFormat="1" ht="62.45" customHeight="1" outlineLevel="1" x14ac:dyDescent="0.2">
      <c r="A61" s="184"/>
      <c r="B61" s="157" t="s">
        <v>236</v>
      </c>
      <c r="C61" s="93" t="s">
        <v>237</v>
      </c>
      <c r="D61" s="260" t="s">
        <v>143</v>
      </c>
      <c r="E61" s="261"/>
      <c r="F61" s="117" t="s">
        <v>139</v>
      </c>
      <c r="G61" s="159" t="s">
        <v>306</v>
      </c>
      <c r="H61" s="45" t="s">
        <v>145</v>
      </c>
      <c r="I61" s="128"/>
      <c r="J61" s="91" t="str">
        <f t="shared" ref="J61" si="6">IF(OR(I61=G61,I61="i. O.",I61="i.O.",I61="io"),"ok","failed")</f>
        <v>failed</v>
      </c>
      <c r="K61" s="95" t="s">
        <v>73</v>
      </c>
      <c r="L61" s="164" t="s">
        <v>140</v>
      </c>
      <c r="M61" s="164"/>
      <c r="N61" s="164" t="s">
        <v>90</v>
      </c>
      <c r="O61" s="137" t="str">
        <f t="shared" si="0"/>
        <v>failed</v>
      </c>
    </row>
    <row r="62" spans="1:19" s="139" customFormat="1" ht="30" customHeight="1" outlineLevel="1" x14ac:dyDescent="0.2">
      <c r="A62" s="184"/>
      <c r="B62" s="158" t="s">
        <v>238</v>
      </c>
      <c r="C62" s="65" t="s">
        <v>239</v>
      </c>
      <c r="D62" s="282"/>
      <c r="E62" s="283"/>
      <c r="F62" s="195"/>
      <c r="G62" s="194"/>
      <c r="H62" s="194"/>
      <c r="I62" s="194"/>
      <c r="J62" s="187"/>
      <c r="K62" s="187"/>
      <c r="L62" s="70"/>
      <c r="M62" s="70"/>
      <c r="N62" s="70"/>
      <c r="O62" s="137" t="str">
        <f t="shared" si="0"/>
        <v>-</v>
      </c>
      <c r="P62" s="175"/>
      <c r="Q62" s="173"/>
    </row>
    <row r="63" spans="1:19" ht="30" customHeight="1" outlineLevel="1" x14ac:dyDescent="0.2">
      <c r="B63" s="157" t="s">
        <v>240</v>
      </c>
      <c r="C63" s="93" t="s">
        <v>241</v>
      </c>
      <c r="D63" s="260" t="s">
        <v>242</v>
      </c>
      <c r="E63" s="261"/>
      <c r="F63" s="185" t="s">
        <v>243</v>
      </c>
      <c r="G63" s="185">
        <v>75</v>
      </c>
      <c r="H63" s="45" t="s">
        <v>244</v>
      </c>
      <c r="I63" s="185"/>
      <c r="J63" s="91" t="str">
        <f t="shared" ref="J63" si="7">IF(OR(I63=G63,I63="i.O.",I63="io"),"ok","failed")</f>
        <v>failed</v>
      </c>
      <c r="K63" s="95" t="s">
        <v>73</v>
      </c>
      <c r="L63" s="164" t="s">
        <v>245</v>
      </c>
      <c r="M63" s="164"/>
      <c r="N63" s="164" t="s">
        <v>90</v>
      </c>
      <c r="O63" s="137" t="str">
        <f t="shared" si="0"/>
        <v>failed</v>
      </c>
      <c r="P63" s="139"/>
      <c r="Q63" s="139"/>
      <c r="R63" s="139"/>
      <c r="S63" s="139"/>
    </row>
    <row r="64" spans="1:19" ht="55.5" customHeight="1" outlineLevel="1" x14ac:dyDescent="0.2">
      <c r="B64" s="157" t="s">
        <v>246</v>
      </c>
      <c r="C64" s="93" t="s">
        <v>247</v>
      </c>
      <c r="D64" s="260" t="s">
        <v>248</v>
      </c>
      <c r="E64" s="261"/>
      <c r="F64" s="185" t="s">
        <v>135</v>
      </c>
      <c r="G64" s="185">
        <v>3631</v>
      </c>
      <c r="H64" s="165"/>
      <c r="I64" s="163"/>
      <c r="J64" s="163"/>
      <c r="K64" s="163"/>
      <c r="L64" s="163"/>
      <c r="M64" s="163"/>
      <c r="N64" s="163" t="s">
        <v>90</v>
      </c>
      <c r="O64" s="137" t="str">
        <f t="shared" si="0"/>
        <v/>
      </c>
      <c r="P64" s="139"/>
      <c r="Q64" s="139"/>
      <c r="R64" s="139"/>
      <c r="S64" s="139"/>
    </row>
    <row r="65" spans="1:19" s="139" customFormat="1" ht="30" customHeight="1" outlineLevel="1" x14ac:dyDescent="0.2">
      <c r="A65" s="184"/>
      <c r="B65" s="158" t="s">
        <v>249</v>
      </c>
      <c r="C65" s="65" t="s">
        <v>250</v>
      </c>
      <c r="D65" s="282"/>
      <c r="E65" s="283"/>
      <c r="F65" s="195"/>
      <c r="G65" s="194"/>
      <c r="H65" s="194"/>
      <c r="I65" s="194"/>
      <c r="J65" s="187"/>
      <c r="K65" s="187"/>
      <c r="L65" s="70"/>
      <c r="M65" s="70"/>
      <c r="N65" s="70"/>
      <c r="O65" s="137" t="str">
        <f t="shared" si="0"/>
        <v>-</v>
      </c>
      <c r="P65" s="175"/>
      <c r="Q65" s="173"/>
    </row>
    <row r="66" spans="1:19" ht="30" customHeight="1" outlineLevel="1" x14ac:dyDescent="0.2">
      <c r="B66" s="157" t="s">
        <v>251</v>
      </c>
      <c r="C66" s="93" t="s">
        <v>252</v>
      </c>
      <c r="D66" s="260" t="s">
        <v>253</v>
      </c>
      <c r="E66" s="261"/>
      <c r="F66" s="185" t="s">
        <v>243</v>
      </c>
      <c r="G66" s="185">
        <v>75</v>
      </c>
      <c r="H66" s="45" t="s">
        <v>244</v>
      </c>
      <c r="I66" s="185"/>
      <c r="J66" s="91" t="str">
        <f t="shared" ref="J66" si="8">IF(OR(I66=G66,I66="i.O.",I66="io"),"ok","failed")</f>
        <v>failed</v>
      </c>
      <c r="K66" s="95" t="s">
        <v>73</v>
      </c>
      <c r="L66" s="164" t="s">
        <v>245</v>
      </c>
      <c r="M66" s="164"/>
      <c r="N66" s="164" t="s">
        <v>90</v>
      </c>
      <c r="O66" s="137" t="str">
        <f t="shared" si="0"/>
        <v>failed</v>
      </c>
      <c r="P66" s="139"/>
      <c r="Q66" s="139"/>
      <c r="R66" s="139"/>
      <c r="S66" s="139"/>
    </row>
    <row r="67" spans="1:19" ht="55.5" customHeight="1" outlineLevel="1" x14ac:dyDescent="0.2">
      <c r="B67" s="157" t="s">
        <v>254</v>
      </c>
      <c r="C67" s="93" t="s">
        <v>255</v>
      </c>
      <c r="D67" s="260" t="s">
        <v>248</v>
      </c>
      <c r="E67" s="261"/>
      <c r="F67" s="185" t="s">
        <v>135</v>
      </c>
      <c r="G67" s="185">
        <v>3495</v>
      </c>
      <c r="H67" s="165"/>
      <c r="I67" s="163"/>
      <c r="J67" s="163"/>
      <c r="K67" s="163"/>
      <c r="L67" s="163"/>
      <c r="M67" s="163"/>
      <c r="N67" s="163" t="s">
        <v>90</v>
      </c>
      <c r="O67" s="137" t="str">
        <f t="shared" si="0"/>
        <v/>
      </c>
      <c r="P67" s="139"/>
      <c r="Q67" s="139"/>
      <c r="R67" s="139"/>
      <c r="S67" s="139"/>
    </row>
    <row r="68" spans="1:19" ht="30" customHeight="1" x14ac:dyDescent="0.2">
      <c r="B68" s="171" t="s">
        <v>264</v>
      </c>
      <c r="C68" s="96" t="s">
        <v>265</v>
      </c>
      <c r="D68" s="301"/>
      <c r="E68" s="305"/>
      <c r="F68" s="97"/>
      <c r="G68" s="97"/>
      <c r="H68" s="206"/>
      <c r="I68" s="97"/>
      <c r="J68" s="97"/>
      <c r="K68" s="97"/>
      <c r="L68" s="97"/>
      <c r="M68" s="97"/>
      <c r="N68" s="97"/>
      <c r="O68" s="137" t="str">
        <f t="shared" ref="O68:O131" si="9">IF(G68="","-",IF(J68="","",J68))</f>
        <v>-</v>
      </c>
      <c r="P68" s="139"/>
      <c r="Q68" s="139"/>
      <c r="R68" s="139"/>
      <c r="S68" s="139"/>
    </row>
    <row r="69" spans="1:19" s="139" customFormat="1" ht="30" customHeight="1" outlineLevel="1" x14ac:dyDescent="0.2">
      <c r="A69" s="184"/>
      <c r="B69" s="157" t="s">
        <v>266</v>
      </c>
      <c r="C69" s="93" t="s">
        <v>263</v>
      </c>
      <c r="D69" s="271"/>
      <c r="E69" s="272"/>
      <c r="F69" s="185" t="s">
        <v>309</v>
      </c>
      <c r="G69" s="185">
        <v>5</v>
      </c>
      <c r="H69" s="165"/>
      <c r="I69" s="163"/>
      <c r="J69" s="163"/>
      <c r="K69" s="163"/>
      <c r="L69" s="163"/>
      <c r="M69" s="163"/>
      <c r="N69" s="163"/>
      <c r="O69" s="137" t="str">
        <f t="shared" si="9"/>
        <v/>
      </c>
      <c r="P69" s="175"/>
      <c r="Q69" s="173"/>
    </row>
    <row r="70" spans="1:19" ht="55.5" customHeight="1" outlineLevel="1" x14ac:dyDescent="0.2">
      <c r="B70" s="157" t="s">
        <v>269</v>
      </c>
      <c r="C70" s="93" t="s">
        <v>256</v>
      </c>
      <c r="D70" s="260" t="s">
        <v>150</v>
      </c>
      <c r="E70" s="261"/>
      <c r="F70" s="180" t="s">
        <v>88</v>
      </c>
      <c r="G70" s="185">
        <v>23.25</v>
      </c>
      <c r="H70" s="45" t="s">
        <v>308</v>
      </c>
      <c r="I70" s="185"/>
      <c r="J70" s="91" t="str">
        <f>IF(OR(I70=G70,I70="i.O.",I70="io"),"ok","failed")</f>
        <v>failed</v>
      </c>
      <c r="K70" s="95" t="s">
        <v>73</v>
      </c>
      <c r="L70" s="164" t="s">
        <v>225</v>
      </c>
      <c r="M70" s="164"/>
      <c r="N70" s="164" t="s">
        <v>257</v>
      </c>
      <c r="O70" s="137" t="str">
        <f t="shared" si="9"/>
        <v>failed</v>
      </c>
      <c r="P70" s="139"/>
      <c r="Q70" s="139"/>
      <c r="R70" s="139"/>
      <c r="S70" s="139"/>
    </row>
    <row r="71" spans="1:19" s="139" customFormat="1" ht="35.25" customHeight="1" outlineLevel="1" x14ac:dyDescent="0.2">
      <c r="A71" s="184"/>
      <c r="B71" s="157" t="s">
        <v>271</v>
      </c>
      <c r="C71" s="93" t="s">
        <v>258</v>
      </c>
      <c r="D71" s="260" t="s">
        <v>161</v>
      </c>
      <c r="E71" s="261"/>
      <c r="F71" s="180" t="s">
        <v>88</v>
      </c>
      <c r="G71" s="185">
        <v>24.5</v>
      </c>
      <c r="H71" s="45" t="s">
        <v>307</v>
      </c>
      <c r="I71" s="185"/>
      <c r="J71" s="91" t="str">
        <f>IF(OR(I71=G71,I71="i.O.",I71="io"),"ok","failed")</f>
        <v>failed</v>
      </c>
      <c r="K71" s="95" t="s">
        <v>73</v>
      </c>
      <c r="L71" s="164" t="s">
        <v>225</v>
      </c>
      <c r="M71" s="164"/>
      <c r="N71" s="164" t="s">
        <v>257</v>
      </c>
      <c r="O71" s="137" t="str">
        <f t="shared" si="9"/>
        <v>failed</v>
      </c>
    </row>
    <row r="72" spans="1:19" s="139" customFormat="1" ht="35.25" customHeight="1" outlineLevel="1" x14ac:dyDescent="0.2">
      <c r="A72" s="184"/>
      <c r="B72" s="157" t="s">
        <v>273</v>
      </c>
      <c r="C72" s="93" t="s">
        <v>259</v>
      </c>
      <c r="D72" s="260" t="s">
        <v>165</v>
      </c>
      <c r="E72" s="261"/>
      <c r="F72" s="180" t="s">
        <v>88</v>
      </c>
      <c r="G72" s="185">
        <v>24.5</v>
      </c>
      <c r="H72" s="45" t="s">
        <v>307</v>
      </c>
      <c r="I72" s="185"/>
      <c r="J72" s="91" t="str">
        <f>IF(OR(I72=G72,I72="i.O.",I72="io"),"ok","failed")</f>
        <v>failed</v>
      </c>
      <c r="K72" s="95" t="s">
        <v>73</v>
      </c>
      <c r="L72" s="164" t="s">
        <v>225</v>
      </c>
      <c r="M72" s="164"/>
      <c r="N72" s="164" t="s">
        <v>257</v>
      </c>
      <c r="O72" s="137" t="str">
        <f t="shared" si="9"/>
        <v>failed</v>
      </c>
    </row>
    <row r="73" spans="1:19" s="139" customFormat="1" ht="35.25" customHeight="1" outlineLevel="1" x14ac:dyDescent="0.2">
      <c r="A73" s="184"/>
      <c r="B73" s="157" t="s">
        <v>276</v>
      </c>
      <c r="C73" s="93" t="s">
        <v>260</v>
      </c>
      <c r="D73" s="260" t="s">
        <v>168</v>
      </c>
      <c r="E73" s="261"/>
      <c r="F73" s="180" t="s">
        <v>88</v>
      </c>
      <c r="G73" s="185">
        <v>24.5</v>
      </c>
      <c r="H73" s="45" t="s">
        <v>307</v>
      </c>
      <c r="I73" s="185"/>
      <c r="J73" s="91" t="str">
        <f>IF(OR(I73=G73,I73="i.O.",I73="io"),"ok","failed")</f>
        <v>failed</v>
      </c>
      <c r="K73" s="95" t="s">
        <v>73</v>
      </c>
      <c r="L73" s="164" t="s">
        <v>225</v>
      </c>
      <c r="M73" s="164"/>
      <c r="N73" s="164" t="s">
        <v>257</v>
      </c>
      <c r="O73" s="137" t="str">
        <f t="shared" si="9"/>
        <v>failed</v>
      </c>
    </row>
    <row r="74" spans="1:19" s="139" customFormat="1" ht="35.25" customHeight="1" outlineLevel="1" x14ac:dyDescent="0.2">
      <c r="A74" s="184"/>
      <c r="B74" s="157" t="s">
        <v>310</v>
      </c>
      <c r="C74" s="93" t="s">
        <v>261</v>
      </c>
      <c r="D74" s="260" t="s">
        <v>172</v>
      </c>
      <c r="E74" s="261"/>
      <c r="F74" s="180" t="s">
        <v>88</v>
      </c>
      <c r="G74" s="185">
        <v>24.5</v>
      </c>
      <c r="H74" s="45" t="s">
        <v>307</v>
      </c>
      <c r="I74" s="185"/>
      <c r="J74" s="91" t="str">
        <f>IF(OR(I74=G74,I74="i.O.",I74="io"),"ok","failed")</f>
        <v>failed</v>
      </c>
      <c r="K74" s="95" t="s">
        <v>73</v>
      </c>
      <c r="L74" s="164" t="s">
        <v>225</v>
      </c>
      <c r="M74" s="164"/>
      <c r="N74" s="164" t="s">
        <v>257</v>
      </c>
      <c r="O74" s="137" t="str">
        <f t="shared" si="9"/>
        <v>failed</v>
      </c>
    </row>
    <row r="75" spans="1:19" s="139" customFormat="1" ht="35.25" customHeight="1" outlineLevel="1" x14ac:dyDescent="0.2">
      <c r="A75" s="184"/>
      <c r="B75" s="157" t="s">
        <v>311</v>
      </c>
      <c r="C75" s="93" t="s">
        <v>174</v>
      </c>
      <c r="D75" s="271"/>
      <c r="E75" s="272"/>
      <c r="F75" s="117" t="s">
        <v>88</v>
      </c>
      <c r="G75" s="159" t="s">
        <v>262</v>
      </c>
      <c r="H75" s="186" t="s">
        <v>122</v>
      </c>
      <c r="I75" s="208"/>
      <c r="J75" s="91" t="str">
        <f t="shared" ref="J75:J76" si="10">IF(OR(I75=G75,I75="i. O.",I75="i.O.",I75="io"),"ok","failed")</f>
        <v>failed</v>
      </c>
      <c r="K75" s="95"/>
      <c r="L75" s="164"/>
      <c r="M75" s="164"/>
      <c r="N75" s="164" t="s">
        <v>257</v>
      </c>
      <c r="O75" s="137" t="str">
        <f t="shared" si="9"/>
        <v>failed</v>
      </c>
    </row>
    <row r="76" spans="1:19" s="139" customFormat="1" ht="35.25" customHeight="1" outlineLevel="1" x14ac:dyDescent="0.2">
      <c r="A76" s="184"/>
      <c r="B76" s="157" t="s">
        <v>312</v>
      </c>
      <c r="C76" s="93" t="s">
        <v>177</v>
      </c>
      <c r="D76" s="271"/>
      <c r="E76" s="272"/>
      <c r="F76" s="117" t="s">
        <v>88</v>
      </c>
      <c r="G76" s="159" t="s">
        <v>262</v>
      </c>
      <c r="H76" s="186" t="s">
        <v>122</v>
      </c>
      <c r="I76" s="208"/>
      <c r="J76" s="91" t="str">
        <f t="shared" si="10"/>
        <v>failed</v>
      </c>
      <c r="K76" s="95"/>
      <c r="L76" s="164"/>
      <c r="M76" s="164"/>
      <c r="N76" s="164" t="s">
        <v>257</v>
      </c>
      <c r="O76" s="137"/>
    </row>
    <row r="77" spans="1:19" ht="66" customHeight="1" outlineLevel="1" x14ac:dyDescent="0.2">
      <c r="B77" s="157" t="s">
        <v>313</v>
      </c>
      <c r="C77" s="94" t="s">
        <v>267</v>
      </c>
      <c r="D77" s="260" t="s">
        <v>268</v>
      </c>
      <c r="E77" s="261"/>
      <c r="F77" s="190" t="s">
        <v>135</v>
      </c>
      <c r="G77" s="159" t="s">
        <v>318</v>
      </c>
      <c r="H77" s="45" t="s">
        <v>152</v>
      </c>
      <c r="I77" s="185"/>
      <c r="J77" s="91" t="str">
        <f>IF(ISBLANK(I77),"failed","ok")</f>
        <v>failed</v>
      </c>
      <c r="K77" s="95" t="s">
        <v>73</v>
      </c>
      <c r="L77" s="164" t="s">
        <v>153</v>
      </c>
      <c r="M77" s="164"/>
      <c r="N77" s="164" t="s">
        <v>90</v>
      </c>
      <c r="O77" s="137" t="str">
        <f t="shared" si="9"/>
        <v>failed</v>
      </c>
      <c r="P77" s="139"/>
      <c r="Q77" s="139"/>
      <c r="R77" s="139"/>
      <c r="S77" s="139"/>
    </row>
    <row r="78" spans="1:19" ht="55.35" customHeight="1" outlineLevel="1" x14ac:dyDescent="0.2">
      <c r="B78" s="157" t="s">
        <v>314</v>
      </c>
      <c r="C78" s="94" t="s">
        <v>133</v>
      </c>
      <c r="D78" s="260" t="s">
        <v>134</v>
      </c>
      <c r="E78" s="261"/>
      <c r="F78" s="190" t="s">
        <v>135</v>
      </c>
      <c r="G78" s="159" t="s">
        <v>319</v>
      </c>
      <c r="H78" s="45" t="s">
        <v>122</v>
      </c>
      <c r="I78" s="128"/>
      <c r="J78" s="91" t="str">
        <f>IF(OR(I78=G78,I78="i. O.",I78="i.O.",I78="io"),"ok","failed")</f>
        <v>failed</v>
      </c>
      <c r="K78" s="95" t="s">
        <v>73</v>
      </c>
      <c r="L78" s="164" t="s">
        <v>270</v>
      </c>
      <c r="M78" s="164"/>
      <c r="N78" s="164" t="s">
        <v>90</v>
      </c>
      <c r="O78" s="137" t="str">
        <f t="shared" si="9"/>
        <v>failed</v>
      </c>
      <c r="P78" s="139"/>
      <c r="Q78" s="139"/>
      <c r="R78" s="139"/>
      <c r="S78" s="139"/>
    </row>
    <row r="79" spans="1:19" ht="66" customHeight="1" outlineLevel="1" x14ac:dyDescent="0.2">
      <c r="B79" s="157" t="s">
        <v>315</v>
      </c>
      <c r="C79" s="93" t="s">
        <v>272</v>
      </c>
      <c r="D79" s="260" t="s">
        <v>143</v>
      </c>
      <c r="E79" s="261"/>
      <c r="F79" s="190" t="s">
        <v>139</v>
      </c>
      <c r="G79" s="159" t="s">
        <v>306</v>
      </c>
      <c r="H79" s="45" t="s">
        <v>145</v>
      </c>
      <c r="I79" s="128"/>
      <c r="J79" s="91" t="str">
        <f>IF(OR(I79=G79,I79="i. O.",I79="i.O.",I79="io"),"ok","failed")</f>
        <v>failed</v>
      </c>
      <c r="K79" s="95" t="s">
        <v>73</v>
      </c>
      <c r="L79" s="164" t="s">
        <v>270</v>
      </c>
      <c r="M79" s="164"/>
      <c r="N79" s="164" t="s">
        <v>90</v>
      </c>
      <c r="O79" s="137" t="str">
        <f t="shared" si="9"/>
        <v>failed</v>
      </c>
      <c r="P79" s="139"/>
      <c r="Q79" s="139"/>
      <c r="R79" s="139"/>
      <c r="S79" s="139"/>
    </row>
    <row r="80" spans="1:19" ht="30" customHeight="1" outlineLevel="1" x14ac:dyDescent="0.2">
      <c r="B80" s="157" t="s">
        <v>316</v>
      </c>
      <c r="C80" s="93" t="s">
        <v>274</v>
      </c>
      <c r="D80" s="271" t="s">
        <v>275</v>
      </c>
      <c r="E80" s="272"/>
      <c r="F80" s="115"/>
      <c r="G80" s="165"/>
      <c r="H80" s="115"/>
      <c r="I80" s="163"/>
      <c r="J80" s="163"/>
      <c r="K80" s="163"/>
      <c r="L80" s="163"/>
      <c r="M80" s="163"/>
      <c r="N80" s="163"/>
      <c r="O80" s="137" t="str">
        <f t="shared" si="9"/>
        <v>-</v>
      </c>
      <c r="P80" s="139"/>
      <c r="Q80" s="139"/>
      <c r="R80" s="139"/>
      <c r="S80" s="139"/>
    </row>
    <row r="81" spans="1:15" s="139" customFormat="1" ht="30" customHeight="1" outlineLevel="1" x14ac:dyDescent="0.2">
      <c r="A81" s="184"/>
      <c r="B81" s="157" t="s">
        <v>317</v>
      </c>
      <c r="C81" s="94" t="s">
        <v>277</v>
      </c>
      <c r="D81" s="260"/>
      <c r="E81" s="261"/>
      <c r="F81" s="115"/>
      <c r="G81" s="115"/>
      <c r="H81" s="115"/>
      <c r="I81" s="163"/>
      <c r="J81" s="163"/>
      <c r="K81" s="163"/>
      <c r="L81" s="66"/>
      <c r="M81" s="66"/>
      <c r="N81" s="66"/>
      <c r="O81" s="137" t="str">
        <f t="shared" si="9"/>
        <v>-</v>
      </c>
    </row>
    <row r="82" spans="1:15" ht="30" customHeight="1" x14ac:dyDescent="0.2">
      <c r="B82" s="97"/>
      <c r="C82" s="96"/>
      <c r="D82" s="264"/>
      <c r="E82" s="277"/>
      <c r="F82" s="277"/>
      <c r="G82" s="97"/>
      <c r="H82" s="88"/>
      <c r="I82" s="88"/>
      <c r="J82" s="88"/>
      <c r="K82" s="88"/>
      <c r="L82" s="88"/>
      <c r="M82" s="88"/>
      <c r="N82" s="88"/>
      <c r="O82" s="137" t="str">
        <f t="shared" si="9"/>
        <v>-</v>
      </c>
    </row>
    <row r="83" spans="1:15" ht="30" customHeight="1" x14ac:dyDescent="0.2">
      <c r="B83" s="45"/>
      <c r="C83" s="43"/>
      <c r="D83" s="275"/>
      <c r="E83" s="276"/>
      <c r="F83" s="191"/>
      <c r="G83" s="80"/>
      <c r="H83" s="89"/>
      <c r="I83" s="92"/>
      <c r="J83" s="105"/>
      <c r="K83" s="76"/>
      <c r="L83" s="176"/>
      <c r="M83" s="176"/>
      <c r="N83" s="176"/>
      <c r="O83" s="137" t="str">
        <f t="shared" si="9"/>
        <v>-</v>
      </c>
    </row>
    <row r="84" spans="1:15" ht="30" customHeight="1" x14ac:dyDescent="0.2">
      <c r="B84" s="45"/>
      <c r="C84" s="43"/>
      <c r="D84" s="260"/>
      <c r="E84" s="261"/>
      <c r="F84" s="186"/>
      <c r="G84" s="80"/>
      <c r="H84" s="89"/>
      <c r="I84" s="92"/>
      <c r="J84" s="105"/>
      <c r="K84" s="76"/>
      <c r="L84" s="176"/>
      <c r="M84" s="176"/>
      <c r="N84" s="176"/>
      <c r="O84" s="137" t="str">
        <f t="shared" si="9"/>
        <v>-</v>
      </c>
    </row>
    <row r="85" spans="1:15" ht="30" customHeight="1" x14ac:dyDescent="0.2">
      <c r="B85" s="45"/>
      <c r="C85" s="43"/>
      <c r="D85" s="260"/>
      <c r="E85" s="261"/>
      <c r="F85" s="186"/>
      <c r="G85" s="80"/>
      <c r="H85" s="89"/>
      <c r="I85" s="92"/>
      <c r="J85" s="105"/>
      <c r="K85" s="76"/>
      <c r="L85" s="176"/>
      <c r="M85" s="176"/>
      <c r="N85" s="176"/>
      <c r="O85" s="137" t="str">
        <f t="shared" si="9"/>
        <v>-</v>
      </c>
    </row>
    <row r="86" spans="1:15" ht="30" customHeight="1" x14ac:dyDescent="0.2">
      <c r="B86" s="45"/>
      <c r="C86" s="42"/>
      <c r="D86" s="260"/>
      <c r="E86" s="261"/>
      <c r="F86" s="186"/>
      <c r="G86" s="80"/>
      <c r="H86" s="89"/>
      <c r="I86" s="92"/>
      <c r="J86" s="105"/>
      <c r="K86" s="76"/>
      <c r="L86" s="176"/>
      <c r="M86" s="176"/>
      <c r="N86" s="176"/>
      <c r="O86" s="137" t="str">
        <f t="shared" si="9"/>
        <v>-</v>
      </c>
    </row>
    <row r="87" spans="1:15" ht="30" customHeight="1" x14ac:dyDescent="0.2">
      <c r="B87" s="45"/>
      <c r="C87" s="43"/>
      <c r="D87" s="260"/>
      <c r="E87" s="261"/>
      <c r="F87" s="186"/>
      <c r="G87" s="80"/>
      <c r="H87" s="89"/>
      <c r="I87" s="92"/>
      <c r="J87" s="105"/>
      <c r="K87" s="76"/>
      <c r="L87" s="176"/>
      <c r="M87" s="176"/>
      <c r="N87" s="176"/>
      <c r="O87" s="137" t="str">
        <f t="shared" si="9"/>
        <v>-</v>
      </c>
    </row>
    <row r="88" spans="1:15" ht="30" customHeight="1" x14ac:dyDescent="0.2">
      <c r="B88" s="45"/>
      <c r="C88" s="43"/>
      <c r="D88" s="260"/>
      <c r="E88" s="261"/>
      <c r="F88" s="186"/>
      <c r="G88" s="80"/>
      <c r="H88" s="89"/>
      <c r="I88" s="92"/>
      <c r="J88" s="105"/>
      <c r="K88" s="76"/>
      <c r="L88" s="176"/>
      <c r="M88" s="176"/>
      <c r="N88" s="176"/>
      <c r="O88" s="137" t="str">
        <f t="shared" si="9"/>
        <v>-</v>
      </c>
    </row>
    <row r="89" spans="1:15" ht="30" customHeight="1" x14ac:dyDescent="0.2">
      <c r="B89" s="45"/>
      <c r="C89" s="43"/>
      <c r="D89" s="260"/>
      <c r="E89" s="261"/>
      <c r="F89" s="186"/>
      <c r="G89" s="80"/>
      <c r="H89" s="89"/>
      <c r="I89" s="92"/>
      <c r="J89" s="105"/>
      <c r="K89" s="76"/>
      <c r="L89" s="176"/>
      <c r="M89" s="176"/>
      <c r="N89" s="176"/>
      <c r="O89" s="137" t="str">
        <f t="shared" si="9"/>
        <v>-</v>
      </c>
    </row>
    <row r="90" spans="1:15" ht="30" customHeight="1" x14ac:dyDescent="0.2">
      <c r="B90" s="45"/>
      <c r="C90" s="43"/>
      <c r="D90" s="260"/>
      <c r="E90" s="261"/>
      <c r="F90" s="186"/>
      <c r="G90" s="80"/>
      <c r="H90" s="89"/>
      <c r="I90" s="92"/>
      <c r="J90" s="105"/>
      <c r="K90" s="76"/>
      <c r="L90" s="176"/>
      <c r="M90" s="176"/>
      <c r="N90" s="176"/>
      <c r="O90" s="137" t="str">
        <f t="shared" si="9"/>
        <v>-</v>
      </c>
    </row>
    <row r="91" spans="1:15" ht="30" customHeight="1" x14ac:dyDescent="0.2">
      <c r="B91" s="45"/>
      <c r="C91" s="43"/>
      <c r="D91" s="260"/>
      <c r="E91" s="261"/>
      <c r="F91" s="186"/>
      <c r="G91" s="80"/>
      <c r="H91" s="89"/>
      <c r="I91" s="92"/>
      <c r="J91" s="105"/>
      <c r="K91" s="76"/>
      <c r="L91" s="176"/>
      <c r="M91" s="176"/>
      <c r="N91" s="176"/>
      <c r="O91" s="137" t="str">
        <f t="shared" si="9"/>
        <v>-</v>
      </c>
    </row>
    <row r="92" spans="1:15" ht="30" customHeight="1" x14ac:dyDescent="0.2">
      <c r="B92" s="45"/>
      <c r="C92" s="43"/>
      <c r="D92" s="260"/>
      <c r="E92" s="261"/>
      <c r="F92" s="186"/>
      <c r="G92" s="80"/>
      <c r="H92" s="89"/>
      <c r="I92" s="92"/>
      <c r="J92" s="105"/>
      <c r="K92" s="76"/>
      <c r="L92" s="176"/>
      <c r="M92" s="176"/>
      <c r="N92" s="176"/>
      <c r="O92" s="137" t="str">
        <f t="shared" si="9"/>
        <v>-</v>
      </c>
    </row>
    <row r="93" spans="1:15" ht="30" customHeight="1" x14ac:dyDescent="0.2">
      <c r="B93" s="45"/>
      <c r="C93" s="43"/>
      <c r="D93" s="260"/>
      <c r="E93" s="261"/>
      <c r="F93" s="186"/>
      <c r="G93" s="80"/>
      <c r="H93" s="89"/>
      <c r="I93" s="92"/>
      <c r="J93" s="105"/>
      <c r="K93" s="76"/>
      <c r="L93" s="176"/>
      <c r="M93" s="176"/>
      <c r="N93" s="176"/>
      <c r="O93" s="137" t="str">
        <f t="shared" si="9"/>
        <v>-</v>
      </c>
    </row>
    <row r="94" spans="1:15" ht="30" customHeight="1" x14ac:dyDescent="0.2">
      <c r="B94" s="45"/>
      <c r="C94" s="43"/>
      <c r="D94" s="260"/>
      <c r="E94" s="261"/>
      <c r="F94" s="186"/>
      <c r="G94" s="80"/>
      <c r="H94" s="89"/>
      <c r="I94" s="92"/>
      <c r="J94" s="105"/>
      <c r="K94" s="76"/>
      <c r="L94" s="176"/>
      <c r="M94" s="176"/>
      <c r="N94" s="176"/>
      <c r="O94" s="137" t="str">
        <f t="shared" si="9"/>
        <v>-</v>
      </c>
    </row>
    <row r="95" spans="1:15" ht="30" customHeight="1" x14ac:dyDescent="0.2">
      <c r="B95" s="97"/>
      <c r="C95" s="96"/>
      <c r="D95" s="264"/>
      <c r="E95" s="277"/>
      <c r="F95" s="277"/>
      <c r="G95" s="97"/>
      <c r="H95" s="88"/>
      <c r="I95" s="88"/>
      <c r="J95" s="105"/>
      <c r="K95" s="76"/>
      <c r="L95" s="176"/>
      <c r="M95" s="176"/>
      <c r="N95" s="176"/>
      <c r="O95" s="137" t="str">
        <f t="shared" si="9"/>
        <v>-</v>
      </c>
    </row>
    <row r="96" spans="1:15" ht="30" customHeight="1" x14ac:dyDescent="0.2">
      <c r="B96" s="45"/>
      <c r="C96" s="43"/>
      <c r="D96" s="275"/>
      <c r="E96" s="276"/>
      <c r="F96" s="191"/>
      <c r="G96" s="80"/>
      <c r="H96" s="89"/>
      <c r="I96" s="92"/>
      <c r="J96" s="105"/>
      <c r="K96" s="76"/>
      <c r="L96" s="176"/>
      <c r="M96" s="176"/>
      <c r="N96" s="176"/>
      <c r="O96" s="137" t="str">
        <f t="shared" si="9"/>
        <v>-</v>
      </c>
    </row>
    <row r="97" spans="2:15" ht="30" customHeight="1" x14ac:dyDescent="0.2">
      <c r="B97" s="45"/>
      <c r="C97" s="43"/>
      <c r="D97" s="260"/>
      <c r="E97" s="261"/>
      <c r="F97" s="186"/>
      <c r="G97" s="80"/>
      <c r="H97" s="89"/>
      <c r="I97" s="92"/>
      <c r="J97" s="105"/>
      <c r="K97" s="76"/>
      <c r="L97" s="176"/>
      <c r="M97" s="176"/>
      <c r="N97" s="176"/>
      <c r="O97" s="137" t="str">
        <f t="shared" si="9"/>
        <v>-</v>
      </c>
    </row>
    <row r="98" spans="2:15" ht="30" customHeight="1" x14ac:dyDescent="0.2">
      <c r="B98" s="45"/>
      <c r="C98" s="43"/>
      <c r="D98" s="260"/>
      <c r="E98" s="261"/>
      <c r="F98" s="186"/>
      <c r="G98" s="80"/>
      <c r="H98" s="89"/>
      <c r="I98" s="92"/>
      <c r="J98" s="105"/>
      <c r="K98" s="76"/>
      <c r="L98" s="176"/>
      <c r="M98" s="176"/>
      <c r="N98" s="176"/>
      <c r="O98" s="137" t="str">
        <f t="shared" si="9"/>
        <v>-</v>
      </c>
    </row>
    <row r="99" spans="2:15" ht="30" customHeight="1" x14ac:dyDescent="0.2">
      <c r="B99" s="45"/>
      <c r="C99" s="42"/>
      <c r="D99" s="260"/>
      <c r="E99" s="261"/>
      <c r="F99" s="186"/>
      <c r="G99" s="80"/>
      <c r="H99" s="89"/>
      <c r="I99" s="92"/>
      <c r="J99" s="105"/>
      <c r="K99" s="76"/>
      <c r="L99" s="176"/>
      <c r="M99" s="176"/>
      <c r="N99" s="176"/>
      <c r="O99" s="137" t="str">
        <f t="shared" si="9"/>
        <v>-</v>
      </c>
    </row>
    <row r="100" spans="2:15" ht="30" customHeight="1" x14ac:dyDescent="0.2">
      <c r="B100" s="45"/>
      <c r="C100" s="43"/>
      <c r="D100" s="260"/>
      <c r="E100" s="261"/>
      <c r="F100" s="186"/>
      <c r="G100" s="80"/>
      <c r="H100" s="89"/>
      <c r="I100" s="92"/>
      <c r="J100" s="105"/>
      <c r="K100" s="76"/>
      <c r="L100" s="176"/>
      <c r="M100" s="176"/>
      <c r="N100" s="176"/>
      <c r="O100" s="137" t="str">
        <f t="shared" si="9"/>
        <v>-</v>
      </c>
    </row>
    <row r="101" spans="2:15" ht="30" customHeight="1" x14ac:dyDescent="0.2">
      <c r="B101" s="45"/>
      <c r="C101" s="43"/>
      <c r="D101" s="260"/>
      <c r="E101" s="261"/>
      <c r="F101" s="186"/>
      <c r="G101" s="80"/>
      <c r="H101" s="89"/>
      <c r="I101" s="92"/>
      <c r="J101" s="105"/>
      <c r="K101" s="76"/>
      <c r="L101" s="176"/>
      <c r="M101" s="176"/>
      <c r="N101" s="176"/>
      <c r="O101" s="137" t="str">
        <f t="shared" si="9"/>
        <v>-</v>
      </c>
    </row>
    <row r="102" spans="2:15" ht="30" customHeight="1" x14ac:dyDescent="0.2">
      <c r="B102" s="45"/>
      <c r="C102" s="43"/>
      <c r="D102" s="260"/>
      <c r="E102" s="261"/>
      <c r="F102" s="186"/>
      <c r="G102" s="80"/>
      <c r="H102" s="89"/>
      <c r="I102" s="92"/>
      <c r="J102" s="105"/>
      <c r="K102" s="76"/>
      <c r="L102" s="176"/>
      <c r="M102" s="176"/>
      <c r="N102" s="176"/>
      <c r="O102" s="137" t="str">
        <f t="shared" si="9"/>
        <v>-</v>
      </c>
    </row>
    <row r="103" spans="2:15" ht="30" customHeight="1" x14ac:dyDescent="0.2">
      <c r="B103" s="45"/>
      <c r="C103" s="43"/>
      <c r="D103" s="260"/>
      <c r="E103" s="261"/>
      <c r="F103" s="186"/>
      <c r="G103" s="80"/>
      <c r="H103" s="89"/>
      <c r="I103" s="92"/>
      <c r="J103" s="105"/>
      <c r="K103" s="76"/>
      <c r="L103" s="176"/>
      <c r="M103" s="176"/>
      <c r="N103" s="176"/>
      <c r="O103" s="137" t="str">
        <f t="shared" si="9"/>
        <v>-</v>
      </c>
    </row>
    <row r="104" spans="2:15" ht="30" customHeight="1" x14ac:dyDescent="0.2">
      <c r="B104" s="45"/>
      <c r="C104" s="43"/>
      <c r="D104" s="260"/>
      <c r="E104" s="261"/>
      <c r="F104" s="186"/>
      <c r="G104" s="80"/>
      <c r="H104" s="89"/>
      <c r="I104" s="92"/>
      <c r="J104" s="105"/>
      <c r="K104" s="76"/>
      <c r="L104" s="176"/>
      <c r="M104" s="176"/>
      <c r="N104" s="176"/>
      <c r="O104" s="137" t="str">
        <f t="shared" si="9"/>
        <v>-</v>
      </c>
    </row>
    <row r="105" spans="2:15" ht="30" customHeight="1" x14ac:dyDescent="0.2">
      <c r="B105" s="45"/>
      <c r="C105" s="43"/>
      <c r="D105" s="260"/>
      <c r="E105" s="261"/>
      <c r="F105" s="186"/>
      <c r="G105" s="80"/>
      <c r="H105" s="89"/>
      <c r="I105" s="92"/>
      <c r="J105" s="105"/>
      <c r="K105" s="76"/>
      <c r="L105" s="176"/>
      <c r="M105" s="176"/>
      <c r="N105" s="176"/>
      <c r="O105" s="137" t="str">
        <f t="shared" si="9"/>
        <v>-</v>
      </c>
    </row>
    <row r="106" spans="2:15" ht="30" customHeight="1" x14ac:dyDescent="0.2">
      <c r="B106" s="45"/>
      <c r="C106" s="43"/>
      <c r="D106" s="260"/>
      <c r="E106" s="261"/>
      <c r="F106" s="186"/>
      <c r="G106" s="80"/>
      <c r="H106" s="89"/>
      <c r="I106" s="92"/>
      <c r="J106" s="105"/>
      <c r="K106" s="76"/>
      <c r="L106" s="176"/>
      <c r="M106" s="176"/>
      <c r="N106" s="176"/>
      <c r="O106" s="137" t="str">
        <f t="shared" si="9"/>
        <v>-</v>
      </c>
    </row>
    <row r="107" spans="2:15" ht="30" customHeight="1" x14ac:dyDescent="0.2">
      <c r="B107" s="45"/>
      <c r="C107" s="43"/>
      <c r="D107" s="260"/>
      <c r="E107" s="261"/>
      <c r="F107" s="186"/>
      <c r="G107" s="80"/>
      <c r="H107" s="89"/>
      <c r="I107" s="92"/>
      <c r="J107" s="105"/>
      <c r="K107" s="76"/>
      <c r="L107" s="176"/>
      <c r="M107" s="176"/>
      <c r="N107" s="176"/>
      <c r="O107" s="137" t="str">
        <f t="shared" si="9"/>
        <v>-</v>
      </c>
    </row>
    <row r="108" spans="2:15" ht="30" customHeight="1" x14ac:dyDescent="0.2">
      <c r="B108" s="97"/>
      <c r="C108" s="96"/>
      <c r="D108" s="264"/>
      <c r="E108" s="277"/>
      <c r="F108" s="277"/>
      <c r="G108" s="97"/>
      <c r="H108" s="88"/>
      <c r="I108" s="88"/>
      <c r="J108" s="105"/>
      <c r="K108" s="76"/>
      <c r="L108" s="176"/>
      <c r="M108" s="176"/>
      <c r="N108" s="176"/>
      <c r="O108" s="137" t="str">
        <f t="shared" si="9"/>
        <v>-</v>
      </c>
    </row>
    <row r="109" spans="2:15" ht="30" customHeight="1" x14ac:dyDescent="0.2">
      <c r="B109" s="45"/>
      <c r="C109" s="43"/>
      <c r="D109" s="275"/>
      <c r="E109" s="276"/>
      <c r="F109" s="191"/>
      <c r="G109" s="80"/>
      <c r="H109" s="89"/>
      <c r="I109" s="92"/>
      <c r="J109" s="105"/>
      <c r="K109" s="76"/>
      <c r="L109" s="176"/>
      <c r="M109" s="176"/>
      <c r="N109" s="176"/>
      <c r="O109" s="137" t="str">
        <f t="shared" si="9"/>
        <v>-</v>
      </c>
    </row>
    <row r="110" spans="2:15" ht="30" customHeight="1" x14ac:dyDescent="0.2">
      <c r="B110" s="45"/>
      <c r="C110" s="43"/>
      <c r="D110" s="260"/>
      <c r="E110" s="261"/>
      <c r="F110" s="186"/>
      <c r="G110" s="80"/>
      <c r="H110" s="89"/>
      <c r="I110" s="92"/>
      <c r="J110" s="105"/>
      <c r="K110" s="76"/>
      <c r="L110" s="176"/>
      <c r="M110" s="176"/>
      <c r="N110" s="176"/>
      <c r="O110" s="137" t="str">
        <f t="shared" si="9"/>
        <v>-</v>
      </c>
    </row>
    <row r="111" spans="2:15" ht="30" customHeight="1" x14ac:dyDescent="0.2">
      <c r="B111" s="45"/>
      <c r="C111" s="43"/>
      <c r="D111" s="260"/>
      <c r="E111" s="261"/>
      <c r="F111" s="186"/>
      <c r="G111" s="80"/>
      <c r="H111" s="89"/>
      <c r="I111" s="92"/>
      <c r="J111" s="105"/>
      <c r="K111" s="76"/>
      <c r="L111" s="176"/>
      <c r="M111" s="176"/>
      <c r="N111" s="176"/>
      <c r="O111" s="137" t="str">
        <f t="shared" si="9"/>
        <v>-</v>
      </c>
    </row>
    <row r="112" spans="2:15" ht="30" customHeight="1" x14ac:dyDescent="0.2">
      <c r="B112" s="45"/>
      <c r="C112" s="42"/>
      <c r="D112" s="260"/>
      <c r="E112" s="261"/>
      <c r="F112" s="186"/>
      <c r="G112" s="80"/>
      <c r="H112" s="89"/>
      <c r="I112" s="92"/>
      <c r="J112" s="105"/>
      <c r="K112" s="76"/>
      <c r="L112" s="176"/>
      <c r="M112" s="176"/>
      <c r="N112" s="176"/>
      <c r="O112" s="137" t="str">
        <f t="shared" si="9"/>
        <v>-</v>
      </c>
    </row>
    <row r="113" spans="2:15" ht="30" customHeight="1" x14ac:dyDescent="0.2">
      <c r="B113" s="45"/>
      <c r="C113" s="43"/>
      <c r="D113" s="260"/>
      <c r="E113" s="261"/>
      <c r="F113" s="186"/>
      <c r="G113" s="80"/>
      <c r="H113" s="89"/>
      <c r="I113" s="92"/>
      <c r="J113" s="105"/>
      <c r="K113" s="76"/>
      <c r="L113" s="176"/>
      <c r="M113" s="176"/>
      <c r="N113" s="176"/>
      <c r="O113" s="137" t="str">
        <f t="shared" si="9"/>
        <v>-</v>
      </c>
    </row>
    <row r="114" spans="2:15" ht="30" customHeight="1" x14ac:dyDescent="0.2">
      <c r="B114" s="45"/>
      <c r="C114" s="43"/>
      <c r="D114" s="260"/>
      <c r="E114" s="261"/>
      <c r="F114" s="186"/>
      <c r="G114" s="80"/>
      <c r="H114" s="89"/>
      <c r="I114" s="92"/>
      <c r="J114" s="105"/>
      <c r="K114" s="76"/>
      <c r="L114" s="176"/>
      <c r="M114" s="176"/>
      <c r="N114" s="176"/>
      <c r="O114" s="137" t="str">
        <f t="shared" si="9"/>
        <v>-</v>
      </c>
    </row>
    <row r="115" spans="2:15" ht="30" customHeight="1" x14ac:dyDescent="0.2">
      <c r="B115" s="45"/>
      <c r="C115" s="43"/>
      <c r="D115" s="260"/>
      <c r="E115" s="261"/>
      <c r="F115" s="186"/>
      <c r="G115" s="80"/>
      <c r="H115" s="89"/>
      <c r="I115" s="92"/>
      <c r="J115" s="105"/>
      <c r="K115" s="76"/>
      <c r="L115" s="176"/>
      <c r="M115" s="176"/>
      <c r="N115" s="176"/>
      <c r="O115" s="137" t="str">
        <f t="shared" si="9"/>
        <v>-</v>
      </c>
    </row>
    <row r="116" spans="2:15" ht="30" customHeight="1" x14ac:dyDescent="0.2">
      <c r="B116" s="45"/>
      <c r="C116" s="43"/>
      <c r="D116" s="260"/>
      <c r="E116" s="261"/>
      <c r="F116" s="186"/>
      <c r="G116" s="80"/>
      <c r="H116" s="89"/>
      <c r="I116" s="92"/>
      <c r="J116" s="105"/>
      <c r="K116" s="76"/>
      <c r="L116" s="176"/>
      <c r="M116" s="176"/>
      <c r="N116" s="176"/>
      <c r="O116" s="137" t="str">
        <f t="shared" si="9"/>
        <v>-</v>
      </c>
    </row>
    <row r="117" spans="2:15" ht="30" customHeight="1" x14ac:dyDescent="0.2">
      <c r="B117" s="45"/>
      <c r="C117" s="43"/>
      <c r="D117" s="260"/>
      <c r="E117" s="261"/>
      <c r="F117" s="186"/>
      <c r="G117" s="80"/>
      <c r="H117" s="89"/>
      <c r="I117" s="92"/>
      <c r="J117" s="105"/>
      <c r="K117" s="76"/>
      <c r="L117" s="176"/>
      <c r="M117" s="176"/>
      <c r="N117" s="176"/>
      <c r="O117" s="137" t="str">
        <f t="shared" si="9"/>
        <v>-</v>
      </c>
    </row>
    <row r="118" spans="2:15" ht="30" customHeight="1" x14ac:dyDescent="0.2">
      <c r="B118" s="45"/>
      <c r="C118" s="43"/>
      <c r="D118" s="260"/>
      <c r="E118" s="261"/>
      <c r="F118" s="186"/>
      <c r="G118" s="80"/>
      <c r="H118" s="89"/>
      <c r="I118" s="92"/>
      <c r="J118" s="105"/>
      <c r="K118" s="76"/>
      <c r="L118" s="176"/>
      <c r="M118" s="176"/>
      <c r="N118" s="176"/>
      <c r="O118" s="137" t="str">
        <f t="shared" si="9"/>
        <v>-</v>
      </c>
    </row>
    <row r="119" spans="2:15" ht="30" customHeight="1" x14ac:dyDescent="0.2">
      <c r="B119" s="45"/>
      <c r="C119" s="43"/>
      <c r="D119" s="260"/>
      <c r="E119" s="261"/>
      <c r="F119" s="186"/>
      <c r="G119" s="80"/>
      <c r="H119" s="89"/>
      <c r="I119" s="92"/>
      <c r="J119" s="105"/>
      <c r="K119" s="76"/>
      <c r="L119" s="176"/>
      <c r="M119" s="176"/>
      <c r="N119" s="176"/>
      <c r="O119" s="137" t="str">
        <f t="shared" si="9"/>
        <v>-</v>
      </c>
    </row>
    <row r="120" spans="2:15" ht="30" customHeight="1" x14ac:dyDescent="0.2">
      <c r="B120" s="45"/>
      <c r="C120" s="43"/>
      <c r="D120" s="260"/>
      <c r="E120" s="261"/>
      <c r="F120" s="186"/>
      <c r="G120" s="80"/>
      <c r="H120" s="89"/>
      <c r="I120" s="92"/>
      <c r="J120" s="105"/>
      <c r="K120" s="76"/>
      <c r="L120" s="176"/>
      <c r="M120" s="176"/>
      <c r="N120" s="176"/>
      <c r="O120" s="137" t="str">
        <f t="shared" si="9"/>
        <v>-</v>
      </c>
    </row>
    <row r="121" spans="2:15" ht="30" customHeight="1" x14ac:dyDescent="0.2">
      <c r="B121" s="97"/>
      <c r="C121" s="96"/>
      <c r="D121" s="264"/>
      <c r="E121" s="277"/>
      <c r="F121" s="277"/>
      <c r="G121" s="97"/>
      <c r="H121" s="88"/>
      <c r="I121" s="88"/>
      <c r="J121" s="105"/>
      <c r="K121" s="76"/>
      <c r="L121" s="176"/>
      <c r="M121" s="176"/>
      <c r="N121" s="176"/>
      <c r="O121" s="137" t="str">
        <f t="shared" si="9"/>
        <v>-</v>
      </c>
    </row>
    <row r="122" spans="2:15" ht="30" customHeight="1" x14ac:dyDescent="0.2">
      <c r="B122" s="45"/>
      <c r="C122" s="43"/>
      <c r="D122" s="275"/>
      <c r="E122" s="276"/>
      <c r="F122" s="191"/>
      <c r="G122" s="80"/>
      <c r="H122" s="89"/>
      <c r="I122" s="92"/>
      <c r="J122" s="105"/>
      <c r="K122" s="76"/>
      <c r="L122" s="176"/>
      <c r="M122" s="176"/>
      <c r="N122" s="176"/>
      <c r="O122" s="137" t="str">
        <f t="shared" si="9"/>
        <v>-</v>
      </c>
    </row>
    <row r="123" spans="2:15" ht="30" customHeight="1" x14ac:dyDescent="0.2">
      <c r="B123" s="45"/>
      <c r="C123" s="43"/>
      <c r="D123" s="260"/>
      <c r="E123" s="261"/>
      <c r="F123" s="186"/>
      <c r="G123" s="80"/>
      <c r="H123" s="89"/>
      <c r="I123" s="92"/>
      <c r="J123" s="105"/>
      <c r="K123" s="76"/>
      <c r="L123" s="176"/>
      <c r="M123" s="176"/>
      <c r="N123" s="176"/>
      <c r="O123" s="137" t="str">
        <f t="shared" si="9"/>
        <v>-</v>
      </c>
    </row>
    <row r="124" spans="2:15" ht="30" customHeight="1" x14ac:dyDescent="0.2">
      <c r="B124" s="45"/>
      <c r="C124" s="43"/>
      <c r="D124" s="260"/>
      <c r="E124" s="261"/>
      <c r="F124" s="186"/>
      <c r="G124" s="80"/>
      <c r="H124" s="89"/>
      <c r="I124" s="92"/>
      <c r="J124" s="105"/>
      <c r="K124" s="76"/>
      <c r="L124" s="176"/>
      <c r="M124" s="176"/>
      <c r="N124" s="176"/>
      <c r="O124" s="137" t="str">
        <f t="shared" si="9"/>
        <v>-</v>
      </c>
    </row>
    <row r="125" spans="2:15" ht="30" customHeight="1" x14ac:dyDescent="0.2">
      <c r="B125" s="45"/>
      <c r="C125" s="42"/>
      <c r="D125" s="260"/>
      <c r="E125" s="261"/>
      <c r="F125" s="186"/>
      <c r="G125" s="80"/>
      <c r="H125" s="89"/>
      <c r="I125" s="92"/>
      <c r="J125" s="105"/>
      <c r="K125" s="76"/>
      <c r="L125" s="176"/>
      <c r="M125" s="176"/>
      <c r="N125" s="176"/>
      <c r="O125" s="137" t="str">
        <f t="shared" si="9"/>
        <v>-</v>
      </c>
    </row>
    <row r="126" spans="2:15" ht="30" customHeight="1" x14ac:dyDescent="0.2">
      <c r="B126" s="45"/>
      <c r="C126" s="43"/>
      <c r="D126" s="260"/>
      <c r="E126" s="261"/>
      <c r="F126" s="186"/>
      <c r="G126" s="80"/>
      <c r="H126" s="89"/>
      <c r="I126" s="92"/>
      <c r="J126" s="105"/>
      <c r="K126" s="76"/>
      <c r="L126" s="176"/>
      <c r="M126" s="176"/>
      <c r="N126" s="176"/>
      <c r="O126" s="137" t="str">
        <f t="shared" si="9"/>
        <v>-</v>
      </c>
    </row>
    <row r="127" spans="2:15" ht="30" customHeight="1" x14ac:dyDescent="0.2">
      <c r="B127" s="45"/>
      <c r="C127" s="43"/>
      <c r="D127" s="260"/>
      <c r="E127" s="261"/>
      <c r="F127" s="186"/>
      <c r="G127" s="80"/>
      <c r="H127" s="89"/>
      <c r="I127" s="92"/>
      <c r="J127" s="105"/>
      <c r="K127" s="76"/>
      <c r="L127" s="176"/>
      <c r="M127" s="176"/>
      <c r="N127" s="176"/>
      <c r="O127" s="137" t="str">
        <f t="shared" si="9"/>
        <v>-</v>
      </c>
    </row>
    <row r="128" spans="2:15" ht="30" customHeight="1" x14ac:dyDescent="0.2">
      <c r="B128" s="45"/>
      <c r="C128" s="43"/>
      <c r="D128" s="260"/>
      <c r="E128" s="261"/>
      <c r="F128" s="186"/>
      <c r="G128" s="80"/>
      <c r="H128" s="89"/>
      <c r="I128" s="92"/>
      <c r="J128" s="105"/>
      <c r="K128" s="76"/>
      <c r="L128" s="176"/>
      <c r="M128" s="176"/>
      <c r="N128" s="176"/>
      <c r="O128" s="137" t="str">
        <f t="shared" si="9"/>
        <v>-</v>
      </c>
    </row>
    <row r="129" spans="1:15" ht="30" customHeight="1" x14ac:dyDescent="0.2">
      <c r="B129" s="45"/>
      <c r="C129" s="43"/>
      <c r="D129" s="260"/>
      <c r="E129" s="261"/>
      <c r="F129" s="186"/>
      <c r="G129" s="80"/>
      <c r="H129" s="89"/>
      <c r="I129" s="92"/>
      <c r="J129" s="105"/>
      <c r="K129" s="76"/>
      <c r="L129" s="176"/>
      <c r="M129" s="176"/>
      <c r="N129" s="176"/>
      <c r="O129" s="137" t="str">
        <f t="shared" si="9"/>
        <v>-</v>
      </c>
    </row>
    <row r="130" spans="1:15" ht="30" customHeight="1" x14ac:dyDescent="0.2">
      <c r="B130" s="45"/>
      <c r="C130" s="43"/>
      <c r="D130" s="260"/>
      <c r="E130" s="261"/>
      <c r="F130" s="186"/>
      <c r="G130" s="80"/>
      <c r="H130" s="89"/>
      <c r="I130" s="92"/>
      <c r="J130" s="105"/>
      <c r="K130" s="76"/>
      <c r="L130" s="176"/>
      <c r="M130" s="176"/>
      <c r="N130" s="176"/>
      <c r="O130" s="137" t="str">
        <f t="shared" si="9"/>
        <v>-</v>
      </c>
    </row>
    <row r="131" spans="1:15" ht="30" customHeight="1" x14ac:dyDescent="0.2">
      <c r="B131" s="45"/>
      <c r="C131" s="43"/>
      <c r="D131" s="260"/>
      <c r="E131" s="261"/>
      <c r="F131" s="186"/>
      <c r="G131" s="80"/>
      <c r="H131" s="89"/>
      <c r="I131" s="92"/>
      <c r="J131" s="105"/>
      <c r="K131" s="76"/>
      <c r="L131" s="176"/>
      <c r="M131" s="176"/>
      <c r="N131" s="176"/>
      <c r="O131" s="137" t="str">
        <f t="shared" si="9"/>
        <v>-</v>
      </c>
    </row>
    <row r="132" spans="1:15" ht="30" customHeight="1" x14ac:dyDescent="0.2">
      <c r="B132" s="45"/>
      <c r="C132" s="43"/>
      <c r="D132" s="260"/>
      <c r="E132" s="261"/>
      <c r="F132" s="186"/>
      <c r="G132" s="80"/>
      <c r="H132" s="89"/>
      <c r="I132" s="92"/>
      <c r="J132" s="105"/>
      <c r="K132" s="76"/>
      <c r="L132" s="176"/>
      <c r="M132" s="176"/>
      <c r="N132" s="176"/>
      <c r="O132" s="137" t="str">
        <f t="shared" ref="O132:O192" si="11">IF(G132="","-",IF(J132="","",J132))</f>
        <v>-</v>
      </c>
    </row>
    <row r="133" spans="1:15" ht="30" customHeight="1" x14ac:dyDescent="0.2">
      <c r="B133" s="45"/>
      <c r="C133" s="43"/>
      <c r="D133" s="260"/>
      <c r="E133" s="261"/>
      <c r="F133" s="186"/>
      <c r="G133" s="80"/>
      <c r="H133" s="89"/>
      <c r="I133" s="92"/>
      <c r="J133" s="105"/>
      <c r="K133" s="76"/>
      <c r="L133" s="176"/>
      <c r="M133" s="176"/>
      <c r="N133" s="176"/>
      <c r="O133" s="137" t="str">
        <f t="shared" si="11"/>
        <v>-</v>
      </c>
    </row>
    <row r="134" spans="1:15" ht="30" customHeight="1" thickBot="1" x14ac:dyDescent="0.25">
      <c r="B134" s="100"/>
      <c r="C134" s="96"/>
      <c r="D134" s="292"/>
      <c r="E134" s="293"/>
      <c r="F134" s="293"/>
      <c r="G134" s="79"/>
      <c r="H134" s="87"/>
      <c r="I134" s="87"/>
      <c r="J134" s="105"/>
      <c r="K134" s="76"/>
      <c r="L134" s="176"/>
      <c r="M134" s="176"/>
      <c r="N134" s="176"/>
      <c r="O134" s="137" t="str">
        <f t="shared" si="11"/>
        <v>-</v>
      </c>
    </row>
    <row r="135" spans="1:15" ht="30" customHeight="1" thickBot="1" x14ac:dyDescent="0.25">
      <c r="A135" s="41"/>
      <c r="B135" s="62"/>
      <c r="C135" s="45"/>
      <c r="D135" s="290"/>
      <c r="E135" s="294"/>
      <c r="F135" s="201"/>
      <c r="G135" s="46"/>
      <c r="H135" s="46"/>
      <c r="I135" s="46"/>
      <c r="J135" s="91"/>
      <c r="K135" s="98"/>
      <c r="L135" s="177"/>
      <c r="M135" s="177"/>
      <c r="N135" s="177"/>
      <c r="O135" s="137" t="str">
        <f t="shared" si="11"/>
        <v>-</v>
      </c>
    </row>
    <row r="136" spans="1:15" ht="30" customHeight="1" x14ac:dyDescent="0.2">
      <c r="B136" s="62"/>
      <c r="C136" s="45"/>
      <c r="D136" s="297"/>
      <c r="E136" s="297"/>
      <c r="F136" s="82"/>
      <c r="G136" s="46"/>
      <c r="H136" s="46"/>
      <c r="I136" s="46"/>
      <c r="J136" s="91"/>
      <c r="K136" s="98"/>
      <c r="L136" s="177"/>
      <c r="M136" s="177"/>
      <c r="N136" s="177"/>
      <c r="O136" s="137" t="str">
        <f t="shared" si="11"/>
        <v>-</v>
      </c>
    </row>
    <row r="137" spans="1:15" ht="30" customHeight="1" x14ac:dyDescent="0.2">
      <c r="B137" s="63"/>
      <c r="C137" s="118"/>
      <c r="D137" s="290"/>
      <c r="E137" s="294"/>
      <c r="F137" s="71"/>
      <c r="G137" s="53"/>
      <c r="H137" s="53"/>
      <c r="I137" s="53"/>
      <c r="J137" s="106"/>
      <c r="K137" s="77"/>
      <c r="L137" s="178"/>
      <c r="M137" s="178"/>
      <c r="N137" s="178"/>
      <c r="O137" s="137" t="str">
        <f t="shared" si="11"/>
        <v>-</v>
      </c>
    </row>
    <row r="138" spans="1:15" ht="30" customHeight="1" x14ac:dyDescent="0.2">
      <c r="B138" s="97"/>
      <c r="C138" s="96"/>
      <c r="D138" s="289"/>
      <c r="E138" s="289"/>
      <c r="F138" s="199"/>
      <c r="G138" s="199"/>
      <c r="H138" s="60"/>
      <c r="I138" s="188"/>
      <c r="J138" s="107"/>
      <c r="K138" s="98"/>
      <c r="L138" s="177"/>
      <c r="M138" s="177"/>
      <c r="N138" s="177"/>
      <c r="O138" s="137" t="str">
        <f t="shared" si="11"/>
        <v>-</v>
      </c>
    </row>
    <row r="139" spans="1:15" ht="30" customHeight="1" x14ac:dyDescent="0.2">
      <c r="B139" s="101"/>
      <c r="C139" s="50"/>
      <c r="D139" s="298"/>
      <c r="E139" s="299"/>
      <c r="F139" s="204"/>
      <c r="G139" s="51"/>
      <c r="H139" s="61"/>
      <c r="I139" s="108"/>
      <c r="J139" s="107"/>
      <c r="K139" s="98"/>
      <c r="L139" s="177"/>
      <c r="M139" s="177"/>
      <c r="N139" s="177"/>
      <c r="O139" s="137" t="str">
        <f t="shared" si="11"/>
        <v>-</v>
      </c>
    </row>
    <row r="140" spans="1:15" ht="30" customHeight="1" x14ac:dyDescent="0.2">
      <c r="B140" s="81"/>
      <c r="C140" s="43"/>
      <c r="D140" s="287"/>
      <c r="E140" s="288"/>
      <c r="F140" s="198"/>
      <c r="G140" s="81"/>
      <c r="H140" s="81"/>
      <c r="I140" s="45"/>
      <c r="J140" s="91"/>
      <c r="K140" s="98"/>
      <c r="L140" s="177"/>
      <c r="M140" s="177"/>
      <c r="N140" s="177"/>
      <c r="O140" s="137" t="str">
        <f t="shared" si="11"/>
        <v>-</v>
      </c>
    </row>
    <row r="141" spans="1:15" ht="30" customHeight="1" x14ac:dyDescent="0.2">
      <c r="B141" s="81"/>
      <c r="C141" s="42"/>
      <c r="D141" s="290"/>
      <c r="E141" s="294"/>
      <c r="F141" s="201"/>
      <c r="G141" s="82"/>
      <c r="H141" s="82"/>
      <c r="I141" s="45"/>
      <c r="J141" s="91"/>
      <c r="K141" s="98"/>
      <c r="L141" s="177"/>
      <c r="M141" s="177"/>
      <c r="N141" s="177"/>
      <c r="O141" s="137" t="str">
        <f t="shared" si="11"/>
        <v>-</v>
      </c>
    </row>
    <row r="142" spans="1:15" ht="30" customHeight="1" x14ac:dyDescent="0.2">
      <c r="B142" s="81"/>
      <c r="C142" s="43"/>
      <c r="D142" s="287"/>
      <c r="E142" s="288"/>
      <c r="F142" s="198"/>
      <c r="G142" s="81"/>
      <c r="H142" s="81"/>
      <c r="I142" s="45"/>
      <c r="J142" s="91"/>
      <c r="K142" s="98"/>
      <c r="L142" s="177"/>
      <c r="M142" s="177"/>
      <c r="N142" s="177"/>
      <c r="O142" s="137" t="str">
        <f t="shared" si="11"/>
        <v>-</v>
      </c>
    </row>
    <row r="143" spans="1:15" ht="30" customHeight="1" x14ac:dyDescent="0.2">
      <c r="B143" s="81"/>
      <c r="C143" s="43"/>
      <c r="D143" s="287"/>
      <c r="E143" s="288"/>
      <c r="F143" s="198"/>
      <c r="G143" s="82"/>
      <c r="H143" s="82"/>
      <c r="I143" s="45"/>
      <c r="J143" s="91"/>
      <c r="K143" s="98"/>
      <c r="L143" s="177"/>
      <c r="M143" s="177"/>
      <c r="N143" s="177"/>
      <c r="O143" s="137" t="str">
        <f t="shared" si="11"/>
        <v>-</v>
      </c>
    </row>
    <row r="144" spans="1:15" ht="30" customHeight="1" x14ac:dyDescent="0.2">
      <c r="B144" s="81"/>
      <c r="C144" s="43"/>
      <c r="D144" s="275"/>
      <c r="E144" s="276"/>
      <c r="F144" s="191"/>
      <c r="G144" s="81"/>
      <c r="H144" s="81"/>
      <c r="I144" s="45"/>
      <c r="J144" s="91"/>
      <c r="K144" s="98"/>
      <c r="L144" s="177"/>
      <c r="M144" s="177"/>
      <c r="N144" s="177"/>
      <c r="O144" s="137" t="str">
        <f t="shared" si="11"/>
        <v>-</v>
      </c>
    </row>
    <row r="145" spans="2:15" ht="30" customHeight="1" x14ac:dyDescent="0.2">
      <c r="B145" s="81"/>
      <c r="C145" s="43"/>
      <c r="D145" s="287"/>
      <c r="E145" s="288"/>
      <c r="F145" s="198"/>
      <c r="G145" s="82"/>
      <c r="H145" s="82"/>
      <c r="I145" s="45"/>
      <c r="J145" s="91"/>
      <c r="K145" s="98"/>
      <c r="L145" s="177"/>
      <c r="M145" s="177"/>
      <c r="N145" s="177"/>
      <c r="O145" s="137" t="str">
        <f t="shared" si="11"/>
        <v>-</v>
      </c>
    </row>
    <row r="146" spans="2:15" ht="30" customHeight="1" x14ac:dyDescent="0.2">
      <c r="B146" s="81"/>
      <c r="C146" s="43"/>
      <c r="D146" s="275"/>
      <c r="E146" s="276"/>
      <c r="F146" s="191"/>
      <c r="G146" s="81"/>
      <c r="H146" s="81"/>
      <c r="I146" s="45"/>
      <c r="J146" s="91"/>
      <c r="K146" s="98"/>
      <c r="L146" s="177"/>
      <c r="M146" s="177"/>
      <c r="N146" s="177"/>
      <c r="O146" s="137" t="str">
        <f t="shared" si="11"/>
        <v>-</v>
      </c>
    </row>
    <row r="147" spans="2:15" ht="30" customHeight="1" x14ac:dyDescent="0.2">
      <c r="B147" s="81"/>
      <c r="C147" s="43"/>
      <c r="D147" s="287"/>
      <c r="E147" s="288"/>
      <c r="F147" s="198"/>
      <c r="G147" s="82"/>
      <c r="H147" s="82"/>
      <c r="I147" s="45"/>
      <c r="J147" s="91"/>
      <c r="K147" s="98"/>
      <c r="L147" s="177"/>
      <c r="M147" s="177"/>
      <c r="N147" s="177"/>
      <c r="O147" s="137" t="str">
        <f t="shared" si="11"/>
        <v>-</v>
      </c>
    </row>
    <row r="148" spans="2:15" ht="30" customHeight="1" x14ac:dyDescent="0.2">
      <c r="B148" s="81"/>
      <c r="C148" s="43"/>
      <c r="D148" s="287"/>
      <c r="E148" s="288"/>
      <c r="F148" s="198"/>
      <c r="G148" s="81"/>
      <c r="H148" s="81"/>
      <c r="I148" s="45"/>
      <c r="J148" s="91"/>
      <c r="K148" s="98"/>
      <c r="L148" s="177"/>
      <c r="M148" s="177"/>
      <c r="N148" s="177"/>
      <c r="O148" s="137" t="str">
        <f t="shared" si="11"/>
        <v>-</v>
      </c>
    </row>
    <row r="149" spans="2:15" ht="30" customHeight="1" x14ac:dyDescent="0.2">
      <c r="B149" s="81"/>
      <c r="C149" s="43"/>
      <c r="D149" s="287"/>
      <c r="E149" s="288"/>
      <c r="F149" s="198"/>
      <c r="G149" s="81"/>
      <c r="H149" s="81"/>
      <c r="I149" s="45"/>
      <c r="J149" s="91"/>
      <c r="K149" s="98"/>
      <c r="L149" s="177"/>
      <c r="M149" s="177"/>
      <c r="N149" s="177"/>
      <c r="O149" s="137" t="str">
        <f t="shared" si="11"/>
        <v>-</v>
      </c>
    </row>
    <row r="150" spans="2:15" ht="30" customHeight="1" x14ac:dyDescent="0.2">
      <c r="B150" s="81"/>
      <c r="C150" s="43"/>
      <c r="D150" s="287"/>
      <c r="E150" s="288"/>
      <c r="F150" s="198"/>
      <c r="G150" s="81"/>
      <c r="H150" s="81"/>
      <c r="I150" s="45"/>
      <c r="J150" s="91"/>
      <c r="K150" s="98"/>
      <c r="L150" s="177"/>
      <c r="M150" s="177"/>
      <c r="N150" s="177"/>
      <c r="O150" s="137" t="str">
        <f t="shared" si="11"/>
        <v>-</v>
      </c>
    </row>
    <row r="151" spans="2:15" ht="30" customHeight="1" x14ac:dyDescent="0.2">
      <c r="B151" s="81"/>
      <c r="C151" s="43"/>
      <c r="D151" s="287"/>
      <c r="E151" s="288"/>
      <c r="F151" s="198"/>
      <c r="G151" s="81"/>
      <c r="H151" s="81"/>
      <c r="I151" s="45"/>
      <c r="J151" s="91"/>
      <c r="K151" s="98"/>
      <c r="L151" s="177"/>
      <c r="M151" s="177"/>
      <c r="N151" s="177"/>
      <c r="O151" s="137" t="str">
        <f t="shared" si="11"/>
        <v>-</v>
      </c>
    </row>
    <row r="152" spans="2:15" ht="30" customHeight="1" x14ac:dyDescent="0.2">
      <c r="B152" s="81"/>
      <c r="C152" s="43"/>
      <c r="D152" s="287"/>
      <c r="E152" s="288"/>
      <c r="F152" s="198"/>
      <c r="G152" s="81"/>
      <c r="H152" s="81"/>
      <c r="I152" s="45"/>
      <c r="J152" s="91"/>
      <c r="K152" s="98"/>
      <c r="L152" s="177"/>
      <c r="M152" s="177"/>
      <c r="N152" s="177"/>
      <c r="O152" s="137" t="str">
        <f t="shared" si="11"/>
        <v>-</v>
      </c>
    </row>
    <row r="153" spans="2:15" ht="30" customHeight="1" x14ac:dyDescent="0.2">
      <c r="B153" s="81"/>
      <c r="C153" s="43"/>
      <c r="D153" s="287"/>
      <c r="E153" s="288"/>
      <c r="F153" s="198"/>
      <c r="G153" s="81"/>
      <c r="H153" s="81"/>
      <c r="I153" s="45"/>
      <c r="J153" s="91"/>
      <c r="K153" s="98"/>
      <c r="L153" s="177"/>
      <c r="M153" s="177"/>
      <c r="N153" s="177"/>
      <c r="O153" s="137" t="str">
        <f t="shared" si="11"/>
        <v>-</v>
      </c>
    </row>
    <row r="154" spans="2:15" ht="30" customHeight="1" x14ac:dyDescent="0.2">
      <c r="B154" s="81"/>
      <c r="C154" s="43"/>
      <c r="D154" s="287"/>
      <c r="E154" s="288"/>
      <c r="F154" s="198"/>
      <c r="G154" s="81"/>
      <c r="H154" s="81"/>
      <c r="I154" s="45"/>
      <c r="J154" s="91"/>
      <c r="K154" s="98"/>
      <c r="L154" s="177"/>
      <c r="M154" s="177"/>
      <c r="N154" s="177"/>
      <c r="O154" s="137" t="str">
        <f t="shared" si="11"/>
        <v>-</v>
      </c>
    </row>
    <row r="155" spans="2:15" ht="30" customHeight="1" x14ac:dyDescent="0.2">
      <c r="B155" s="81"/>
      <c r="C155" s="43"/>
      <c r="D155" s="287"/>
      <c r="E155" s="288"/>
      <c r="F155" s="198"/>
      <c r="G155" s="81"/>
      <c r="H155" s="81"/>
      <c r="I155" s="45"/>
      <c r="J155" s="91"/>
      <c r="K155" s="98"/>
      <c r="L155" s="177"/>
      <c r="M155" s="177"/>
      <c r="N155" s="177"/>
      <c r="O155" s="137" t="str">
        <f t="shared" si="11"/>
        <v>-</v>
      </c>
    </row>
    <row r="156" spans="2:15" ht="30" customHeight="1" x14ac:dyDescent="0.2">
      <c r="B156" s="81"/>
      <c r="C156" s="44"/>
      <c r="D156" s="287"/>
      <c r="E156" s="288"/>
      <c r="F156" s="198"/>
      <c r="G156" s="81"/>
      <c r="H156" s="81"/>
      <c r="I156" s="45"/>
      <c r="J156" s="91"/>
      <c r="K156" s="98"/>
      <c r="L156" s="177"/>
      <c r="M156" s="177"/>
      <c r="N156" s="177"/>
      <c r="O156" s="137" t="str">
        <f t="shared" si="11"/>
        <v>-</v>
      </c>
    </row>
    <row r="157" spans="2:15" ht="30" customHeight="1" x14ac:dyDescent="0.2">
      <c r="B157" s="97"/>
      <c r="C157" s="96"/>
      <c r="D157" s="289"/>
      <c r="E157" s="289"/>
      <c r="F157" s="199"/>
      <c r="G157" s="199"/>
      <c r="H157" s="199"/>
      <c r="I157" s="70"/>
      <c r="J157" s="91"/>
      <c r="K157" s="98"/>
      <c r="L157" s="177"/>
      <c r="M157" s="177"/>
      <c r="N157" s="177"/>
      <c r="O157" s="137" t="str">
        <f t="shared" si="11"/>
        <v>-</v>
      </c>
    </row>
    <row r="158" spans="2:15" ht="30" customHeight="1" x14ac:dyDescent="0.2">
      <c r="B158" s="81"/>
      <c r="C158" s="42"/>
      <c r="D158" s="260"/>
      <c r="E158" s="300"/>
      <c r="F158" s="205"/>
      <c r="G158" s="81"/>
      <c r="H158" s="81"/>
      <c r="I158" s="45"/>
      <c r="J158" s="91"/>
      <c r="K158" s="98"/>
      <c r="L158" s="177"/>
      <c r="M158" s="177"/>
      <c r="N158" s="177"/>
      <c r="O158" s="137" t="str">
        <f t="shared" si="11"/>
        <v>-</v>
      </c>
    </row>
    <row r="159" spans="2:15" ht="30" customHeight="1" x14ac:dyDescent="0.2">
      <c r="B159" s="81"/>
      <c r="C159" s="43"/>
      <c r="D159" s="260"/>
      <c r="E159" s="261"/>
      <c r="F159" s="186"/>
      <c r="G159" s="81"/>
      <c r="H159" s="81"/>
      <c r="I159" s="45"/>
      <c r="J159" s="91"/>
      <c r="K159" s="98"/>
      <c r="L159" s="177"/>
      <c r="M159" s="177"/>
      <c r="N159" s="177"/>
      <c r="O159" s="137" t="str">
        <f t="shared" si="11"/>
        <v>-</v>
      </c>
    </row>
    <row r="160" spans="2:15" ht="30" customHeight="1" x14ac:dyDescent="0.2">
      <c r="B160" s="81"/>
      <c r="C160" s="43"/>
      <c r="D160" s="287"/>
      <c r="E160" s="288"/>
      <c r="F160" s="198"/>
      <c r="G160" s="82"/>
      <c r="H160" s="82"/>
      <c r="I160" s="45"/>
      <c r="J160" s="91"/>
      <c r="K160" s="98"/>
      <c r="L160" s="177"/>
      <c r="M160" s="177"/>
      <c r="N160" s="177"/>
      <c r="O160" s="137" t="str">
        <f t="shared" si="11"/>
        <v>-</v>
      </c>
    </row>
    <row r="161" spans="2:15" ht="30" customHeight="1" x14ac:dyDescent="0.2">
      <c r="B161" s="81"/>
      <c r="C161" s="43"/>
      <c r="D161" s="275"/>
      <c r="E161" s="276"/>
      <c r="F161" s="191"/>
      <c r="G161" s="81"/>
      <c r="H161" s="81"/>
      <c r="I161" s="45"/>
      <c r="J161" s="91"/>
      <c r="K161" s="98"/>
      <c r="L161" s="177"/>
      <c r="M161" s="177"/>
      <c r="N161" s="177"/>
      <c r="O161" s="137" t="str">
        <f t="shared" si="11"/>
        <v>-</v>
      </c>
    </row>
    <row r="162" spans="2:15" ht="30" customHeight="1" x14ac:dyDescent="0.2">
      <c r="B162" s="81"/>
      <c r="C162" s="43"/>
      <c r="D162" s="287"/>
      <c r="E162" s="288"/>
      <c r="F162" s="198"/>
      <c r="G162" s="82"/>
      <c r="H162" s="82"/>
      <c r="I162" s="45"/>
      <c r="J162" s="91"/>
      <c r="K162" s="98"/>
      <c r="L162" s="177"/>
      <c r="M162" s="177"/>
      <c r="N162" s="177"/>
      <c r="O162" s="137" t="str">
        <f t="shared" si="11"/>
        <v>-</v>
      </c>
    </row>
    <row r="163" spans="2:15" ht="30" customHeight="1" x14ac:dyDescent="0.2">
      <c r="B163" s="81"/>
      <c r="C163" s="43"/>
      <c r="D163" s="275"/>
      <c r="E163" s="276"/>
      <c r="F163" s="191"/>
      <c r="G163" s="81"/>
      <c r="H163" s="81"/>
      <c r="I163" s="45"/>
      <c r="J163" s="91"/>
      <c r="K163" s="98"/>
      <c r="L163" s="177"/>
      <c r="M163" s="177"/>
      <c r="N163" s="177"/>
      <c r="O163" s="137" t="str">
        <f t="shared" si="11"/>
        <v>-</v>
      </c>
    </row>
    <row r="164" spans="2:15" ht="30" customHeight="1" x14ac:dyDescent="0.2">
      <c r="B164" s="81"/>
      <c r="C164" s="43"/>
      <c r="D164" s="287"/>
      <c r="E164" s="288"/>
      <c r="F164" s="198"/>
      <c r="G164" s="82"/>
      <c r="H164" s="82"/>
      <c r="I164" s="45"/>
      <c r="J164" s="91"/>
      <c r="K164" s="98"/>
      <c r="L164" s="177"/>
      <c r="M164" s="177"/>
      <c r="N164" s="177"/>
      <c r="O164" s="137" t="str">
        <f t="shared" si="11"/>
        <v>-</v>
      </c>
    </row>
    <row r="165" spans="2:15" ht="30" customHeight="1" x14ac:dyDescent="0.2">
      <c r="B165" s="81"/>
      <c r="C165" s="43"/>
      <c r="D165" s="275"/>
      <c r="E165" s="276"/>
      <c r="F165" s="191"/>
      <c r="G165" s="81"/>
      <c r="H165" s="81"/>
      <c r="I165" s="45"/>
      <c r="J165" s="91"/>
      <c r="K165" s="98"/>
      <c r="L165" s="177"/>
      <c r="M165" s="177"/>
      <c r="N165" s="177"/>
      <c r="O165" s="137" t="str">
        <f t="shared" si="11"/>
        <v>-</v>
      </c>
    </row>
    <row r="166" spans="2:15" ht="30" customHeight="1" x14ac:dyDescent="0.2">
      <c r="B166" s="81"/>
      <c r="C166" s="43"/>
      <c r="D166" s="287"/>
      <c r="E166" s="288"/>
      <c r="F166" s="198"/>
      <c r="G166" s="82"/>
      <c r="H166" s="82"/>
      <c r="I166" s="45"/>
      <c r="J166" s="91"/>
      <c r="K166" s="98"/>
      <c r="L166" s="177"/>
      <c r="M166" s="177"/>
      <c r="N166" s="177"/>
      <c r="O166" s="137" t="str">
        <f t="shared" si="11"/>
        <v>-</v>
      </c>
    </row>
    <row r="167" spans="2:15" ht="30" customHeight="1" x14ac:dyDescent="0.2">
      <c r="B167" s="81"/>
      <c r="C167" s="43"/>
      <c r="D167" s="287"/>
      <c r="E167" s="288"/>
      <c r="F167" s="198"/>
      <c r="G167" s="81"/>
      <c r="H167" s="81"/>
      <c r="I167" s="45"/>
      <c r="J167" s="91"/>
      <c r="K167" s="98"/>
      <c r="L167" s="177"/>
      <c r="M167" s="177"/>
      <c r="N167" s="177"/>
      <c r="O167" s="137" t="str">
        <f t="shared" si="11"/>
        <v>-</v>
      </c>
    </row>
    <row r="168" spans="2:15" ht="30" customHeight="1" x14ac:dyDescent="0.2">
      <c r="B168" s="81"/>
      <c r="C168" s="43"/>
      <c r="D168" s="287"/>
      <c r="E168" s="288"/>
      <c r="F168" s="198"/>
      <c r="G168" s="82"/>
      <c r="H168" s="82"/>
      <c r="I168" s="45"/>
      <c r="J168" s="91"/>
      <c r="K168" s="98"/>
      <c r="L168" s="177"/>
      <c r="M168" s="177"/>
      <c r="N168" s="177"/>
      <c r="O168" s="137" t="str">
        <f t="shared" si="11"/>
        <v>-</v>
      </c>
    </row>
    <row r="169" spans="2:15" ht="30" customHeight="1" x14ac:dyDescent="0.2">
      <c r="B169" s="81"/>
      <c r="C169" s="43"/>
      <c r="D169" s="287"/>
      <c r="E169" s="288"/>
      <c r="F169" s="198"/>
      <c r="G169" s="81"/>
      <c r="H169" s="81"/>
      <c r="I169" s="45"/>
      <c r="J169" s="91"/>
      <c r="K169" s="98"/>
      <c r="L169" s="177"/>
      <c r="M169" s="177"/>
      <c r="N169" s="177"/>
      <c r="O169" s="137" t="str">
        <f t="shared" si="11"/>
        <v>-</v>
      </c>
    </row>
    <row r="170" spans="2:15" ht="30" customHeight="1" x14ac:dyDescent="0.2">
      <c r="B170" s="81"/>
      <c r="C170" s="43"/>
      <c r="D170" s="287"/>
      <c r="E170" s="288"/>
      <c r="F170" s="198"/>
      <c r="G170" s="82"/>
      <c r="H170" s="82"/>
      <c r="I170" s="45"/>
      <c r="J170" s="91"/>
      <c r="K170" s="98"/>
      <c r="L170" s="177"/>
      <c r="M170" s="177"/>
      <c r="N170" s="177"/>
      <c r="O170" s="137" t="str">
        <f t="shared" si="11"/>
        <v>-</v>
      </c>
    </row>
    <row r="171" spans="2:15" ht="30" customHeight="1" x14ac:dyDescent="0.2">
      <c r="B171" s="81"/>
      <c r="C171" s="43"/>
      <c r="D171" s="287"/>
      <c r="E171" s="288"/>
      <c r="F171" s="198"/>
      <c r="G171" s="81"/>
      <c r="H171" s="81"/>
      <c r="I171" s="45"/>
      <c r="J171" s="91"/>
      <c r="K171" s="98"/>
      <c r="L171" s="177"/>
      <c r="M171" s="177"/>
      <c r="N171" s="177"/>
      <c r="O171" s="137" t="str">
        <f t="shared" si="11"/>
        <v>-</v>
      </c>
    </row>
    <row r="172" spans="2:15" ht="30" customHeight="1" x14ac:dyDescent="0.2">
      <c r="B172" s="81"/>
      <c r="C172" s="43"/>
      <c r="D172" s="287"/>
      <c r="E172" s="288"/>
      <c r="F172" s="198"/>
      <c r="G172" s="82"/>
      <c r="H172" s="82"/>
      <c r="I172" s="45"/>
      <c r="J172" s="91"/>
      <c r="K172" s="98"/>
      <c r="L172" s="177"/>
      <c r="M172" s="177"/>
      <c r="N172" s="177"/>
      <c r="O172" s="137" t="str">
        <f t="shared" si="11"/>
        <v>-</v>
      </c>
    </row>
    <row r="173" spans="2:15" ht="30" customHeight="1" x14ac:dyDescent="0.2">
      <c r="B173" s="81"/>
      <c r="C173" s="43"/>
      <c r="D173" s="287"/>
      <c r="E173" s="288"/>
      <c r="F173" s="198"/>
      <c r="G173" s="81"/>
      <c r="H173" s="81"/>
      <c r="I173" s="45"/>
      <c r="J173" s="91"/>
      <c r="K173" s="98"/>
      <c r="L173" s="177"/>
      <c r="M173" s="177"/>
      <c r="N173" s="177"/>
      <c r="O173" s="137" t="str">
        <f t="shared" si="11"/>
        <v>-</v>
      </c>
    </row>
    <row r="174" spans="2:15" ht="30" customHeight="1" x14ac:dyDescent="0.2">
      <c r="B174" s="81"/>
      <c r="C174" s="43"/>
      <c r="D174" s="287"/>
      <c r="E174" s="288"/>
      <c r="F174" s="198"/>
      <c r="G174" s="82"/>
      <c r="H174" s="82"/>
      <c r="I174" s="45"/>
      <c r="J174" s="91"/>
      <c r="K174" s="98"/>
      <c r="L174" s="177"/>
      <c r="M174" s="177"/>
      <c r="N174" s="177"/>
      <c r="O174" s="137" t="str">
        <f t="shared" si="11"/>
        <v>-</v>
      </c>
    </row>
    <row r="175" spans="2:15" ht="30" customHeight="1" x14ac:dyDescent="0.2">
      <c r="B175" s="81"/>
      <c r="C175" s="43"/>
      <c r="D175" s="287"/>
      <c r="E175" s="288"/>
      <c r="F175" s="198"/>
      <c r="G175" s="81"/>
      <c r="H175" s="81"/>
      <c r="I175" s="45"/>
      <c r="J175" s="91"/>
      <c r="K175" s="98"/>
      <c r="L175" s="177"/>
      <c r="M175" s="177"/>
      <c r="N175" s="177"/>
      <c r="O175" s="137" t="str">
        <f t="shared" si="11"/>
        <v>-</v>
      </c>
    </row>
    <row r="176" spans="2:15" ht="30" customHeight="1" x14ac:dyDescent="0.2">
      <c r="B176" s="81"/>
      <c r="C176" s="43"/>
      <c r="D176" s="287"/>
      <c r="E176" s="288"/>
      <c r="F176" s="198"/>
      <c r="G176" s="82"/>
      <c r="H176" s="82"/>
      <c r="I176" s="45"/>
      <c r="J176" s="91"/>
      <c r="K176" s="98"/>
      <c r="L176" s="177"/>
      <c r="M176" s="177"/>
      <c r="N176" s="177"/>
      <c r="O176" s="137" t="str">
        <f t="shared" si="11"/>
        <v>-</v>
      </c>
    </row>
    <row r="177" spans="2:15" ht="30" customHeight="1" x14ac:dyDescent="0.2">
      <c r="B177" s="100"/>
      <c r="C177" s="96"/>
      <c r="D177" s="292"/>
      <c r="E177" s="293"/>
      <c r="F177" s="293"/>
      <c r="G177" s="79"/>
      <c r="H177" s="79"/>
      <c r="I177" s="79"/>
      <c r="J177" s="91"/>
      <c r="K177" s="98"/>
      <c r="L177" s="177"/>
      <c r="M177" s="177"/>
      <c r="N177" s="177"/>
      <c r="O177" s="137" t="str">
        <f t="shared" si="11"/>
        <v>-</v>
      </c>
    </row>
    <row r="178" spans="2:15" ht="30" customHeight="1" x14ac:dyDescent="0.2">
      <c r="B178" s="81"/>
      <c r="C178" s="43"/>
      <c r="D178" s="290"/>
      <c r="E178" s="291"/>
      <c r="F178" s="200"/>
      <c r="G178" s="81"/>
      <c r="H178" s="81"/>
      <c r="I178" s="45"/>
      <c r="J178" s="91"/>
      <c r="K178" s="98"/>
      <c r="L178" s="177"/>
      <c r="M178" s="177"/>
      <c r="N178" s="177"/>
      <c r="O178" s="137" t="str">
        <f t="shared" si="11"/>
        <v>-</v>
      </c>
    </row>
    <row r="179" spans="2:15" ht="30" customHeight="1" x14ac:dyDescent="0.2">
      <c r="B179" s="81"/>
      <c r="C179" s="42"/>
      <c r="D179" s="290"/>
      <c r="E179" s="291"/>
      <c r="F179" s="200"/>
      <c r="G179" s="81"/>
      <c r="H179" s="81"/>
      <c r="I179" s="45"/>
      <c r="J179" s="91"/>
      <c r="K179" s="98"/>
      <c r="L179" s="177"/>
      <c r="M179" s="177"/>
      <c r="N179" s="177"/>
      <c r="O179" s="137" t="str">
        <f t="shared" si="11"/>
        <v>-</v>
      </c>
    </row>
    <row r="180" spans="2:15" ht="30" customHeight="1" x14ac:dyDescent="0.2">
      <c r="B180" s="81"/>
      <c r="C180" s="42"/>
      <c r="D180" s="287"/>
      <c r="E180" s="288"/>
      <c r="F180" s="198"/>
      <c r="G180" s="81"/>
      <c r="H180" s="81"/>
      <c r="I180" s="45"/>
      <c r="J180" s="91"/>
      <c r="K180" s="98"/>
      <c r="L180" s="177"/>
      <c r="M180" s="177"/>
      <c r="N180" s="177"/>
      <c r="O180" s="137" t="str">
        <f t="shared" si="11"/>
        <v>-</v>
      </c>
    </row>
    <row r="181" spans="2:15" ht="30" customHeight="1" x14ac:dyDescent="0.2">
      <c r="B181" s="199"/>
      <c r="C181" s="49"/>
      <c r="D181" s="202"/>
      <c r="E181" s="203"/>
      <c r="F181" s="203"/>
      <c r="G181" s="199"/>
      <c r="H181" s="199"/>
      <c r="I181" s="70"/>
      <c r="J181" s="91"/>
      <c r="K181" s="98"/>
      <c r="L181" s="177"/>
      <c r="M181" s="177"/>
      <c r="N181" s="177"/>
      <c r="O181" s="137" t="str">
        <f t="shared" si="11"/>
        <v>-</v>
      </c>
    </row>
    <row r="182" spans="2:15" ht="30" customHeight="1" x14ac:dyDescent="0.2">
      <c r="B182" s="199"/>
      <c r="C182" s="49"/>
      <c r="D182" s="202"/>
      <c r="E182" s="203"/>
      <c r="F182" s="203"/>
      <c r="G182" s="199"/>
      <c r="H182" s="199"/>
      <c r="I182" s="70"/>
      <c r="J182" s="91"/>
      <c r="K182" s="98"/>
      <c r="L182" s="177"/>
      <c r="M182" s="177"/>
      <c r="N182" s="177"/>
      <c r="O182" s="137" t="str">
        <f t="shared" si="11"/>
        <v>-</v>
      </c>
    </row>
    <row r="183" spans="2:15" ht="30" customHeight="1" x14ac:dyDescent="0.2">
      <c r="B183" s="81"/>
      <c r="C183" s="42"/>
      <c r="D183" s="287"/>
      <c r="E183" s="288"/>
      <c r="F183" s="198"/>
      <c r="G183" s="81"/>
      <c r="H183" s="81"/>
      <c r="I183" s="45"/>
      <c r="J183" s="91"/>
      <c r="K183" s="98"/>
      <c r="L183" s="177"/>
      <c r="M183" s="177"/>
      <c r="N183" s="177"/>
      <c r="O183" s="137" t="str">
        <f t="shared" si="11"/>
        <v>-</v>
      </c>
    </row>
    <row r="184" spans="2:15" ht="30" customHeight="1" x14ac:dyDescent="0.2">
      <c r="B184" s="81"/>
      <c r="C184" s="42"/>
      <c r="D184" s="287"/>
      <c r="E184" s="288"/>
      <c r="F184" s="198"/>
      <c r="G184" s="81"/>
      <c r="H184" s="81"/>
      <c r="I184" s="45"/>
      <c r="J184" s="91"/>
      <c r="K184" s="98"/>
      <c r="L184" s="177"/>
      <c r="M184" s="177"/>
      <c r="N184" s="177"/>
      <c r="O184" s="137" t="str">
        <f t="shared" si="11"/>
        <v>-</v>
      </c>
    </row>
    <row r="185" spans="2:15" ht="30" customHeight="1" x14ac:dyDescent="0.2">
      <c r="B185" s="81"/>
      <c r="C185" s="42"/>
      <c r="D185" s="287"/>
      <c r="E185" s="288"/>
      <c r="F185" s="198"/>
      <c r="G185" s="81"/>
      <c r="H185" s="81"/>
      <c r="I185" s="45"/>
      <c r="J185" s="91"/>
      <c r="K185" s="98"/>
      <c r="L185" s="177"/>
      <c r="M185" s="177"/>
      <c r="N185" s="177"/>
      <c r="O185" s="137" t="str">
        <f t="shared" si="11"/>
        <v>-</v>
      </c>
    </row>
    <row r="186" spans="2:15" ht="30" customHeight="1" x14ac:dyDescent="0.2">
      <c r="B186" s="81"/>
      <c r="C186" s="42"/>
      <c r="D186" s="287"/>
      <c r="E186" s="288"/>
      <c r="F186" s="198"/>
      <c r="G186" s="81"/>
      <c r="H186" s="81"/>
      <c r="I186" s="45"/>
      <c r="J186" s="91"/>
      <c r="K186" s="98"/>
      <c r="L186" s="177"/>
      <c r="M186" s="177"/>
      <c r="N186" s="177"/>
      <c r="O186" s="137" t="str">
        <f t="shared" si="11"/>
        <v>-</v>
      </c>
    </row>
    <row r="187" spans="2:15" ht="30" customHeight="1" x14ac:dyDescent="0.2">
      <c r="B187" s="81"/>
      <c r="C187" s="42"/>
      <c r="D187" s="287"/>
      <c r="E187" s="288"/>
      <c r="F187" s="198"/>
      <c r="G187" s="81"/>
      <c r="H187" s="81"/>
      <c r="I187" s="45"/>
      <c r="J187" s="91"/>
      <c r="K187" s="98"/>
      <c r="L187" s="177"/>
      <c r="M187" s="177"/>
      <c r="N187" s="177"/>
      <c r="O187" s="137" t="str">
        <f t="shared" si="11"/>
        <v>-</v>
      </c>
    </row>
    <row r="188" spans="2:15" x14ac:dyDescent="0.2">
      <c r="B188" s="81"/>
      <c r="C188" s="42"/>
      <c r="D188" s="287"/>
      <c r="E188" s="288"/>
      <c r="F188" s="198"/>
      <c r="G188" s="81"/>
      <c r="H188" s="81"/>
      <c r="I188" s="45"/>
      <c r="J188" s="91"/>
      <c r="K188" s="98"/>
      <c r="L188" s="177"/>
      <c r="M188" s="177"/>
      <c r="N188" s="177"/>
      <c r="O188" s="137" t="str">
        <f t="shared" si="11"/>
        <v>-</v>
      </c>
    </row>
    <row r="189" spans="2:15" x14ac:dyDescent="0.2">
      <c r="B189" s="81"/>
      <c r="C189" s="42"/>
      <c r="D189" s="287"/>
      <c r="E189" s="288"/>
      <c r="F189" s="198"/>
      <c r="G189" s="81"/>
      <c r="H189" s="81"/>
      <c r="I189" s="45"/>
      <c r="J189" s="91"/>
      <c r="K189" s="98"/>
      <c r="L189" s="177"/>
      <c r="M189" s="177"/>
      <c r="N189" s="177"/>
      <c r="O189" s="137" t="str">
        <f t="shared" si="11"/>
        <v>-</v>
      </c>
    </row>
    <row r="190" spans="2:15" x14ac:dyDescent="0.2">
      <c r="B190" s="81"/>
      <c r="C190" s="42"/>
      <c r="D190" s="287"/>
      <c r="E190" s="288"/>
      <c r="F190" s="198"/>
      <c r="G190" s="81"/>
      <c r="H190" s="81"/>
      <c r="I190" s="45"/>
      <c r="J190" s="91"/>
      <c r="K190" s="98"/>
      <c r="L190" s="177"/>
      <c r="M190" s="177"/>
      <c r="N190" s="177"/>
      <c r="O190" s="137" t="str">
        <f t="shared" si="11"/>
        <v>-</v>
      </c>
    </row>
    <row r="191" spans="2:15" x14ac:dyDescent="0.2">
      <c r="B191" s="81"/>
      <c r="C191" s="42"/>
      <c r="D191" s="287"/>
      <c r="E191" s="288"/>
      <c r="F191" s="198"/>
      <c r="G191" s="81"/>
      <c r="H191" s="81"/>
      <c r="I191" s="45"/>
      <c r="J191" s="91"/>
      <c r="K191" s="98"/>
      <c r="L191" s="177"/>
      <c r="M191" s="177"/>
      <c r="N191" s="177"/>
      <c r="O191" s="137" t="str">
        <f t="shared" si="11"/>
        <v>-</v>
      </c>
    </row>
    <row r="192" spans="2:15" x14ac:dyDescent="0.2">
      <c r="B192" s="81"/>
      <c r="C192" s="42"/>
      <c r="D192" s="287"/>
      <c r="E192" s="288"/>
      <c r="F192" s="198"/>
      <c r="G192" s="81"/>
      <c r="H192" s="81"/>
      <c r="I192" s="45"/>
      <c r="J192" s="91"/>
      <c r="K192" s="98"/>
      <c r="L192" s="177"/>
      <c r="M192" s="177"/>
      <c r="N192" s="177"/>
      <c r="O192" s="137" t="str">
        <f t="shared" si="11"/>
        <v>-</v>
      </c>
    </row>
    <row r="193" spans="2:15" x14ac:dyDescent="0.2">
      <c r="B193" s="81"/>
      <c r="C193" s="42"/>
      <c r="D193" s="287"/>
      <c r="E193" s="288"/>
      <c r="F193" s="198"/>
      <c r="G193" s="81"/>
      <c r="H193" s="81"/>
      <c r="I193" s="45"/>
      <c r="J193" s="91"/>
      <c r="K193" s="98"/>
      <c r="L193" s="177"/>
      <c r="M193" s="177"/>
      <c r="N193" s="177"/>
      <c r="O193" s="137" t="str">
        <f t="shared" ref="O193:O256" si="12">IF(G192="","-",IF(J192="","",J192))</f>
        <v>-</v>
      </c>
    </row>
    <row r="194" spans="2:15" x14ac:dyDescent="0.2">
      <c r="B194" s="81"/>
      <c r="C194" s="42"/>
      <c r="D194" s="287"/>
      <c r="E194" s="288"/>
      <c r="F194" s="198"/>
      <c r="G194" s="81"/>
      <c r="H194" s="81"/>
      <c r="I194" s="45"/>
      <c r="J194" s="91"/>
      <c r="K194" s="98"/>
      <c r="L194" s="177"/>
      <c r="M194" s="177"/>
      <c r="N194" s="177"/>
      <c r="O194" s="137" t="str">
        <f t="shared" si="12"/>
        <v>-</v>
      </c>
    </row>
    <row r="195" spans="2:15" x14ac:dyDescent="0.2">
      <c r="B195" s="81"/>
      <c r="C195" s="42"/>
      <c r="D195" s="287"/>
      <c r="E195" s="288"/>
      <c r="F195" s="198"/>
      <c r="G195" s="81"/>
      <c r="H195" s="81"/>
      <c r="I195" s="45"/>
      <c r="J195" s="91"/>
      <c r="K195" s="98"/>
      <c r="L195" s="177"/>
      <c r="M195" s="177"/>
      <c r="N195" s="177"/>
      <c r="O195" s="137" t="str">
        <f t="shared" si="12"/>
        <v>-</v>
      </c>
    </row>
    <row r="196" spans="2:15" x14ac:dyDescent="0.2">
      <c r="B196" s="81"/>
      <c r="C196" s="42"/>
      <c r="D196" s="287"/>
      <c r="E196" s="288"/>
      <c r="F196" s="198"/>
      <c r="G196" s="81"/>
      <c r="H196" s="81"/>
      <c r="I196" s="45"/>
      <c r="J196" s="91"/>
      <c r="K196" s="98"/>
      <c r="L196" s="177"/>
      <c r="M196" s="177"/>
      <c r="N196" s="177"/>
      <c r="O196" s="137" t="str">
        <f t="shared" si="12"/>
        <v>-</v>
      </c>
    </row>
    <row r="197" spans="2:15" x14ac:dyDescent="0.2">
      <c r="B197" s="81"/>
      <c r="C197" s="42"/>
      <c r="D197" s="287"/>
      <c r="E197" s="288"/>
      <c r="F197" s="198"/>
      <c r="G197" s="81"/>
      <c r="H197" s="81"/>
      <c r="I197" s="45"/>
      <c r="J197" s="91"/>
      <c r="K197" s="98"/>
      <c r="L197" s="177"/>
      <c r="M197" s="177"/>
      <c r="N197" s="177"/>
      <c r="O197" s="137" t="str">
        <f t="shared" si="12"/>
        <v>-</v>
      </c>
    </row>
    <row r="198" spans="2:15" x14ac:dyDescent="0.2">
      <c r="B198" s="81"/>
      <c r="C198" s="42"/>
      <c r="D198" s="287"/>
      <c r="E198" s="288"/>
      <c r="F198" s="198"/>
      <c r="G198" s="81"/>
      <c r="H198" s="81"/>
      <c r="I198" s="45"/>
      <c r="J198" s="91"/>
      <c r="K198" s="98"/>
      <c r="L198" s="177"/>
      <c r="M198" s="177"/>
      <c r="N198" s="177"/>
      <c r="O198" s="137" t="str">
        <f t="shared" si="12"/>
        <v>-</v>
      </c>
    </row>
    <row r="199" spans="2:15" x14ac:dyDescent="0.2">
      <c r="B199" s="81"/>
      <c r="C199" s="42"/>
      <c r="D199" s="287"/>
      <c r="E199" s="288"/>
      <c r="F199" s="198"/>
      <c r="G199" s="81"/>
      <c r="H199" s="81"/>
      <c r="I199" s="45"/>
      <c r="J199" s="91"/>
      <c r="K199" s="98"/>
      <c r="L199" s="177"/>
      <c r="M199" s="177"/>
      <c r="N199" s="177"/>
      <c r="O199" s="137" t="str">
        <f t="shared" si="12"/>
        <v>-</v>
      </c>
    </row>
    <row r="200" spans="2:15" x14ac:dyDescent="0.2">
      <c r="B200" s="81"/>
      <c r="C200" s="42"/>
      <c r="D200" s="287"/>
      <c r="E200" s="288"/>
      <c r="F200" s="198"/>
      <c r="G200" s="81"/>
      <c r="H200" s="81"/>
      <c r="I200" s="45"/>
      <c r="J200" s="91"/>
      <c r="K200" s="98"/>
      <c r="L200" s="177"/>
      <c r="M200" s="177"/>
      <c r="N200" s="177"/>
      <c r="O200" s="137" t="str">
        <f t="shared" si="12"/>
        <v>-</v>
      </c>
    </row>
    <row r="201" spans="2:15" x14ac:dyDescent="0.2">
      <c r="B201" s="81"/>
      <c r="C201" s="42"/>
      <c r="D201" s="287"/>
      <c r="E201" s="288"/>
      <c r="F201" s="198"/>
      <c r="G201" s="81"/>
      <c r="H201" s="81"/>
      <c r="I201" s="45"/>
      <c r="J201" s="91"/>
      <c r="K201" s="98"/>
      <c r="L201" s="177"/>
      <c r="M201" s="177"/>
      <c r="N201" s="177"/>
      <c r="O201" s="137" t="str">
        <f t="shared" si="12"/>
        <v>-</v>
      </c>
    </row>
    <row r="202" spans="2:15" x14ac:dyDescent="0.2">
      <c r="B202" s="81"/>
      <c r="C202" s="42"/>
      <c r="D202" s="287"/>
      <c r="E202" s="288"/>
      <c r="F202" s="198"/>
      <c r="G202" s="81"/>
      <c r="H202" s="81"/>
      <c r="I202" s="45"/>
      <c r="J202" s="91"/>
      <c r="K202" s="98"/>
      <c r="L202" s="177"/>
      <c r="M202" s="177"/>
      <c r="N202" s="177"/>
      <c r="O202" s="137" t="str">
        <f t="shared" si="12"/>
        <v>-</v>
      </c>
    </row>
    <row r="203" spans="2:15" x14ac:dyDescent="0.2">
      <c r="B203" s="81"/>
      <c r="C203" s="42"/>
      <c r="D203" s="287"/>
      <c r="E203" s="288"/>
      <c r="F203" s="198"/>
      <c r="G203" s="81"/>
      <c r="H203" s="81"/>
      <c r="I203" s="45"/>
      <c r="J203" s="91"/>
      <c r="K203" s="98"/>
      <c r="L203" s="177"/>
      <c r="M203" s="177"/>
      <c r="N203" s="177"/>
      <c r="O203" s="137" t="str">
        <f t="shared" si="12"/>
        <v>-</v>
      </c>
    </row>
    <row r="204" spans="2:15" x14ac:dyDescent="0.2">
      <c r="B204" s="81"/>
      <c r="C204" s="42"/>
      <c r="D204" s="287"/>
      <c r="E204" s="288"/>
      <c r="F204" s="198"/>
      <c r="G204" s="81"/>
      <c r="H204" s="81"/>
      <c r="I204" s="45"/>
      <c r="J204" s="91"/>
      <c r="K204" s="98"/>
      <c r="L204" s="177"/>
      <c r="M204" s="177"/>
      <c r="N204" s="177"/>
      <c r="O204" s="137" t="str">
        <f t="shared" si="12"/>
        <v>-</v>
      </c>
    </row>
    <row r="205" spans="2:15" x14ac:dyDescent="0.2">
      <c r="B205" s="81"/>
      <c r="C205" s="42"/>
      <c r="D205" s="287"/>
      <c r="E205" s="288"/>
      <c r="F205" s="198"/>
      <c r="G205" s="81"/>
      <c r="H205" s="81"/>
      <c r="I205" s="45"/>
      <c r="J205" s="91"/>
      <c r="K205" s="98"/>
      <c r="L205" s="177"/>
      <c r="M205" s="177"/>
      <c r="N205" s="177"/>
      <c r="O205" s="137" t="str">
        <f t="shared" si="12"/>
        <v>-</v>
      </c>
    </row>
    <row r="206" spans="2:15" x14ac:dyDescent="0.2">
      <c r="B206" s="81"/>
      <c r="C206" s="42"/>
      <c r="D206" s="287"/>
      <c r="E206" s="288"/>
      <c r="F206" s="198"/>
      <c r="G206" s="81"/>
      <c r="H206" s="81"/>
      <c r="I206" s="45"/>
      <c r="J206" s="91"/>
      <c r="K206" s="98"/>
      <c r="L206" s="177"/>
      <c r="M206" s="177"/>
      <c r="N206" s="177"/>
      <c r="O206" s="137" t="str">
        <f t="shared" si="12"/>
        <v>-</v>
      </c>
    </row>
    <row r="207" spans="2:15" x14ac:dyDescent="0.2">
      <c r="B207" s="81"/>
      <c r="C207" s="42"/>
      <c r="D207" s="287"/>
      <c r="E207" s="288"/>
      <c r="F207" s="198"/>
      <c r="G207" s="81"/>
      <c r="H207" s="81"/>
      <c r="I207" s="45"/>
      <c r="J207" s="91"/>
      <c r="K207" s="98"/>
      <c r="L207" s="177"/>
      <c r="M207" s="177"/>
      <c r="N207" s="177"/>
      <c r="O207" s="137" t="str">
        <f t="shared" si="12"/>
        <v>-</v>
      </c>
    </row>
    <row r="208" spans="2:15" x14ac:dyDescent="0.2">
      <c r="B208" s="199"/>
      <c r="C208" s="49"/>
      <c r="D208" s="295"/>
      <c r="E208" s="296"/>
      <c r="F208" s="203"/>
      <c r="G208" s="199"/>
      <c r="H208" s="199"/>
      <c r="I208" s="70"/>
      <c r="J208" s="91"/>
      <c r="K208" s="98"/>
      <c r="L208" s="177"/>
      <c r="M208" s="177"/>
      <c r="N208" s="177"/>
      <c r="O208" s="137" t="str">
        <f t="shared" si="12"/>
        <v>-</v>
      </c>
    </row>
    <row r="209" spans="2:15" x14ac:dyDescent="0.2">
      <c r="B209" s="81"/>
      <c r="C209" s="42"/>
      <c r="D209" s="287"/>
      <c r="E209" s="288"/>
      <c r="F209" s="198"/>
      <c r="G209" s="81"/>
      <c r="H209" s="81"/>
      <c r="I209" s="45"/>
      <c r="J209" s="91"/>
      <c r="K209" s="98"/>
      <c r="L209" s="177"/>
      <c r="M209" s="177"/>
      <c r="N209" s="177"/>
      <c r="O209" s="137" t="str">
        <f t="shared" si="12"/>
        <v>-</v>
      </c>
    </row>
    <row r="210" spans="2:15" x14ac:dyDescent="0.2">
      <c r="B210" s="81"/>
      <c r="C210" s="42"/>
      <c r="D210" s="287"/>
      <c r="E210" s="288"/>
      <c r="F210" s="198"/>
      <c r="G210" s="81"/>
      <c r="H210" s="81"/>
      <c r="I210" s="45"/>
      <c r="J210" s="91"/>
      <c r="K210" s="98"/>
      <c r="L210" s="177"/>
      <c r="M210" s="177"/>
      <c r="N210" s="177"/>
      <c r="O210" s="137" t="str">
        <f t="shared" si="12"/>
        <v>-</v>
      </c>
    </row>
    <row r="211" spans="2:15" x14ac:dyDescent="0.2">
      <c r="B211" s="81"/>
      <c r="C211" s="42"/>
      <c r="D211" s="287"/>
      <c r="E211" s="288"/>
      <c r="F211" s="198"/>
      <c r="G211" s="81"/>
      <c r="H211" s="81"/>
      <c r="I211" s="45"/>
      <c r="J211" s="91"/>
      <c r="K211" s="98"/>
      <c r="L211" s="177"/>
      <c r="M211" s="177"/>
      <c r="N211" s="177"/>
      <c r="O211" s="137" t="str">
        <f t="shared" si="12"/>
        <v>-</v>
      </c>
    </row>
    <row r="212" spans="2:15" x14ac:dyDescent="0.2">
      <c r="B212" s="81"/>
      <c r="C212" s="42"/>
      <c r="D212" s="287"/>
      <c r="E212" s="288"/>
      <c r="F212" s="198"/>
      <c r="G212" s="81"/>
      <c r="H212" s="81"/>
      <c r="I212" s="45"/>
      <c r="J212" s="91"/>
      <c r="K212" s="98"/>
      <c r="L212" s="177"/>
      <c r="M212" s="177"/>
      <c r="N212" s="177"/>
      <c r="O212" s="137" t="str">
        <f t="shared" si="12"/>
        <v>-</v>
      </c>
    </row>
    <row r="213" spans="2:15" x14ac:dyDescent="0.2">
      <c r="B213" s="81"/>
      <c r="C213" s="42"/>
      <c r="D213" s="287"/>
      <c r="E213" s="288"/>
      <c r="F213" s="198"/>
      <c r="G213" s="81"/>
      <c r="H213" s="81"/>
      <c r="I213" s="45"/>
      <c r="J213" s="91"/>
      <c r="K213" s="98"/>
      <c r="L213" s="177"/>
      <c r="M213" s="177"/>
      <c r="N213" s="177"/>
      <c r="O213" s="137" t="str">
        <f t="shared" si="12"/>
        <v>-</v>
      </c>
    </row>
    <row r="214" spans="2:15" x14ac:dyDescent="0.2">
      <c r="B214" s="81"/>
      <c r="C214" s="42"/>
      <c r="D214" s="287"/>
      <c r="E214" s="288"/>
      <c r="F214" s="198"/>
      <c r="G214" s="81"/>
      <c r="H214" s="81"/>
      <c r="I214" s="45"/>
      <c r="J214" s="91"/>
      <c r="K214" s="98"/>
      <c r="L214" s="177"/>
      <c r="M214" s="177"/>
      <c r="N214" s="177"/>
      <c r="O214" s="137" t="str">
        <f t="shared" si="12"/>
        <v>-</v>
      </c>
    </row>
    <row r="215" spans="2:15" x14ac:dyDescent="0.2">
      <c r="B215" s="81"/>
      <c r="C215" s="42"/>
      <c r="D215" s="287"/>
      <c r="E215" s="288"/>
      <c r="F215" s="198"/>
      <c r="G215" s="81"/>
      <c r="H215" s="81"/>
      <c r="I215" s="45"/>
      <c r="J215" s="91"/>
      <c r="K215" s="98"/>
      <c r="L215" s="177"/>
      <c r="M215" s="177"/>
      <c r="N215" s="177"/>
      <c r="O215" s="137" t="str">
        <f t="shared" si="12"/>
        <v>-</v>
      </c>
    </row>
    <row r="216" spans="2:15" x14ac:dyDescent="0.2">
      <c r="B216" s="81"/>
      <c r="C216" s="42"/>
      <c r="D216" s="287"/>
      <c r="E216" s="288"/>
      <c r="F216" s="198"/>
      <c r="G216" s="81"/>
      <c r="H216" s="81"/>
      <c r="I216" s="45"/>
      <c r="J216" s="91"/>
      <c r="K216" s="98"/>
      <c r="L216" s="177"/>
      <c r="M216" s="177"/>
      <c r="N216" s="177"/>
      <c r="O216" s="137" t="str">
        <f t="shared" si="12"/>
        <v>-</v>
      </c>
    </row>
    <row r="217" spans="2:15" x14ac:dyDescent="0.2">
      <c r="B217" s="81"/>
      <c r="C217" s="42"/>
      <c r="D217" s="287"/>
      <c r="E217" s="288"/>
      <c r="F217" s="198"/>
      <c r="G217" s="81"/>
      <c r="H217" s="81"/>
      <c r="I217" s="45"/>
      <c r="J217" s="91"/>
      <c r="K217" s="98"/>
      <c r="L217" s="177"/>
      <c r="M217" s="177"/>
      <c r="N217" s="177"/>
      <c r="O217" s="137" t="str">
        <f t="shared" si="12"/>
        <v>-</v>
      </c>
    </row>
    <row r="218" spans="2:15" x14ac:dyDescent="0.2">
      <c r="B218" s="81"/>
      <c r="C218" s="42"/>
      <c r="D218" s="287"/>
      <c r="E218" s="288"/>
      <c r="F218" s="198"/>
      <c r="G218" s="81"/>
      <c r="H218" s="81"/>
      <c r="I218" s="45"/>
      <c r="J218" s="91"/>
      <c r="K218" s="98"/>
      <c r="L218" s="177"/>
      <c r="M218" s="177"/>
      <c r="N218" s="177"/>
      <c r="O218" s="137" t="str">
        <f t="shared" si="12"/>
        <v>-</v>
      </c>
    </row>
    <row r="219" spans="2:15" x14ac:dyDescent="0.2">
      <c r="B219" s="81"/>
      <c r="C219" s="42"/>
      <c r="D219" s="287"/>
      <c r="E219" s="288"/>
      <c r="F219" s="198"/>
      <c r="G219" s="81"/>
      <c r="H219" s="81"/>
      <c r="I219" s="45"/>
      <c r="J219" s="91"/>
      <c r="K219" s="98"/>
      <c r="L219" s="177"/>
      <c r="M219" s="177"/>
      <c r="N219" s="177"/>
      <c r="O219" s="137" t="str">
        <f t="shared" si="12"/>
        <v>-</v>
      </c>
    </row>
    <row r="220" spans="2:15" x14ac:dyDescent="0.2">
      <c r="B220" s="81"/>
      <c r="C220" s="42"/>
      <c r="D220" s="287"/>
      <c r="E220" s="288"/>
      <c r="F220" s="198"/>
      <c r="G220" s="81"/>
      <c r="H220" s="81"/>
      <c r="I220" s="45"/>
      <c r="J220" s="91"/>
      <c r="K220" s="98"/>
      <c r="L220" s="177"/>
      <c r="M220" s="177"/>
      <c r="N220" s="177"/>
      <c r="O220" s="137" t="str">
        <f t="shared" si="12"/>
        <v>-</v>
      </c>
    </row>
    <row r="221" spans="2:15" x14ac:dyDescent="0.2">
      <c r="B221" s="81"/>
      <c r="C221" s="42"/>
      <c r="D221" s="287"/>
      <c r="E221" s="288"/>
      <c r="F221" s="198"/>
      <c r="G221" s="81"/>
      <c r="H221" s="81"/>
      <c r="I221" s="45"/>
      <c r="J221" s="91"/>
      <c r="K221" s="98"/>
      <c r="L221" s="177"/>
      <c r="M221" s="177"/>
      <c r="N221" s="177"/>
      <c r="O221" s="137" t="str">
        <f t="shared" si="12"/>
        <v>-</v>
      </c>
    </row>
    <row r="222" spans="2:15" x14ac:dyDescent="0.2">
      <c r="B222" s="81"/>
      <c r="C222" s="42"/>
      <c r="D222" s="287"/>
      <c r="E222" s="288"/>
      <c r="F222" s="198"/>
      <c r="G222" s="81"/>
      <c r="H222" s="81"/>
      <c r="I222" s="45"/>
      <c r="J222" s="91"/>
      <c r="K222" s="98"/>
      <c r="L222" s="177"/>
      <c r="M222" s="177"/>
      <c r="N222" s="177"/>
      <c r="O222" s="137" t="str">
        <f t="shared" si="12"/>
        <v>-</v>
      </c>
    </row>
    <row r="223" spans="2:15" x14ac:dyDescent="0.2">
      <c r="B223" s="81"/>
      <c r="C223" s="42"/>
      <c r="D223" s="287"/>
      <c r="E223" s="288"/>
      <c r="F223" s="198"/>
      <c r="G223" s="81"/>
      <c r="H223" s="81"/>
      <c r="I223" s="45"/>
      <c r="J223" s="91"/>
      <c r="K223" s="98"/>
      <c r="L223" s="177"/>
      <c r="M223" s="177"/>
      <c r="N223" s="177"/>
      <c r="O223" s="137" t="str">
        <f t="shared" si="12"/>
        <v>-</v>
      </c>
    </row>
    <row r="224" spans="2:15" x14ac:dyDescent="0.2">
      <c r="B224" s="81"/>
      <c r="C224" s="42"/>
      <c r="D224" s="287"/>
      <c r="E224" s="288"/>
      <c r="F224" s="198"/>
      <c r="G224" s="81"/>
      <c r="H224" s="81"/>
      <c r="I224" s="45"/>
      <c r="J224" s="91"/>
      <c r="K224" s="98"/>
      <c r="L224" s="177"/>
      <c r="M224" s="177"/>
      <c r="N224" s="177"/>
      <c r="O224" s="137" t="str">
        <f t="shared" si="12"/>
        <v>-</v>
      </c>
    </row>
    <row r="225" spans="2:15" x14ac:dyDescent="0.2">
      <c r="B225" s="81"/>
      <c r="C225" s="42"/>
      <c r="D225" s="287"/>
      <c r="E225" s="288"/>
      <c r="F225" s="198"/>
      <c r="G225" s="81"/>
      <c r="H225" s="81"/>
      <c r="I225" s="45"/>
      <c r="J225" s="91"/>
      <c r="K225" s="98"/>
      <c r="L225" s="177"/>
      <c r="M225" s="177"/>
      <c r="N225" s="177"/>
      <c r="O225" s="137" t="str">
        <f t="shared" si="12"/>
        <v>-</v>
      </c>
    </row>
    <row r="226" spans="2:15" x14ac:dyDescent="0.2">
      <c r="B226" s="81"/>
      <c r="C226" s="42"/>
      <c r="D226" s="287"/>
      <c r="E226" s="288"/>
      <c r="F226" s="198"/>
      <c r="G226" s="81"/>
      <c r="H226" s="81"/>
      <c r="I226" s="45"/>
      <c r="J226" s="91"/>
      <c r="K226" s="98"/>
      <c r="L226" s="177"/>
      <c r="M226" s="177"/>
      <c r="N226" s="177"/>
      <c r="O226" s="137" t="str">
        <f t="shared" si="12"/>
        <v>-</v>
      </c>
    </row>
    <row r="227" spans="2:15" x14ac:dyDescent="0.2">
      <c r="B227" s="81"/>
      <c r="C227" s="42"/>
      <c r="D227" s="287"/>
      <c r="E227" s="288"/>
      <c r="F227" s="198"/>
      <c r="G227" s="81"/>
      <c r="H227" s="81"/>
      <c r="I227" s="45"/>
      <c r="J227" s="91"/>
      <c r="K227" s="98"/>
      <c r="L227" s="177"/>
      <c r="M227" s="177"/>
      <c r="N227" s="177"/>
      <c r="O227" s="137" t="str">
        <f t="shared" si="12"/>
        <v>-</v>
      </c>
    </row>
    <row r="228" spans="2:15" x14ac:dyDescent="0.2">
      <c r="B228" s="81"/>
      <c r="C228" s="42"/>
      <c r="D228" s="287"/>
      <c r="E228" s="288"/>
      <c r="F228" s="198"/>
      <c r="G228" s="81"/>
      <c r="H228" s="81"/>
      <c r="I228" s="45"/>
      <c r="J228" s="91"/>
      <c r="K228" s="98"/>
      <c r="L228" s="177"/>
      <c r="M228" s="177"/>
      <c r="N228" s="177"/>
      <c r="O228" s="137" t="str">
        <f t="shared" si="12"/>
        <v>-</v>
      </c>
    </row>
    <row r="229" spans="2:15" x14ac:dyDescent="0.2">
      <c r="B229" s="81"/>
      <c r="C229" s="42"/>
      <c r="D229" s="287"/>
      <c r="E229" s="288"/>
      <c r="F229" s="198"/>
      <c r="G229" s="81"/>
      <c r="H229" s="81"/>
      <c r="I229" s="45"/>
      <c r="J229" s="91"/>
      <c r="K229" s="98"/>
      <c r="L229" s="177"/>
      <c r="M229" s="177"/>
      <c r="N229" s="177"/>
      <c r="O229" s="137" t="str">
        <f t="shared" si="12"/>
        <v>-</v>
      </c>
    </row>
    <row r="230" spans="2:15" x14ac:dyDescent="0.2">
      <c r="B230" s="81"/>
      <c r="C230" s="42"/>
      <c r="D230" s="287"/>
      <c r="E230" s="288"/>
      <c r="F230" s="198"/>
      <c r="G230" s="81"/>
      <c r="H230" s="81"/>
      <c r="I230" s="45"/>
      <c r="J230" s="91"/>
      <c r="K230" s="98"/>
      <c r="L230" s="177"/>
      <c r="M230" s="177"/>
      <c r="N230" s="177"/>
      <c r="O230" s="137" t="str">
        <f t="shared" si="12"/>
        <v>-</v>
      </c>
    </row>
    <row r="231" spans="2:15" x14ac:dyDescent="0.2">
      <c r="B231" s="81"/>
      <c r="C231" s="42"/>
      <c r="D231" s="287"/>
      <c r="E231" s="288"/>
      <c r="F231" s="198"/>
      <c r="G231" s="81"/>
      <c r="H231" s="81"/>
      <c r="I231" s="45"/>
      <c r="J231" s="91"/>
      <c r="K231" s="98"/>
      <c r="L231" s="177"/>
      <c r="M231" s="177"/>
      <c r="N231" s="177"/>
      <c r="O231" s="137" t="str">
        <f t="shared" si="12"/>
        <v>-</v>
      </c>
    </row>
    <row r="232" spans="2:15" x14ac:dyDescent="0.2">
      <c r="B232" s="81"/>
      <c r="C232" s="42"/>
      <c r="D232" s="287"/>
      <c r="E232" s="288"/>
      <c r="F232" s="198"/>
      <c r="G232" s="81"/>
      <c r="H232" s="81"/>
      <c r="I232" s="45"/>
      <c r="J232" s="91"/>
      <c r="K232" s="98"/>
      <c r="L232" s="177"/>
      <c r="M232" s="177"/>
      <c r="N232" s="177"/>
      <c r="O232" s="137" t="str">
        <f t="shared" si="12"/>
        <v>-</v>
      </c>
    </row>
    <row r="233" spans="2:15" x14ac:dyDescent="0.2">
      <c r="B233" s="81"/>
      <c r="C233" s="42"/>
      <c r="D233" s="287"/>
      <c r="E233" s="288"/>
      <c r="F233" s="198"/>
      <c r="G233" s="81"/>
      <c r="H233" s="81"/>
      <c r="I233" s="45"/>
      <c r="J233" s="91"/>
      <c r="K233" s="98"/>
      <c r="L233" s="177"/>
      <c r="M233" s="177"/>
      <c r="N233" s="177"/>
      <c r="O233" s="137" t="str">
        <f t="shared" si="12"/>
        <v>-</v>
      </c>
    </row>
    <row r="234" spans="2:15" x14ac:dyDescent="0.2">
      <c r="B234" s="199"/>
      <c r="C234" s="49"/>
      <c r="D234" s="202"/>
      <c r="E234" s="203"/>
      <c r="F234" s="203"/>
      <c r="G234" s="199"/>
      <c r="H234" s="199"/>
      <c r="I234" s="70"/>
      <c r="J234" s="91"/>
      <c r="K234" s="98"/>
      <c r="L234" s="177"/>
      <c r="M234" s="177"/>
      <c r="N234" s="177"/>
      <c r="O234" s="137" t="str">
        <f t="shared" si="12"/>
        <v>-</v>
      </c>
    </row>
    <row r="235" spans="2:15" x14ac:dyDescent="0.2">
      <c r="B235" s="81"/>
      <c r="C235" s="42"/>
      <c r="D235" s="287"/>
      <c r="E235" s="288"/>
      <c r="F235" s="198"/>
      <c r="G235" s="81"/>
      <c r="H235" s="81"/>
      <c r="I235" s="45"/>
      <c r="J235" s="91"/>
      <c r="K235" s="98"/>
      <c r="L235" s="177"/>
      <c r="M235" s="177"/>
      <c r="N235" s="177"/>
      <c r="O235" s="137" t="str">
        <f t="shared" si="12"/>
        <v>-</v>
      </c>
    </row>
    <row r="236" spans="2:15" x14ac:dyDescent="0.2">
      <c r="B236" s="81"/>
      <c r="C236" s="42"/>
      <c r="D236" s="287"/>
      <c r="E236" s="288"/>
      <c r="F236" s="198"/>
      <c r="G236" s="81"/>
      <c r="H236" s="81"/>
      <c r="I236" s="45"/>
      <c r="J236" s="91"/>
      <c r="K236" s="98"/>
      <c r="L236" s="177"/>
      <c r="M236" s="177"/>
      <c r="N236" s="177"/>
      <c r="O236" s="137" t="str">
        <f t="shared" si="12"/>
        <v>-</v>
      </c>
    </row>
    <row r="237" spans="2:15" x14ac:dyDescent="0.2">
      <c r="B237" s="81"/>
      <c r="C237" s="42"/>
      <c r="D237" s="287"/>
      <c r="E237" s="288"/>
      <c r="F237" s="198"/>
      <c r="G237" s="81"/>
      <c r="H237" s="81"/>
      <c r="I237" s="45"/>
      <c r="J237" s="91"/>
      <c r="K237" s="98"/>
      <c r="L237" s="177"/>
      <c r="M237" s="177"/>
      <c r="N237" s="177"/>
      <c r="O237" s="137" t="str">
        <f t="shared" si="12"/>
        <v>-</v>
      </c>
    </row>
    <row r="238" spans="2:15" x14ac:dyDescent="0.2">
      <c r="B238" s="81"/>
      <c r="C238" s="42"/>
      <c r="D238" s="287"/>
      <c r="E238" s="288"/>
      <c r="F238" s="198"/>
      <c r="G238" s="81"/>
      <c r="H238" s="81"/>
      <c r="I238" s="45"/>
      <c r="J238" s="91"/>
      <c r="K238" s="98"/>
      <c r="L238" s="177"/>
      <c r="M238" s="177"/>
      <c r="N238" s="177"/>
      <c r="O238" s="137" t="str">
        <f t="shared" si="12"/>
        <v>-</v>
      </c>
    </row>
    <row r="239" spans="2:15" x14ac:dyDescent="0.2">
      <c r="B239" s="81"/>
      <c r="C239" s="42"/>
      <c r="D239" s="287"/>
      <c r="E239" s="288"/>
      <c r="F239" s="198"/>
      <c r="G239" s="81"/>
      <c r="H239" s="81"/>
      <c r="I239" s="45"/>
      <c r="J239" s="91"/>
      <c r="K239" s="98"/>
      <c r="L239" s="177"/>
      <c r="M239" s="177"/>
      <c r="N239" s="177"/>
      <c r="O239" s="137" t="str">
        <f t="shared" si="12"/>
        <v>-</v>
      </c>
    </row>
    <row r="240" spans="2:15" x14ac:dyDescent="0.2">
      <c r="B240" s="81"/>
      <c r="C240" s="42"/>
      <c r="D240" s="287"/>
      <c r="E240" s="288"/>
      <c r="F240" s="198"/>
      <c r="G240" s="81"/>
      <c r="H240" s="81"/>
      <c r="I240" s="45"/>
      <c r="J240" s="91"/>
      <c r="K240" s="98"/>
      <c r="L240" s="177"/>
      <c r="M240" s="177"/>
      <c r="N240" s="177"/>
      <c r="O240" s="137" t="str">
        <f t="shared" si="12"/>
        <v>-</v>
      </c>
    </row>
    <row r="241" spans="2:15" x14ac:dyDescent="0.2">
      <c r="B241" s="81"/>
      <c r="C241" s="42"/>
      <c r="D241" s="287"/>
      <c r="E241" s="288"/>
      <c r="F241" s="198"/>
      <c r="G241" s="81"/>
      <c r="H241" s="81"/>
      <c r="I241" s="45"/>
      <c r="J241" s="91"/>
      <c r="K241" s="98"/>
      <c r="L241" s="177"/>
      <c r="M241" s="177"/>
      <c r="N241" s="177"/>
      <c r="O241" s="137" t="str">
        <f t="shared" si="12"/>
        <v>-</v>
      </c>
    </row>
    <row r="242" spans="2:15" x14ac:dyDescent="0.2">
      <c r="B242" s="81"/>
      <c r="C242" s="42"/>
      <c r="D242" s="287"/>
      <c r="E242" s="288"/>
      <c r="F242" s="198"/>
      <c r="G242" s="81"/>
      <c r="H242" s="81"/>
      <c r="I242" s="45"/>
      <c r="J242" s="91"/>
      <c r="K242" s="98"/>
      <c r="L242" s="177"/>
      <c r="M242" s="177"/>
      <c r="N242" s="177"/>
      <c r="O242" s="137" t="str">
        <f t="shared" si="12"/>
        <v>-</v>
      </c>
    </row>
    <row r="243" spans="2:15" x14ac:dyDescent="0.2">
      <c r="B243" s="81"/>
      <c r="C243" s="42"/>
      <c r="D243" s="287"/>
      <c r="E243" s="288"/>
      <c r="F243" s="198"/>
      <c r="G243" s="81"/>
      <c r="H243" s="81"/>
      <c r="I243" s="45"/>
      <c r="J243" s="91"/>
      <c r="K243" s="98"/>
      <c r="L243" s="177"/>
      <c r="M243" s="177"/>
      <c r="N243" s="177"/>
      <c r="O243" s="137" t="str">
        <f t="shared" si="12"/>
        <v>-</v>
      </c>
    </row>
    <row r="244" spans="2:15" x14ac:dyDescent="0.2">
      <c r="B244" s="81"/>
      <c r="C244" s="42"/>
      <c r="D244" s="287"/>
      <c r="E244" s="288"/>
      <c r="F244" s="198"/>
      <c r="G244" s="81"/>
      <c r="H244" s="81"/>
      <c r="I244" s="45"/>
      <c r="J244" s="91"/>
      <c r="K244" s="98"/>
      <c r="L244" s="177"/>
      <c r="M244" s="177"/>
      <c r="N244" s="177"/>
      <c r="O244" s="137" t="str">
        <f t="shared" si="12"/>
        <v>-</v>
      </c>
    </row>
    <row r="245" spans="2:15" x14ac:dyDescent="0.2">
      <c r="B245" s="81"/>
      <c r="C245" s="42"/>
      <c r="D245" s="287"/>
      <c r="E245" s="288"/>
      <c r="F245" s="198"/>
      <c r="G245" s="81"/>
      <c r="H245" s="81"/>
      <c r="I245" s="45"/>
      <c r="J245" s="91"/>
      <c r="K245" s="98"/>
      <c r="L245" s="177"/>
      <c r="M245" s="177"/>
      <c r="N245" s="177"/>
      <c r="O245" s="137" t="str">
        <f t="shared" si="12"/>
        <v>-</v>
      </c>
    </row>
    <row r="246" spans="2:15" ht="15.75" x14ac:dyDescent="0.2">
      <c r="B246" s="102"/>
      <c r="C246" s="42"/>
      <c r="D246" s="287"/>
      <c r="E246" s="288"/>
      <c r="F246" s="198"/>
      <c r="G246" s="81"/>
      <c r="H246" s="81"/>
      <c r="I246" s="45"/>
      <c r="J246" s="91"/>
      <c r="K246" s="98"/>
      <c r="L246" s="177"/>
      <c r="M246" s="177"/>
      <c r="N246" s="177"/>
      <c r="O246" s="137" t="str">
        <f t="shared" si="12"/>
        <v>-</v>
      </c>
    </row>
    <row r="247" spans="2:15" x14ac:dyDescent="0.2">
      <c r="B247" s="81"/>
      <c r="C247" s="42"/>
      <c r="D247" s="287"/>
      <c r="E247" s="288"/>
      <c r="F247" s="198"/>
      <c r="G247" s="81"/>
      <c r="H247" s="81"/>
      <c r="I247" s="45"/>
      <c r="J247" s="91"/>
      <c r="K247" s="98"/>
      <c r="L247" s="177"/>
      <c r="M247" s="177"/>
      <c r="N247" s="177"/>
      <c r="O247" s="137" t="str">
        <f t="shared" si="12"/>
        <v>-</v>
      </c>
    </row>
    <row r="248" spans="2:15" x14ac:dyDescent="0.2">
      <c r="B248" s="81"/>
      <c r="C248" s="42"/>
      <c r="D248" s="287"/>
      <c r="E248" s="288"/>
      <c r="F248" s="198"/>
      <c r="G248" s="81"/>
      <c r="H248" s="81"/>
      <c r="I248" s="45"/>
      <c r="J248" s="91"/>
      <c r="K248" s="98"/>
      <c r="L248" s="177"/>
      <c r="M248" s="177"/>
      <c r="N248" s="177"/>
      <c r="O248" s="137" t="str">
        <f t="shared" si="12"/>
        <v>-</v>
      </c>
    </row>
    <row r="249" spans="2:15" x14ac:dyDescent="0.2">
      <c r="B249" s="81"/>
      <c r="C249" s="42"/>
      <c r="D249" s="287"/>
      <c r="E249" s="288"/>
      <c r="F249" s="198"/>
      <c r="G249" s="81"/>
      <c r="H249" s="81"/>
      <c r="I249" s="45"/>
      <c r="J249" s="91"/>
      <c r="K249" s="98"/>
      <c r="L249" s="177"/>
      <c r="M249" s="177"/>
      <c r="N249" s="177"/>
      <c r="O249" s="137" t="str">
        <f t="shared" si="12"/>
        <v>-</v>
      </c>
    </row>
    <row r="250" spans="2:15" x14ac:dyDescent="0.2">
      <c r="B250" s="81"/>
      <c r="C250" s="42"/>
      <c r="D250" s="287"/>
      <c r="E250" s="288"/>
      <c r="F250" s="198"/>
      <c r="G250" s="81"/>
      <c r="H250" s="81"/>
      <c r="I250" s="45"/>
      <c r="J250" s="91"/>
      <c r="K250" s="98"/>
      <c r="L250" s="177"/>
      <c r="M250" s="177"/>
      <c r="N250" s="177"/>
      <c r="O250" s="137" t="str">
        <f t="shared" si="12"/>
        <v>-</v>
      </c>
    </row>
    <row r="251" spans="2:15" x14ac:dyDescent="0.2">
      <c r="B251" s="81"/>
      <c r="C251" s="42"/>
      <c r="D251" s="287"/>
      <c r="E251" s="288"/>
      <c r="F251" s="198"/>
      <c r="G251" s="81"/>
      <c r="H251" s="81"/>
      <c r="I251" s="45"/>
      <c r="J251" s="91"/>
      <c r="K251" s="98"/>
      <c r="L251" s="177"/>
      <c r="M251" s="177"/>
      <c r="N251" s="177"/>
      <c r="O251" s="137" t="str">
        <f t="shared" si="12"/>
        <v>-</v>
      </c>
    </row>
    <row r="252" spans="2:15" x14ac:dyDescent="0.2">
      <c r="B252" s="81"/>
      <c r="C252" s="42"/>
      <c r="D252" s="287"/>
      <c r="E252" s="288"/>
      <c r="F252" s="198"/>
      <c r="G252" s="81"/>
      <c r="H252" s="81"/>
      <c r="I252" s="45"/>
      <c r="J252" s="91"/>
      <c r="K252" s="98"/>
      <c r="L252" s="177"/>
      <c r="M252" s="177"/>
      <c r="N252" s="177"/>
      <c r="O252" s="137" t="str">
        <f t="shared" si="12"/>
        <v>-</v>
      </c>
    </row>
    <row r="253" spans="2:15" x14ac:dyDescent="0.2">
      <c r="B253" s="81"/>
      <c r="C253" s="42"/>
      <c r="D253" s="287"/>
      <c r="E253" s="288"/>
      <c r="F253" s="198"/>
      <c r="G253" s="81"/>
      <c r="H253" s="81"/>
      <c r="I253" s="45"/>
      <c r="J253" s="91"/>
      <c r="K253" s="98"/>
      <c r="L253" s="177"/>
      <c r="M253" s="177"/>
      <c r="N253" s="177"/>
      <c r="O253" s="137" t="str">
        <f t="shared" si="12"/>
        <v>-</v>
      </c>
    </row>
    <row r="254" spans="2:15" x14ac:dyDescent="0.2">
      <c r="B254" s="81"/>
      <c r="C254" s="42"/>
      <c r="D254" s="287"/>
      <c r="E254" s="288"/>
      <c r="F254" s="198"/>
      <c r="G254" s="81"/>
      <c r="H254" s="81"/>
      <c r="I254" s="45"/>
      <c r="J254" s="91"/>
      <c r="K254" s="98"/>
      <c r="L254" s="177"/>
      <c r="M254" s="177"/>
      <c r="N254" s="177"/>
      <c r="O254" s="137" t="str">
        <f t="shared" si="12"/>
        <v>-</v>
      </c>
    </row>
    <row r="255" spans="2:15" x14ac:dyDescent="0.2">
      <c r="B255" s="81"/>
      <c r="C255" s="42"/>
      <c r="D255" s="287"/>
      <c r="E255" s="288"/>
      <c r="F255" s="198"/>
      <c r="G255" s="81"/>
      <c r="H255" s="81"/>
      <c r="I255" s="45"/>
      <c r="J255" s="91"/>
      <c r="K255" s="98"/>
      <c r="L255" s="177"/>
      <c r="M255" s="177"/>
      <c r="N255" s="177"/>
      <c r="O255" s="137" t="str">
        <f t="shared" si="12"/>
        <v>-</v>
      </c>
    </row>
    <row r="256" spans="2:15" ht="15.75" x14ac:dyDescent="0.2">
      <c r="B256" s="103"/>
      <c r="C256" s="42"/>
      <c r="D256" s="287"/>
      <c r="E256" s="288"/>
      <c r="F256" s="198"/>
      <c r="G256" s="81"/>
      <c r="H256" s="81"/>
      <c r="I256" s="45"/>
      <c r="J256" s="91"/>
      <c r="K256" s="98"/>
      <c r="L256" s="177"/>
      <c r="M256" s="177"/>
      <c r="N256" s="177"/>
      <c r="O256" s="137" t="str">
        <f t="shared" si="12"/>
        <v>-</v>
      </c>
    </row>
    <row r="257" spans="2:15" ht="15.75" x14ac:dyDescent="0.2">
      <c r="B257" s="103"/>
      <c r="C257" s="42"/>
      <c r="D257" s="197"/>
      <c r="E257" s="198"/>
      <c r="F257" s="198"/>
      <c r="G257" s="81"/>
      <c r="H257" s="81"/>
      <c r="I257" s="45"/>
      <c r="J257" s="91"/>
      <c r="K257" s="98"/>
      <c r="L257" s="177"/>
      <c r="M257" s="177"/>
      <c r="N257" s="177"/>
      <c r="O257" s="137" t="str">
        <f t="shared" ref="O257:O320" si="13">IF(G256="","-",IF(J256="","",J256))</f>
        <v>-</v>
      </c>
    </row>
    <row r="258" spans="2:15" ht="15.75" x14ac:dyDescent="0.2">
      <c r="B258" s="103"/>
      <c r="C258" s="42"/>
      <c r="D258" s="197"/>
      <c r="E258" s="198"/>
      <c r="F258" s="198"/>
      <c r="G258" s="81"/>
      <c r="H258" s="81"/>
      <c r="I258" s="45"/>
      <c r="J258" s="91"/>
      <c r="K258" s="98"/>
      <c r="L258" s="177"/>
      <c r="M258" s="177"/>
      <c r="N258" s="177"/>
      <c r="O258" s="137" t="str">
        <f t="shared" si="13"/>
        <v>-</v>
      </c>
    </row>
    <row r="259" spans="2:15" ht="15.75" x14ac:dyDescent="0.2">
      <c r="B259" s="103"/>
      <c r="C259" s="42"/>
      <c r="D259" s="197"/>
      <c r="E259" s="198"/>
      <c r="F259" s="198"/>
      <c r="G259" s="81"/>
      <c r="H259" s="81"/>
      <c r="I259" s="45"/>
      <c r="J259" s="91"/>
      <c r="K259" s="98"/>
      <c r="L259" s="177"/>
      <c r="M259" s="177"/>
      <c r="N259" s="177"/>
      <c r="O259" s="137" t="str">
        <f t="shared" si="13"/>
        <v>-</v>
      </c>
    </row>
    <row r="260" spans="2:15" x14ac:dyDescent="0.2">
      <c r="B260" s="199"/>
      <c r="C260" s="49"/>
      <c r="D260" s="202"/>
      <c r="E260" s="203"/>
      <c r="F260" s="203"/>
      <c r="G260" s="199"/>
      <c r="H260" s="199"/>
      <c r="I260" s="70"/>
      <c r="J260" s="91"/>
      <c r="K260" s="98"/>
      <c r="L260" s="177"/>
      <c r="M260" s="177"/>
      <c r="N260" s="177"/>
      <c r="O260" s="137" t="str">
        <f t="shared" si="13"/>
        <v>-</v>
      </c>
    </row>
    <row r="261" spans="2:15" x14ac:dyDescent="0.2">
      <c r="B261" s="81"/>
      <c r="C261" s="42"/>
      <c r="D261" s="287"/>
      <c r="E261" s="288"/>
      <c r="F261" s="198"/>
      <c r="G261" s="81"/>
      <c r="H261" s="81"/>
      <c r="I261" s="45"/>
      <c r="J261" s="91"/>
      <c r="K261" s="98"/>
      <c r="L261" s="177"/>
      <c r="M261" s="177"/>
      <c r="N261" s="177"/>
      <c r="O261" s="137" t="str">
        <f t="shared" si="13"/>
        <v>-</v>
      </c>
    </row>
    <row r="262" spans="2:15" x14ac:dyDescent="0.2">
      <c r="B262" s="81"/>
      <c r="C262" s="42"/>
      <c r="D262" s="287"/>
      <c r="E262" s="288"/>
      <c r="F262" s="198"/>
      <c r="G262" s="81"/>
      <c r="H262" s="81"/>
      <c r="I262" s="45"/>
      <c r="J262" s="91"/>
      <c r="K262" s="98"/>
      <c r="L262" s="177"/>
      <c r="M262" s="177"/>
      <c r="N262" s="177"/>
      <c r="O262" s="137" t="str">
        <f t="shared" si="13"/>
        <v>-</v>
      </c>
    </row>
    <row r="263" spans="2:15" x14ac:dyDescent="0.2">
      <c r="B263" s="81"/>
      <c r="C263" s="42"/>
      <c r="D263" s="287"/>
      <c r="E263" s="288"/>
      <c r="F263" s="198"/>
      <c r="G263" s="81"/>
      <c r="H263" s="81"/>
      <c r="I263" s="45"/>
      <c r="J263" s="91"/>
      <c r="K263" s="98"/>
      <c r="L263" s="177"/>
      <c r="M263" s="177"/>
      <c r="N263" s="177"/>
      <c r="O263" s="137" t="str">
        <f t="shared" si="13"/>
        <v>-</v>
      </c>
    </row>
    <row r="264" spans="2:15" x14ac:dyDescent="0.2">
      <c r="B264" s="81"/>
      <c r="C264" s="42"/>
      <c r="D264" s="287"/>
      <c r="E264" s="288"/>
      <c r="F264" s="198"/>
      <c r="G264" s="81"/>
      <c r="H264" s="81"/>
      <c r="I264" s="45"/>
      <c r="J264" s="91"/>
      <c r="K264" s="98"/>
      <c r="L264" s="177"/>
      <c r="M264" s="177"/>
      <c r="N264" s="177"/>
      <c r="O264" s="137" t="str">
        <f t="shared" si="13"/>
        <v>-</v>
      </c>
    </row>
    <row r="265" spans="2:15" x14ac:dyDescent="0.2">
      <c r="B265" s="81"/>
      <c r="C265" s="42"/>
      <c r="D265" s="287"/>
      <c r="E265" s="288"/>
      <c r="F265" s="198"/>
      <c r="G265" s="81"/>
      <c r="H265" s="81"/>
      <c r="I265" s="45"/>
      <c r="J265" s="91"/>
      <c r="K265" s="98"/>
      <c r="L265" s="177"/>
      <c r="M265" s="177"/>
      <c r="N265" s="177"/>
      <c r="O265" s="137" t="str">
        <f t="shared" si="13"/>
        <v>-</v>
      </c>
    </row>
    <row r="266" spans="2:15" x14ac:dyDescent="0.2">
      <c r="B266" s="81"/>
      <c r="C266" s="42"/>
      <c r="D266" s="287"/>
      <c r="E266" s="288"/>
      <c r="F266" s="198"/>
      <c r="G266" s="81"/>
      <c r="H266" s="81"/>
      <c r="I266" s="45"/>
      <c r="J266" s="91"/>
      <c r="K266" s="98"/>
      <c r="L266" s="177"/>
      <c r="M266" s="177"/>
      <c r="N266" s="177"/>
      <c r="O266" s="137" t="str">
        <f t="shared" si="13"/>
        <v>-</v>
      </c>
    </row>
    <row r="267" spans="2:15" x14ac:dyDescent="0.2">
      <c r="B267" s="81"/>
      <c r="C267" s="42"/>
      <c r="D267" s="287"/>
      <c r="E267" s="288"/>
      <c r="F267" s="198"/>
      <c r="G267" s="81"/>
      <c r="H267" s="81"/>
      <c r="I267" s="45"/>
      <c r="J267" s="91"/>
      <c r="K267" s="98"/>
      <c r="L267" s="177"/>
      <c r="M267" s="177"/>
      <c r="N267" s="177"/>
      <c r="O267" s="137" t="str">
        <f t="shared" si="13"/>
        <v>-</v>
      </c>
    </row>
    <row r="268" spans="2:15" x14ac:dyDescent="0.2">
      <c r="B268" s="81"/>
      <c r="C268" s="42"/>
      <c r="D268" s="287"/>
      <c r="E268" s="288"/>
      <c r="F268" s="198"/>
      <c r="G268" s="81"/>
      <c r="H268" s="81"/>
      <c r="I268" s="45"/>
      <c r="J268" s="91"/>
      <c r="K268" s="98"/>
      <c r="L268" s="177"/>
      <c r="M268" s="177"/>
      <c r="N268" s="177"/>
      <c r="O268" s="137" t="str">
        <f t="shared" si="13"/>
        <v>-</v>
      </c>
    </row>
    <row r="269" spans="2:15" x14ac:dyDescent="0.2">
      <c r="B269" s="81"/>
      <c r="C269" s="42"/>
      <c r="D269" s="287"/>
      <c r="E269" s="288"/>
      <c r="F269" s="198"/>
      <c r="G269" s="81"/>
      <c r="H269" s="81"/>
      <c r="I269" s="45"/>
      <c r="J269" s="91"/>
      <c r="K269" s="98"/>
      <c r="L269" s="177"/>
      <c r="M269" s="177"/>
      <c r="N269" s="177"/>
      <c r="O269" s="137" t="str">
        <f t="shared" si="13"/>
        <v>-</v>
      </c>
    </row>
    <row r="270" spans="2:15" x14ac:dyDescent="0.2">
      <c r="B270" s="81"/>
      <c r="C270" s="42"/>
      <c r="D270" s="287"/>
      <c r="E270" s="288"/>
      <c r="F270" s="198"/>
      <c r="G270" s="81"/>
      <c r="H270" s="81"/>
      <c r="I270" s="45"/>
      <c r="J270" s="91"/>
      <c r="K270" s="98"/>
      <c r="L270" s="177"/>
      <c r="M270" s="177"/>
      <c r="N270" s="177"/>
      <c r="O270" s="137" t="str">
        <f t="shared" si="13"/>
        <v>-</v>
      </c>
    </row>
    <row r="271" spans="2:15" x14ac:dyDescent="0.2">
      <c r="B271" s="81"/>
      <c r="C271" s="42"/>
      <c r="D271" s="287"/>
      <c r="E271" s="288"/>
      <c r="F271" s="198"/>
      <c r="G271" s="81"/>
      <c r="H271" s="81"/>
      <c r="I271" s="45"/>
      <c r="J271" s="91"/>
      <c r="K271" s="98"/>
      <c r="L271" s="177"/>
      <c r="M271" s="177"/>
      <c r="N271" s="177"/>
      <c r="O271" s="137" t="str">
        <f t="shared" si="13"/>
        <v>-</v>
      </c>
    </row>
    <row r="272" spans="2:15" ht="15.75" x14ac:dyDescent="0.2">
      <c r="B272" s="102"/>
      <c r="C272" s="42"/>
      <c r="D272" s="287"/>
      <c r="E272" s="288"/>
      <c r="F272" s="198"/>
      <c r="G272" s="81"/>
      <c r="H272" s="81"/>
      <c r="I272" s="45"/>
      <c r="J272" s="91"/>
      <c r="K272" s="98"/>
      <c r="L272" s="177"/>
      <c r="M272" s="177"/>
      <c r="N272" s="177"/>
      <c r="O272" s="137" t="str">
        <f t="shared" si="13"/>
        <v>-</v>
      </c>
    </row>
    <row r="273" spans="2:15" x14ac:dyDescent="0.2">
      <c r="B273" s="81"/>
      <c r="C273" s="42"/>
      <c r="D273" s="287"/>
      <c r="E273" s="288"/>
      <c r="F273" s="198"/>
      <c r="G273" s="81"/>
      <c r="H273" s="81"/>
      <c r="I273" s="45"/>
      <c r="J273" s="91"/>
      <c r="K273" s="98"/>
      <c r="L273" s="177"/>
      <c r="M273" s="177"/>
      <c r="N273" s="177"/>
      <c r="O273" s="137" t="str">
        <f t="shared" si="13"/>
        <v>-</v>
      </c>
    </row>
    <row r="274" spans="2:15" x14ac:dyDescent="0.2">
      <c r="B274" s="81"/>
      <c r="C274" s="42"/>
      <c r="D274" s="287"/>
      <c r="E274" s="288"/>
      <c r="F274" s="198"/>
      <c r="G274" s="81"/>
      <c r="H274" s="81"/>
      <c r="I274" s="45"/>
      <c r="J274" s="91"/>
      <c r="K274" s="98"/>
      <c r="L274" s="177"/>
      <c r="M274" s="177"/>
      <c r="N274" s="177"/>
      <c r="O274" s="137" t="str">
        <f t="shared" si="13"/>
        <v>-</v>
      </c>
    </row>
    <row r="275" spans="2:15" x14ac:dyDescent="0.2">
      <c r="B275" s="81"/>
      <c r="C275" s="42"/>
      <c r="D275" s="287"/>
      <c r="E275" s="288"/>
      <c r="F275" s="198"/>
      <c r="G275" s="81"/>
      <c r="H275" s="81"/>
      <c r="I275" s="45"/>
      <c r="J275" s="91"/>
      <c r="K275" s="98"/>
      <c r="L275" s="177"/>
      <c r="M275" s="177"/>
      <c r="N275" s="177"/>
      <c r="O275" s="137" t="str">
        <f t="shared" si="13"/>
        <v>-</v>
      </c>
    </row>
    <row r="276" spans="2:15" x14ac:dyDescent="0.2">
      <c r="B276" s="81"/>
      <c r="C276" s="42"/>
      <c r="D276" s="287"/>
      <c r="E276" s="288"/>
      <c r="F276" s="198"/>
      <c r="G276" s="81"/>
      <c r="H276" s="81"/>
      <c r="I276" s="45"/>
      <c r="J276" s="91"/>
      <c r="K276" s="98"/>
      <c r="L276" s="177"/>
      <c r="M276" s="177"/>
      <c r="N276" s="177"/>
      <c r="O276" s="137" t="str">
        <f t="shared" si="13"/>
        <v>-</v>
      </c>
    </row>
    <row r="277" spans="2:15" x14ac:dyDescent="0.2">
      <c r="B277" s="81"/>
      <c r="C277" s="42"/>
      <c r="D277" s="287"/>
      <c r="E277" s="288"/>
      <c r="F277" s="198"/>
      <c r="G277" s="81"/>
      <c r="H277" s="81"/>
      <c r="I277" s="45"/>
      <c r="J277" s="91"/>
      <c r="K277" s="98"/>
      <c r="L277" s="177"/>
      <c r="M277" s="177"/>
      <c r="N277" s="177"/>
      <c r="O277" s="137" t="str">
        <f t="shared" si="13"/>
        <v>-</v>
      </c>
    </row>
    <row r="278" spans="2:15" x14ac:dyDescent="0.2">
      <c r="B278" s="81"/>
      <c r="C278" s="42"/>
      <c r="D278" s="287"/>
      <c r="E278" s="288"/>
      <c r="F278" s="198"/>
      <c r="G278" s="81"/>
      <c r="H278" s="81"/>
      <c r="I278" s="45"/>
      <c r="J278" s="91"/>
      <c r="K278" s="98"/>
      <c r="L278" s="177"/>
      <c r="M278" s="177"/>
      <c r="N278" s="177"/>
      <c r="O278" s="137" t="str">
        <f t="shared" si="13"/>
        <v>-</v>
      </c>
    </row>
    <row r="279" spans="2:15" x14ac:dyDescent="0.2">
      <c r="B279" s="81"/>
      <c r="C279" s="42"/>
      <c r="D279" s="287"/>
      <c r="E279" s="288"/>
      <c r="F279" s="198"/>
      <c r="G279" s="81"/>
      <c r="H279" s="81"/>
      <c r="I279" s="45"/>
      <c r="J279" s="91"/>
      <c r="K279" s="98"/>
      <c r="L279" s="177"/>
      <c r="M279" s="177"/>
      <c r="N279" s="177"/>
      <c r="O279" s="137" t="str">
        <f t="shared" si="13"/>
        <v>-</v>
      </c>
    </row>
    <row r="280" spans="2:15" x14ac:dyDescent="0.2">
      <c r="B280" s="81"/>
      <c r="C280" s="42"/>
      <c r="D280" s="287"/>
      <c r="E280" s="288"/>
      <c r="F280" s="198"/>
      <c r="G280" s="81"/>
      <c r="H280" s="81"/>
      <c r="I280" s="45"/>
      <c r="J280" s="91"/>
      <c r="K280" s="98"/>
      <c r="L280" s="177"/>
      <c r="M280" s="177"/>
      <c r="N280" s="177"/>
      <c r="O280" s="137" t="str">
        <f t="shared" si="13"/>
        <v>-</v>
      </c>
    </row>
    <row r="281" spans="2:15" x14ac:dyDescent="0.2">
      <c r="B281" s="81"/>
      <c r="C281" s="42"/>
      <c r="D281" s="287"/>
      <c r="E281" s="288"/>
      <c r="F281" s="198"/>
      <c r="G281" s="81"/>
      <c r="H281" s="81"/>
      <c r="I281" s="45"/>
      <c r="J281" s="91"/>
      <c r="K281" s="98"/>
      <c r="L281" s="177"/>
      <c r="M281" s="177"/>
      <c r="N281" s="177"/>
      <c r="O281" s="137" t="str">
        <f t="shared" si="13"/>
        <v>-</v>
      </c>
    </row>
    <row r="282" spans="2:15" ht="15.75" x14ac:dyDescent="0.2">
      <c r="B282" s="103"/>
      <c r="C282" s="42"/>
      <c r="D282" s="287"/>
      <c r="E282" s="288"/>
      <c r="F282" s="198"/>
      <c r="G282" s="81"/>
      <c r="H282" s="81"/>
      <c r="I282" s="45"/>
      <c r="J282" s="91"/>
      <c r="K282" s="98"/>
      <c r="L282" s="177"/>
      <c r="M282" s="177"/>
      <c r="N282" s="177"/>
      <c r="O282" s="137" t="str">
        <f t="shared" si="13"/>
        <v>-</v>
      </c>
    </row>
    <row r="283" spans="2:15" ht="15.75" x14ac:dyDescent="0.2">
      <c r="B283" s="103"/>
      <c r="C283" s="42"/>
      <c r="D283" s="287"/>
      <c r="E283" s="288"/>
      <c r="F283" s="198"/>
      <c r="G283" s="81"/>
      <c r="H283" s="81"/>
      <c r="I283" s="45"/>
      <c r="J283" s="91"/>
      <c r="K283" s="98"/>
      <c r="L283" s="177"/>
      <c r="M283" s="177"/>
      <c r="N283" s="177"/>
      <c r="O283" s="137" t="str">
        <f t="shared" si="13"/>
        <v>-</v>
      </c>
    </row>
    <row r="284" spans="2:15" ht="15.75" x14ac:dyDescent="0.2">
      <c r="B284" s="103"/>
      <c r="C284" s="42"/>
      <c r="D284" s="287"/>
      <c r="E284" s="288"/>
      <c r="F284" s="198"/>
      <c r="G284" s="81"/>
      <c r="H284" s="81"/>
      <c r="I284" s="45"/>
      <c r="J284" s="91"/>
      <c r="K284" s="98"/>
      <c r="L284" s="177"/>
      <c r="M284" s="177"/>
      <c r="N284" s="177"/>
      <c r="O284" s="137" t="str">
        <f t="shared" si="13"/>
        <v>-</v>
      </c>
    </row>
    <row r="285" spans="2:15" ht="15.75" x14ac:dyDescent="0.2">
      <c r="B285" s="103"/>
      <c r="C285" s="42"/>
      <c r="D285" s="287"/>
      <c r="E285" s="288"/>
      <c r="F285" s="198"/>
      <c r="G285" s="81"/>
      <c r="H285" s="81"/>
      <c r="I285" s="45"/>
      <c r="J285" s="91"/>
      <c r="K285" s="98"/>
      <c r="L285" s="177"/>
      <c r="M285" s="177"/>
      <c r="N285" s="177"/>
      <c r="O285" s="137" t="str">
        <f t="shared" si="13"/>
        <v>-</v>
      </c>
    </row>
    <row r="286" spans="2:15" ht="15.75" x14ac:dyDescent="0.2">
      <c r="B286" s="97"/>
      <c r="C286" s="96"/>
      <c r="D286" s="301"/>
      <c r="E286" s="302"/>
      <c r="F286" s="206"/>
      <c r="G286" s="97"/>
      <c r="H286" s="97"/>
      <c r="I286" s="97"/>
      <c r="J286" s="91"/>
      <c r="K286" s="98"/>
      <c r="L286" s="177"/>
      <c r="M286" s="177"/>
      <c r="N286" s="177"/>
      <c r="O286" s="137" t="str">
        <f t="shared" si="13"/>
        <v>-</v>
      </c>
    </row>
    <row r="287" spans="2:15" x14ac:dyDescent="0.2">
      <c r="B287" s="81"/>
      <c r="C287" s="42"/>
      <c r="D287" s="287"/>
      <c r="E287" s="288"/>
      <c r="F287" s="198"/>
      <c r="G287" s="81"/>
      <c r="H287" s="81"/>
      <c r="I287" s="45"/>
      <c r="J287" s="91"/>
      <c r="K287" s="98"/>
      <c r="L287" s="177"/>
      <c r="M287" s="177"/>
      <c r="N287" s="177"/>
      <c r="O287" s="137" t="str">
        <f t="shared" si="13"/>
        <v>-</v>
      </c>
    </row>
    <row r="288" spans="2:15" x14ac:dyDescent="0.2">
      <c r="B288" s="81"/>
      <c r="C288" s="42"/>
      <c r="D288" s="287"/>
      <c r="E288" s="288"/>
      <c r="F288" s="198"/>
      <c r="G288" s="81"/>
      <c r="H288" s="81"/>
      <c r="I288" s="45"/>
      <c r="J288" s="91"/>
      <c r="K288" s="98"/>
      <c r="L288" s="177"/>
      <c r="M288" s="177"/>
      <c r="N288" s="177"/>
      <c r="O288" s="137" t="str">
        <f t="shared" si="13"/>
        <v>-</v>
      </c>
    </row>
    <row r="289" spans="2:15" x14ac:dyDescent="0.2">
      <c r="B289" s="81"/>
      <c r="C289" s="42"/>
      <c r="D289" s="287"/>
      <c r="E289" s="288"/>
      <c r="F289" s="198"/>
      <c r="G289" s="81"/>
      <c r="H289" s="81"/>
      <c r="I289" s="45"/>
      <c r="J289" s="91"/>
      <c r="K289" s="98"/>
      <c r="L289" s="177"/>
      <c r="M289" s="177"/>
      <c r="N289" s="177"/>
      <c r="O289" s="137" t="str">
        <f t="shared" si="13"/>
        <v>-</v>
      </c>
    </row>
    <row r="290" spans="2:15" x14ac:dyDescent="0.2">
      <c r="B290" s="81"/>
      <c r="C290" s="42"/>
      <c r="D290" s="287"/>
      <c r="E290" s="288"/>
      <c r="F290" s="198"/>
      <c r="G290" s="81"/>
      <c r="H290" s="81"/>
      <c r="I290" s="45"/>
      <c r="J290" s="91"/>
      <c r="K290" s="98"/>
      <c r="L290" s="177"/>
      <c r="M290" s="177"/>
      <c r="N290" s="177"/>
      <c r="O290" s="137" t="str">
        <f t="shared" si="13"/>
        <v>-</v>
      </c>
    </row>
    <row r="291" spans="2:15" x14ac:dyDescent="0.2">
      <c r="B291" s="81"/>
      <c r="C291" s="42"/>
      <c r="D291" s="287"/>
      <c r="E291" s="288"/>
      <c r="F291" s="198"/>
      <c r="G291" s="81"/>
      <c r="H291" s="81"/>
      <c r="I291" s="45"/>
      <c r="J291" s="91"/>
      <c r="K291" s="98"/>
      <c r="L291" s="177"/>
      <c r="M291" s="177"/>
      <c r="N291" s="177"/>
      <c r="O291" s="137" t="str">
        <f t="shared" si="13"/>
        <v>-</v>
      </c>
    </row>
    <row r="292" spans="2:15" x14ac:dyDescent="0.2">
      <c r="B292" s="81"/>
      <c r="C292" s="42"/>
      <c r="D292" s="287"/>
      <c r="E292" s="288"/>
      <c r="F292" s="198"/>
      <c r="G292" s="81"/>
      <c r="H292" s="81"/>
      <c r="I292" s="45"/>
      <c r="J292" s="91"/>
      <c r="K292" s="98"/>
      <c r="L292" s="177"/>
      <c r="M292" s="177"/>
      <c r="N292" s="177"/>
      <c r="O292" s="137" t="str">
        <f t="shared" si="13"/>
        <v>-</v>
      </c>
    </row>
    <row r="293" spans="2:15" x14ac:dyDescent="0.2">
      <c r="B293" s="81"/>
      <c r="C293" s="42"/>
      <c r="D293" s="287"/>
      <c r="E293" s="288"/>
      <c r="F293" s="198"/>
      <c r="G293" s="81"/>
      <c r="H293" s="81"/>
      <c r="I293" s="45"/>
      <c r="J293" s="91"/>
      <c r="K293" s="98"/>
      <c r="L293" s="177"/>
      <c r="M293" s="177"/>
      <c r="N293" s="177"/>
      <c r="O293" s="137" t="str">
        <f t="shared" si="13"/>
        <v>-</v>
      </c>
    </row>
    <row r="294" spans="2:15" x14ac:dyDescent="0.2">
      <c r="B294" s="81"/>
      <c r="C294" s="42"/>
      <c r="D294" s="287"/>
      <c r="E294" s="288"/>
      <c r="F294" s="198"/>
      <c r="G294" s="81"/>
      <c r="H294" s="81"/>
      <c r="I294" s="45"/>
      <c r="J294" s="91"/>
      <c r="K294" s="98"/>
      <c r="L294" s="177"/>
      <c r="M294" s="177"/>
      <c r="N294" s="177"/>
      <c r="O294" s="137" t="str">
        <f t="shared" si="13"/>
        <v>-</v>
      </c>
    </row>
    <row r="295" spans="2:15" x14ac:dyDescent="0.2">
      <c r="B295" s="81"/>
      <c r="C295" s="42"/>
      <c r="D295" s="287"/>
      <c r="E295" s="288"/>
      <c r="F295" s="198"/>
      <c r="G295" s="81"/>
      <c r="H295" s="81"/>
      <c r="I295" s="45"/>
      <c r="J295" s="91"/>
      <c r="K295" s="98"/>
      <c r="L295" s="177"/>
      <c r="M295" s="177"/>
      <c r="N295" s="177"/>
      <c r="O295" s="137" t="str">
        <f t="shared" si="13"/>
        <v>-</v>
      </c>
    </row>
    <row r="296" spans="2:15" x14ac:dyDescent="0.2">
      <c r="B296" s="81"/>
      <c r="C296" s="42"/>
      <c r="D296" s="287"/>
      <c r="E296" s="288"/>
      <c r="F296" s="198"/>
      <c r="G296" s="81"/>
      <c r="H296" s="81"/>
      <c r="I296" s="45"/>
      <c r="J296" s="91"/>
      <c r="K296" s="98"/>
      <c r="L296" s="177"/>
      <c r="M296" s="177"/>
      <c r="N296" s="177"/>
      <c r="O296" s="137" t="str">
        <f t="shared" si="13"/>
        <v>-</v>
      </c>
    </row>
    <row r="297" spans="2:15" x14ac:dyDescent="0.2">
      <c r="B297" s="81"/>
      <c r="C297" s="42"/>
      <c r="D297" s="287"/>
      <c r="E297" s="288"/>
      <c r="F297" s="198"/>
      <c r="G297" s="81"/>
      <c r="H297" s="81"/>
      <c r="I297" s="45"/>
      <c r="J297" s="91"/>
      <c r="K297" s="98"/>
      <c r="L297" s="177"/>
      <c r="M297" s="177"/>
      <c r="N297" s="177"/>
      <c r="O297" s="137" t="str">
        <f t="shared" si="13"/>
        <v>-</v>
      </c>
    </row>
    <row r="298" spans="2:15" x14ac:dyDescent="0.2">
      <c r="B298" s="81"/>
      <c r="C298" s="42"/>
      <c r="D298" s="287"/>
      <c r="E298" s="288"/>
      <c r="F298" s="198"/>
      <c r="G298" s="81"/>
      <c r="H298" s="81"/>
      <c r="I298" s="45"/>
      <c r="J298" s="91"/>
      <c r="K298" s="98"/>
      <c r="L298" s="177"/>
      <c r="M298" s="177"/>
      <c r="N298" s="177"/>
      <c r="O298" s="137" t="str">
        <f t="shared" si="13"/>
        <v>-</v>
      </c>
    </row>
    <row r="299" spans="2:15" x14ac:dyDescent="0.2">
      <c r="B299" s="81"/>
      <c r="C299" s="42"/>
      <c r="D299" s="287"/>
      <c r="E299" s="288"/>
      <c r="F299" s="198"/>
      <c r="G299" s="81"/>
      <c r="H299" s="81"/>
      <c r="I299" s="45"/>
      <c r="J299" s="91"/>
      <c r="K299" s="98"/>
      <c r="L299" s="177"/>
      <c r="M299" s="177"/>
      <c r="N299" s="177"/>
      <c r="O299" s="137" t="str">
        <f t="shared" si="13"/>
        <v>-</v>
      </c>
    </row>
    <row r="300" spans="2:15" x14ac:dyDescent="0.2">
      <c r="B300" s="81"/>
      <c r="C300" s="42"/>
      <c r="D300" s="287"/>
      <c r="E300" s="288"/>
      <c r="F300" s="198"/>
      <c r="G300" s="81"/>
      <c r="H300" s="81"/>
      <c r="I300" s="45"/>
      <c r="J300" s="91"/>
      <c r="K300" s="98"/>
      <c r="L300" s="177"/>
      <c r="M300" s="177"/>
      <c r="N300" s="177"/>
      <c r="O300" s="137" t="str">
        <f t="shared" si="13"/>
        <v>-</v>
      </c>
    </row>
    <row r="301" spans="2:15" x14ac:dyDescent="0.2">
      <c r="B301" s="81"/>
      <c r="C301" s="42"/>
      <c r="D301" s="287"/>
      <c r="E301" s="288"/>
      <c r="F301" s="198"/>
      <c r="G301" s="81"/>
      <c r="H301" s="81"/>
      <c r="I301" s="45"/>
      <c r="J301" s="91"/>
      <c r="K301" s="98"/>
      <c r="L301" s="177"/>
      <c r="M301" s="177"/>
      <c r="N301" s="177"/>
      <c r="O301" s="137" t="str">
        <f t="shared" si="13"/>
        <v>-</v>
      </c>
    </row>
    <row r="302" spans="2:15" x14ac:dyDescent="0.2">
      <c r="B302" s="81"/>
      <c r="C302" s="42"/>
      <c r="D302" s="287"/>
      <c r="E302" s="288"/>
      <c r="F302" s="198"/>
      <c r="G302" s="81"/>
      <c r="H302" s="81"/>
      <c r="I302" s="45"/>
      <c r="J302" s="91"/>
      <c r="K302" s="98"/>
      <c r="L302" s="177"/>
      <c r="M302" s="177"/>
      <c r="N302" s="177"/>
      <c r="O302" s="137" t="str">
        <f t="shared" si="13"/>
        <v>-</v>
      </c>
    </row>
    <row r="303" spans="2:15" x14ac:dyDescent="0.2">
      <c r="B303" s="81"/>
      <c r="C303" s="42"/>
      <c r="D303" s="287"/>
      <c r="E303" s="288"/>
      <c r="F303" s="198"/>
      <c r="G303" s="81"/>
      <c r="H303" s="81"/>
      <c r="I303" s="45"/>
      <c r="J303" s="91"/>
      <c r="K303" s="98"/>
      <c r="L303" s="177"/>
      <c r="M303" s="177"/>
      <c r="N303" s="177"/>
      <c r="O303" s="137" t="str">
        <f t="shared" si="13"/>
        <v>-</v>
      </c>
    </row>
    <row r="304" spans="2:15" x14ac:dyDescent="0.2">
      <c r="B304" s="81"/>
      <c r="C304" s="42"/>
      <c r="D304" s="287"/>
      <c r="E304" s="288"/>
      <c r="F304" s="198"/>
      <c r="G304" s="81"/>
      <c r="H304" s="81"/>
      <c r="I304" s="45"/>
      <c r="J304" s="91"/>
      <c r="K304" s="98"/>
      <c r="L304" s="177"/>
      <c r="M304" s="177"/>
      <c r="N304" s="177"/>
      <c r="O304" s="137" t="str">
        <f t="shared" si="13"/>
        <v>-</v>
      </c>
    </row>
    <row r="305" spans="2:15" x14ac:dyDescent="0.2">
      <c r="B305" s="81"/>
      <c r="C305" s="42"/>
      <c r="D305" s="287"/>
      <c r="E305" s="288"/>
      <c r="F305" s="198"/>
      <c r="G305" s="81"/>
      <c r="H305" s="81"/>
      <c r="I305" s="45"/>
      <c r="J305" s="91"/>
      <c r="K305" s="98"/>
      <c r="L305" s="177"/>
      <c r="M305" s="177"/>
      <c r="N305" s="177"/>
      <c r="O305" s="137" t="str">
        <f t="shared" si="13"/>
        <v>-</v>
      </c>
    </row>
    <row r="306" spans="2:15" x14ac:dyDescent="0.2">
      <c r="B306" s="81"/>
      <c r="C306" s="42"/>
      <c r="D306" s="287"/>
      <c r="E306" s="288"/>
      <c r="F306" s="198"/>
      <c r="G306" s="81"/>
      <c r="H306" s="81"/>
      <c r="I306" s="45"/>
      <c r="J306" s="91"/>
      <c r="K306" s="98"/>
      <c r="L306" s="177"/>
      <c r="M306" s="177"/>
      <c r="N306" s="177"/>
      <c r="O306" s="137" t="str">
        <f t="shared" si="13"/>
        <v>-</v>
      </c>
    </row>
    <row r="307" spans="2:15" x14ac:dyDescent="0.2">
      <c r="B307" s="81"/>
      <c r="C307" s="42"/>
      <c r="D307" s="287"/>
      <c r="E307" s="288"/>
      <c r="F307" s="198"/>
      <c r="G307" s="81"/>
      <c r="H307" s="81"/>
      <c r="I307" s="45"/>
      <c r="J307" s="91"/>
      <c r="K307" s="98"/>
      <c r="L307" s="177"/>
      <c r="M307" s="177"/>
      <c r="N307" s="177"/>
      <c r="O307" s="137" t="str">
        <f t="shared" si="13"/>
        <v>-</v>
      </c>
    </row>
    <row r="308" spans="2:15" x14ac:dyDescent="0.2">
      <c r="B308" s="81"/>
      <c r="C308" s="42"/>
      <c r="D308" s="287"/>
      <c r="E308" s="288"/>
      <c r="F308" s="198"/>
      <c r="G308" s="81"/>
      <c r="H308" s="81"/>
      <c r="I308" s="45"/>
      <c r="J308" s="91"/>
      <c r="K308" s="98"/>
      <c r="L308" s="177"/>
      <c r="M308" s="177"/>
      <c r="N308" s="177"/>
      <c r="O308" s="137" t="str">
        <f t="shared" si="13"/>
        <v>-</v>
      </c>
    </row>
    <row r="309" spans="2:15" x14ac:dyDescent="0.2">
      <c r="B309" s="81"/>
      <c r="C309" s="42"/>
      <c r="D309" s="287"/>
      <c r="E309" s="288"/>
      <c r="F309" s="198"/>
      <c r="G309" s="81"/>
      <c r="H309" s="81"/>
      <c r="I309" s="45"/>
      <c r="J309" s="91"/>
      <c r="K309" s="98"/>
      <c r="L309" s="177"/>
      <c r="M309" s="177"/>
      <c r="N309" s="177"/>
      <c r="O309" s="137" t="str">
        <f t="shared" si="13"/>
        <v>-</v>
      </c>
    </row>
    <row r="310" spans="2:15" x14ac:dyDescent="0.2">
      <c r="B310" s="81"/>
      <c r="C310" s="42"/>
      <c r="D310" s="287"/>
      <c r="E310" s="288"/>
      <c r="F310" s="198"/>
      <c r="G310" s="81"/>
      <c r="H310" s="81"/>
      <c r="I310" s="45"/>
      <c r="J310" s="91"/>
      <c r="K310" s="98"/>
      <c r="L310" s="177"/>
      <c r="M310" s="177"/>
      <c r="N310" s="177"/>
      <c r="O310" s="137" t="str">
        <f t="shared" si="13"/>
        <v>-</v>
      </c>
    </row>
    <row r="311" spans="2:15" x14ac:dyDescent="0.2">
      <c r="B311" s="81"/>
      <c r="C311" s="42"/>
      <c r="D311" s="287"/>
      <c r="E311" s="288"/>
      <c r="F311" s="198"/>
      <c r="G311" s="81"/>
      <c r="H311" s="81"/>
      <c r="I311" s="45"/>
      <c r="J311" s="91"/>
      <c r="K311" s="98"/>
      <c r="L311" s="177"/>
      <c r="M311" s="177"/>
      <c r="N311" s="177"/>
      <c r="O311" s="137" t="str">
        <f t="shared" si="13"/>
        <v>-</v>
      </c>
    </row>
    <row r="312" spans="2:15" x14ac:dyDescent="0.2">
      <c r="B312" s="81"/>
      <c r="C312" s="42"/>
      <c r="D312" s="287"/>
      <c r="E312" s="288"/>
      <c r="F312" s="198"/>
      <c r="G312" s="81"/>
      <c r="H312" s="81"/>
      <c r="I312" s="45"/>
      <c r="J312" s="91"/>
      <c r="K312" s="98"/>
      <c r="L312" s="177"/>
      <c r="M312" s="177"/>
      <c r="N312" s="177"/>
      <c r="O312" s="137" t="str">
        <f t="shared" si="13"/>
        <v>-</v>
      </c>
    </row>
    <row r="313" spans="2:15" x14ac:dyDescent="0.2">
      <c r="B313" s="81"/>
      <c r="C313" s="42"/>
      <c r="D313" s="287"/>
      <c r="E313" s="288"/>
      <c r="F313" s="198"/>
      <c r="G313" s="81"/>
      <c r="H313" s="81"/>
      <c r="I313" s="45"/>
      <c r="J313" s="91"/>
      <c r="K313" s="98"/>
      <c r="L313" s="177"/>
      <c r="M313" s="177"/>
      <c r="N313" s="177"/>
      <c r="O313" s="137" t="str">
        <f t="shared" si="13"/>
        <v>-</v>
      </c>
    </row>
    <row r="314" spans="2:15" x14ac:dyDescent="0.2">
      <c r="B314" s="81"/>
      <c r="C314" s="42"/>
      <c r="D314" s="287"/>
      <c r="E314" s="288"/>
      <c r="F314" s="198"/>
      <c r="G314" s="81"/>
      <c r="H314" s="81"/>
      <c r="I314" s="45"/>
      <c r="J314" s="91"/>
      <c r="K314" s="98"/>
      <c r="L314" s="177"/>
      <c r="M314" s="177"/>
      <c r="N314" s="177"/>
      <c r="O314" s="137" t="str">
        <f t="shared" si="13"/>
        <v>-</v>
      </c>
    </row>
    <row r="315" spans="2:15" x14ac:dyDescent="0.2">
      <c r="B315" s="81"/>
      <c r="C315" s="42"/>
      <c r="D315" s="287"/>
      <c r="E315" s="288"/>
      <c r="F315" s="198"/>
      <c r="G315" s="81"/>
      <c r="H315" s="81"/>
      <c r="I315" s="45"/>
      <c r="J315" s="91"/>
      <c r="K315" s="98"/>
      <c r="L315" s="177"/>
      <c r="M315" s="177"/>
      <c r="N315" s="177"/>
      <c r="O315" s="137" t="str">
        <f t="shared" si="13"/>
        <v>-</v>
      </c>
    </row>
    <row r="316" spans="2:15" x14ac:dyDescent="0.2">
      <c r="B316" s="81"/>
      <c r="C316" s="42"/>
      <c r="D316" s="287"/>
      <c r="E316" s="288"/>
      <c r="F316" s="198"/>
      <c r="G316" s="81"/>
      <c r="H316" s="81"/>
      <c r="I316" s="45"/>
      <c r="J316" s="91"/>
      <c r="K316" s="98"/>
      <c r="L316" s="177"/>
      <c r="M316" s="177"/>
      <c r="N316" s="177"/>
      <c r="O316" s="137" t="str">
        <f t="shared" si="13"/>
        <v>-</v>
      </c>
    </row>
    <row r="317" spans="2:15" x14ac:dyDescent="0.2">
      <c r="B317" s="81"/>
      <c r="C317" s="42"/>
      <c r="D317" s="197"/>
      <c r="E317" s="198"/>
      <c r="F317" s="198"/>
      <c r="G317" s="81"/>
      <c r="H317" s="81"/>
      <c r="I317" s="45"/>
      <c r="J317" s="91"/>
      <c r="K317" s="98"/>
      <c r="L317" s="177"/>
      <c r="M317" s="177"/>
      <c r="N317" s="177"/>
      <c r="O317" s="137" t="str">
        <f t="shared" si="13"/>
        <v>-</v>
      </c>
    </row>
    <row r="318" spans="2:15" ht="15.75" x14ac:dyDescent="0.2">
      <c r="B318" s="97"/>
      <c r="C318" s="96"/>
      <c r="D318" s="301"/>
      <c r="E318" s="302"/>
      <c r="F318" s="206"/>
      <c r="G318" s="97"/>
      <c r="H318" s="97"/>
      <c r="I318" s="97"/>
      <c r="J318" s="91"/>
      <c r="K318" s="98"/>
      <c r="L318" s="177"/>
      <c r="M318" s="177"/>
      <c r="N318" s="177"/>
      <c r="O318" s="137" t="str">
        <f t="shared" si="13"/>
        <v>-</v>
      </c>
    </row>
    <row r="319" spans="2:15" x14ac:dyDescent="0.2">
      <c r="B319" s="81"/>
      <c r="C319" s="42"/>
      <c r="D319" s="287"/>
      <c r="E319" s="288"/>
      <c r="F319" s="198"/>
      <c r="G319" s="81"/>
      <c r="H319" s="81"/>
      <c r="I319" s="45"/>
      <c r="J319" s="91"/>
      <c r="K319" s="98"/>
      <c r="L319" s="177"/>
      <c r="M319" s="177"/>
      <c r="N319" s="177"/>
      <c r="O319" s="137" t="str">
        <f t="shared" si="13"/>
        <v>-</v>
      </c>
    </row>
    <row r="320" spans="2:15" x14ac:dyDescent="0.2">
      <c r="B320" s="81"/>
      <c r="C320" s="42"/>
      <c r="D320" s="287"/>
      <c r="E320" s="288"/>
      <c r="F320" s="198"/>
      <c r="G320" s="81"/>
      <c r="H320" s="81"/>
      <c r="I320" s="45"/>
      <c r="J320" s="91"/>
      <c r="K320" s="98"/>
      <c r="L320" s="177"/>
      <c r="M320" s="177"/>
      <c r="N320" s="177"/>
      <c r="O320" s="137" t="str">
        <f t="shared" si="13"/>
        <v>-</v>
      </c>
    </row>
    <row r="321" spans="2:15" x14ac:dyDescent="0.2">
      <c r="B321" s="81"/>
      <c r="C321" s="42"/>
      <c r="D321" s="287"/>
      <c r="E321" s="288"/>
      <c r="F321" s="198"/>
      <c r="G321" s="81"/>
      <c r="H321" s="81"/>
      <c r="I321" s="45"/>
      <c r="J321" s="91"/>
      <c r="K321" s="98"/>
      <c r="L321" s="177"/>
      <c r="M321" s="177"/>
      <c r="N321" s="177"/>
      <c r="O321" s="137" t="str">
        <f t="shared" ref="O321:O384" si="14">IF(G320="","-",IF(J320="","",J320))</f>
        <v>-</v>
      </c>
    </row>
    <row r="322" spans="2:15" x14ac:dyDescent="0.2">
      <c r="B322" s="81"/>
      <c r="C322" s="42"/>
      <c r="D322" s="287"/>
      <c r="E322" s="288"/>
      <c r="F322" s="198"/>
      <c r="G322" s="81"/>
      <c r="H322" s="81"/>
      <c r="I322" s="45"/>
      <c r="J322" s="91"/>
      <c r="K322" s="98"/>
      <c r="L322" s="177"/>
      <c r="M322" s="177"/>
      <c r="N322" s="177"/>
      <c r="O322" s="137" t="str">
        <f t="shared" si="14"/>
        <v>-</v>
      </c>
    </row>
    <row r="323" spans="2:15" x14ac:dyDescent="0.2">
      <c r="B323" s="81"/>
      <c r="C323" s="42"/>
      <c r="D323" s="287"/>
      <c r="E323" s="288"/>
      <c r="F323" s="198"/>
      <c r="G323" s="81"/>
      <c r="H323" s="81"/>
      <c r="I323" s="45"/>
      <c r="J323" s="91"/>
      <c r="K323" s="98"/>
      <c r="L323" s="177"/>
      <c r="M323" s="177"/>
      <c r="N323" s="177"/>
      <c r="O323" s="137" t="str">
        <f t="shared" si="14"/>
        <v>-</v>
      </c>
    </row>
    <row r="324" spans="2:15" x14ac:dyDescent="0.2">
      <c r="B324" s="81"/>
      <c r="C324" s="42"/>
      <c r="D324" s="287"/>
      <c r="E324" s="288"/>
      <c r="F324" s="198"/>
      <c r="G324" s="81"/>
      <c r="H324" s="81"/>
      <c r="I324" s="45"/>
      <c r="J324" s="91"/>
      <c r="K324" s="98"/>
      <c r="L324" s="177"/>
      <c r="M324" s="177"/>
      <c r="N324" s="177"/>
      <c r="O324" s="137" t="str">
        <f t="shared" si="14"/>
        <v>-</v>
      </c>
    </row>
    <row r="325" spans="2:15" x14ac:dyDescent="0.2">
      <c r="B325" s="81"/>
      <c r="C325" s="42"/>
      <c r="D325" s="287"/>
      <c r="E325" s="288"/>
      <c r="F325" s="198"/>
      <c r="G325" s="81"/>
      <c r="H325" s="81"/>
      <c r="I325" s="45"/>
      <c r="J325" s="91"/>
      <c r="K325" s="98"/>
      <c r="L325" s="177"/>
      <c r="M325" s="177"/>
      <c r="N325" s="177"/>
      <c r="O325" s="137" t="str">
        <f t="shared" si="14"/>
        <v>-</v>
      </c>
    </row>
    <row r="326" spans="2:15" x14ac:dyDescent="0.2">
      <c r="B326" s="81"/>
      <c r="C326" s="42"/>
      <c r="D326" s="287"/>
      <c r="E326" s="288"/>
      <c r="F326" s="198"/>
      <c r="G326" s="81"/>
      <c r="H326" s="81"/>
      <c r="I326" s="45"/>
      <c r="J326" s="91"/>
      <c r="K326" s="98"/>
      <c r="L326" s="177"/>
      <c r="M326" s="177"/>
      <c r="N326" s="177"/>
      <c r="O326" s="137" t="str">
        <f t="shared" si="14"/>
        <v>-</v>
      </c>
    </row>
    <row r="327" spans="2:15" x14ac:dyDescent="0.2">
      <c r="B327" s="81"/>
      <c r="C327" s="42"/>
      <c r="D327" s="287"/>
      <c r="E327" s="288"/>
      <c r="F327" s="198"/>
      <c r="G327" s="81"/>
      <c r="H327" s="81"/>
      <c r="I327" s="45"/>
      <c r="J327" s="91"/>
      <c r="K327" s="98"/>
      <c r="L327" s="177"/>
      <c r="M327" s="177"/>
      <c r="N327" s="177"/>
      <c r="O327" s="137" t="str">
        <f t="shared" si="14"/>
        <v>-</v>
      </c>
    </row>
    <row r="328" spans="2:15" x14ac:dyDescent="0.2">
      <c r="B328" s="81"/>
      <c r="C328" s="42"/>
      <c r="D328" s="287"/>
      <c r="E328" s="288"/>
      <c r="F328" s="198"/>
      <c r="G328" s="81"/>
      <c r="H328" s="81"/>
      <c r="I328" s="45"/>
      <c r="J328" s="91"/>
      <c r="K328" s="98"/>
      <c r="L328" s="177"/>
      <c r="M328" s="177"/>
      <c r="N328" s="177"/>
      <c r="O328" s="137" t="str">
        <f t="shared" si="14"/>
        <v>-</v>
      </c>
    </row>
    <row r="329" spans="2:15" x14ac:dyDescent="0.2">
      <c r="B329" s="81"/>
      <c r="C329" s="42"/>
      <c r="D329" s="287"/>
      <c r="E329" s="288"/>
      <c r="F329" s="198"/>
      <c r="G329" s="81"/>
      <c r="H329" s="81"/>
      <c r="I329" s="45"/>
      <c r="J329" s="91"/>
      <c r="K329" s="98"/>
      <c r="L329" s="177"/>
      <c r="M329" s="177"/>
      <c r="N329" s="177"/>
      <c r="O329" s="137" t="str">
        <f t="shared" si="14"/>
        <v>-</v>
      </c>
    </row>
    <row r="330" spans="2:15" x14ac:dyDescent="0.2">
      <c r="B330" s="81"/>
      <c r="C330" s="42"/>
      <c r="D330" s="287"/>
      <c r="E330" s="288"/>
      <c r="F330" s="198"/>
      <c r="G330" s="81"/>
      <c r="H330" s="81"/>
      <c r="I330" s="45"/>
      <c r="J330" s="91"/>
      <c r="K330" s="98"/>
      <c r="L330" s="177"/>
      <c r="M330" s="177"/>
      <c r="N330" s="177"/>
      <c r="O330" s="137" t="str">
        <f t="shared" si="14"/>
        <v>-</v>
      </c>
    </row>
    <row r="331" spans="2:15" x14ac:dyDescent="0.2">
      <c r="B331" s="81"/>
      <c r="C331" s="42"/>
      <c r="D331" s="287"/>
      <c r="E331" s="288"/>
      <c r="F331" s="198"/>
      <c r="G331" s="81"/>
      <c r="H331" s="81"/>
      <c r="I331" s="45"/>
      <c r="J331" s="91"/>
      <c r="K331" s="98"/>
      <c r="L331" s="177"/>
      <c r="M331" s="177"/>
      <c r="N331" s="177"/>
      <c r="O331" s="137" t="str">
        <f t="shared" si="14"/>
        <v>-</v>
      </c>
    </row>
    <row r="332" spans="2:15" x14ac:dyDescent="0.2">
      <c r="B332" s="81"/>
      <c r="C332" s="42"/>
      <c r="D332" s="287"/>
      <c r="E332" s="288"/>
      <c r="F332" s="198"/>
      <c r="G332" s="81"/>
      <c r="H332" s="81"/>
      <c r="I332" s="45"/>
      <c r="J332" s="91"/>
      <c r="K332" s="98"/>
      <c r="L332" s="177"/>
      <c r="M332" s="177"/>
      <c r="N332" s="177"/>
      <c r="O332" s="137" t="str">
        <f t="shared" si="14"/>
        <v>-</v>
      </c>
    </row>
    <row r="333" spans="2:15" x14ac:dyDescent="0.2">
      <c r="B333" s="81"/>
      <c r="C333" s="42"/>
      <c r="D333" s="287"/>
      <c r="E333" s="288"/>
      <c r="F333" s="198"/>
      <c r="G333" s="81"/>
      <c r="H333" s="81"/>
      <c r="I333" s="45"/>
      <c r="J333" s="91"/>
      <c r="K333" s="98"/>
      <c r="L333" s="177"/>
      <c r="M333" s="177"/>
      <c r="N333" s="177"/>
      <c r="O333" s="137" t="str">
        <f t="shared" si="14"/>
        <v>-</v>
      </c>
    </row>
    <row r="334" spans="2:15" x14ac:dyDescent="0.2">
      <c r="B334" s="81"/>
      <c r="C334" s="42"/>
      <c r="D334" s="287"/>
      <c r="E334" s="288"/>
      <c r="F334" s="198"/>
      <c r="G334" s="81"/>
      <c r="H334" s="81"/>
      <c r="I334" s="45"/>
      <c r="J334" s="91"/>
      <c r="K334" s="98"/>
      <c r="L334" s="177"/>
      <c r="M334" s="177"/>
      <c r="N334" s="177"/>
      <c r="O334" s="137" t="str">
        <f t="shared" si="14"/>
        <v>-</v>
      </c>
    </row>
    <row r="335" spans="2:15" ht="15.75" x14ac:dyDescent="0.2">
      <c r="B335" s="97"/>
      <c r="C335" s="96"/>
      <c r="D335" s="301"/>
      <c r="E335" s="302"/>
      <c r="F335" s="206"/>
      <c r="G335" s="97"/>
      <c r="H335" s="97"/>
      <c r="I335" s="97"/>
      <c r="J335" s="91"/>
      <c r="K335" s="98"/>
      <c r="L335" s="177"/>
      <c r="M335" s="177"/>
      <c r="N335" s="177"/>
      <c r="O335" s="137" t="str">
        <f t="shared" si="14"/>
        <v>-</v>
      </c>
    </row>
    <row r="336" spans="2:15" x14ac:dyDescent="0.2">
      <c r="B336" s="81"/>
      <c r="C336" s="42"/>
      <c r="D336" s="287"/>
      <c r="E336" s="288"/>
      <c r="F336" s="198"/>
      <c r="G336" s="80"/>
      <c r="H336" s="80"/>
      <c r="I336" s="185"/>
      <c r="J336" s="91"/>
      <c r="K336" s="98"/>
      <c r="L336" s="177"/>
      <c r="M336" s="177"/>
      <c r="N336" s="177"/>
      <c r="O336" s="137" t="str">
        <f t="shared" si="14"/>
        <v>-</v>
      </c>
    </row>
    <row r="337" spans="2:15" x14ac:dyDescent="0.2">
      <c r="B337" s="81"/>
      <c r="C337" s="42"/>
      <c r="D337" s="287"/>
      <c r="E337" s="288"/>
      <c r="F337" s="198"/>
      <c r="G337" s="80"/>
      <c r="H337" s="80"/>
      <c r="I337" s="185"/>
      <c r="J337" s="91"/>
      <c r="K337" s="98"/>
      <c r="L337" s="177"/>
      <c r="M337" s="177"/>
      <c r="N337" s="177"/>
      <c r="O337" s="137" t="str">
        <f t="shared" si="14"/>
        <v>-</v>
      </c>
    </row>
    <row r="338" spans="2:15" x14ac:dyDescent="0.2">
      <c r="B338" s="81"/>
      <c r="C338" s="42"/>
      <c r="D338" s="287"/>
      <c r="E338" s="288"/>
      <c r="F338" s="198"/>
      <c r="G338" s="80"/>
      <c r="H338" s="80"/>
      <c r="I338" s="185"/>
      <c r="J338" s="91"/>
      <c r="K338" s="98"/>
      <c r="L338" s="177"/>
      <c r="M338" s="177"/>
      <c r="N338" s="177"/>
      <c r="O338" s="137" t="str">
        <f t="shared" si="14"/>
        <v>-</v>
      </c>
    </row>
    <row r="339" spans="2:15" x14ac:dyDescent="0.2">
      <c r="B339" s="81"/>
      <c r="C339" s="42"/>
      <c r="D339" s="287"/>
      <c r="E339" s="288"/>
      <c r="F339" s="198"/>
      <c r="G339" s="80"/>
      <c r="H339" s="80"/>
      <c r="I339" s="185"/>
      <c r="J339" s="91"/>
      <c r="K339" s="98"/>
      <c r="L339" s="177"/>
      <c r="M339" s="177"/>
      <c r="N339" s="177"/>
      <c r="O339" s="137" t="str">
        <f t="shared" si="14"/>
        <v>-</v>
      </c>
    </row>
    <row r="340" spans="2:15" x14ac:dyDescent="0.2">
      <c r="B340" s="81"/>
      <c r="C340" s="42"/>
      <c r="D340" s="287"/>
      <c r="E340" s="288"/>
      <c r="F340" s="198"/>
      <c r="G340" s="80"/>
      <c r="H340" s="80"/>
      <c r="I340" s="185"/>
      <c r="J340" s="91"/>
      <c r="K340" s="98"/>
      <c r="L340" s="177"/>
      <c r="M340" s="177"/>
      <c r="N340" s="177"/>
      <c r="O340" s="137" t="str">
        <f t="shared" si="14"/>
        <v>-</v>
      </c>
    </row>
    <row r="341" spans="2:15" x14ac:dyDescent="0.2">
      <c r="B341" s="81"/>
      <c r="C341" s="42"/>
      <c r="D341" s="287"/>
      <c r="E341" s="288"/>
      <c r="F341" s="198"/>
      <c r="G341" s="80"/>
      <c r="H341" s="80"/>
      <c r="I341" s="185"/>
      <c r="J341" s="91"/>
      <c r="K341" s="98"/>
      <c r="L341" s="177"/>
      <c r="M341" s="177"/>
      <c r="N341" s="177"/>
      <c r="O341" s="137" t="str">
        <f t="shared" si="14"/>
        <v>-</v>
      </c>
    </row>
    <row r="342" spans="2:15" x14ac:dyDescent="0.2">
      <c r="B342" s="81"/>
      <c r="C342" s="42"/>
      <c r="D342" s="287"/>
      <c r="E342" s="288"/>
      <c r="F342" s="198"/>
      <c r="G342" s="80"/>
      <c r="H342" s="80"/>
      <c r="I342" s="185"/>
      <c r="J342" s="91"/>
      <c r="K342" s="98"/>
      <c r="L342" s="177"/>
      <c r="M342" s="177"/>
      <c r="N342" s="177"/>
      <c r="O342" s="137" t="str">
        <f t="shared" si="14"/>
        <v>-</v>
      </c>
    </row>
    <row r="343" spans="2:15" x14ac:dyDescent="0.2">
      <c r="B343" s="81"/>
      <c r="C343" s="42"/>
      <c r="D343" s="287"/>
      <c r="E343" s="288"/>
      <c r="F343" s="198"/>
      <c r="G343" s="81"/>
      <c r="H343" s="81"/>
      <c r="I343" s="45"/>
      <c r="J343" s="91"/>
      <c r="K343" s="98"/>
      <c r="L343" s="177"/>
      <c r="M343" s="177"/>
      <c r="N343" s="177"/>
      <c r="O343" s="137" t="str">
        <f t="shared" si="14"/>
        <v>-</v>
      </c>
    </row>
    <row r="344" spans="2:15" x14ac:dyDescent="0.2">
      <c r="B344" s="81"/>
      <c r="C344" s="42"/>
      <c r="D344" s="287"/>
      <c r="E344" s="288"/>
      <c r="F344" s="198"/>
      <c r="G344" s="80"/>
      <c r="H344" s="80"/>
      <c r="I344" s="185"/>
      <c r="J344" s="91"/>
      <c r="K344" s="98"/>
      <c r="L344" s="177"/>
      <c r="M344" s="177"/>
      <c r="N344" s="177"/>
      <c r="O344" s="137" t="str">
        <f t="shared" si="14"/>
        <v>-</v>
      </c>
    </row>
    <row r="345" spans="2:15" x14ac:dyDescent="0.2">
      <c r="B345" s="81"/>
      <c r="C345" s="42"/>
      <c r="D345" s="287"/>
      <c r="E345" s="288"/>
      <c r="F345" s="198"/>
      <c r="G345" s="80"/>
      <c r="H345" s="80"/>
      <c r="I345" s="185"/>
      <c r="J345" s="91"/>
      <c r="K345" s="98"/>
      <c r="L345" s="177"/>
      <c r="M345" s="177"/>
      <c r="N345" s="177"/>
      <c r="O345" s="137" t="str">
        <f t="shared" si="14"/>
        <v>-</v>
      </c>
    </row>
    <row r="346" spans="2:15" ht="15.75" x14ac:dyDescent="0.2">
      <c r="B346" s="100"/>
      <c r="C346" s="96"/>
      <c r="D346" s="292"/>
      <c r="E346" s="293"/>
      <c r="F346" s="293"/>
      <c r="G346" s="79"/>
      <c r="H346" s="79"/>
      <c r="I346" s="79"/>
      <c r="J346" s="91"/>
      <c r="K346" s="98"/>
      <c r="L346" s="177"/>
      <c r="M346" s="177"/>
      <c r="N346" s="177"/>
      <c r="O346" s="137" t="str">
        <f t="shared" si="14"/>
        <v>-</v>
      </c>
    </row>
    <row r="347" spans="2:15" ht="15.75" x14ac:dyDescent="0.2">
      <c r="B347" s="102"/>
      <c r="C347" s="64"/>
      <c r="D347" s="290"/>
      <c r="E347" s="294"/>
      <c r="F347" s="201"/>
      <c r="G347" s="81"/>
      <c r="H347" s="81"/>
      <c r="I347" s="45"/>
      <c r="J347" s="91"/>
      <c r="K347" s="98"/>
      <c r="L347" s="177"/>
      <c r="M347" s="177"/>
      <c r="N347" s="177"/>
      <c r="O347" s="137" t="str">
        <f t="shared" si="14"/>
        <v>-</v>
      </c>
    </row>
    <row r="348" spans="2:15" ht="15.75" x14ac:dyDescent="0.2">
      <c r="B348" s="102"/>
      <c r="C348" s="64"/>
      <c r="D348" s="290"/>
      <c r="E348" s="294"/>
      <c r="F348" s="201"/>
      <c r="G348" s="81"/>
      <c r="H348" s="81"/>
      <c r="I348" s="45"/>
      <c r="J348" s="91"/>
      <c r="K348" s="98"/>
      <c r="L348" s="177"/>
      <c r="M348" s="177"/>
      <c r="N348" s="177"/>
      <c r="O348" s="137" t="str">
        <f t="shared" si="14"/>
        <v>-</v>
      </c>
    </row>
    <row r="349" spans="2:15" x14ac:dyDescent="0.2">
      <c r="B349" s="81"/>
      <c r="C349" s="42"/>
      <c r="D349" s="290"/>
      <c r="E349" s="294"/>
      <c r="F349" s="201"/>
      <c r="G349" s="81"/>
      <c r="H349" s="81"/>
      <c r="I349" s="45"/>
      <c r="J349" s="91"/>
      <c r="K349" s="98"/>
      <c r="L349" s="177"/>
      <c r="M349" s="177"/>
      <c r="N349" s="177"/>
      <c r="O349" s="137" t="str">
        <f t="shared" si="14"/>
        <v>-</v>
      </c>
    </row>
    <row r="350" spans="2:15" x14ac:dyDescent="0.2">
      <c r="B350" s="104"/>
      <c r="C350" s="42"/>
      <c r="D350" s="290"/>
      <c r="E350" s="294"/>
      <c r="F350" s="201"/>
      <c r="G350" s="81"/>
      <c r="H350" s="81"/>
      <c r="I350" s="45"/>
      <c r="J350" s="91"/>
      <c r="K350" s="98"/>
      <c r="L350" s="177"/>
      <c r="M350" s="177"/>
      <c r="N350" s="177"/>
      <c r="O350" s="137" t="str">
        <f t="shared" si="14"/>
        <v>-</v>
      </c>
    </row>
    <row r="351" spans="2:15" x14ac:dyDescent="0.2">
      <c r="B351" s="104"/>
      <c r="C351" s="42"/>
      <c r="D351" s="290"/>
      <c r="E351" s="294"/>
      <c r="F351" s="201"/>
      <c r="G351" s="81"/>
      <c r="H351" s="81"/>
      <c r="I351" s="45"/>
      <c r="J351" s="91"/>
      <c r="K351" s="98"/>
      <c r="L351" s="177"/>
      <c r="M351" s="177"/>
      <c r="N351" s="177"/>
      <c r="O351" s="137" t="str">
        <f t="shared" si="14"/>
        <v>-</v>
      </c>
    </row>
    <row r="352" spans="2:15" x14ac:dyDescent="0.2">
      <c r="B352" s="104"/>
      <c r="C352" s="42"/>
      <c r="D352" s="290"/>
      <c r="E352" s="294"/>
      <c r="F352" s="201"/>
      <c r="G352" s="81"/>
      <c r="H352" s="81"/>
      <c r="I352" s="45"/>
      <c r="J352" s="91"/>
      <c r="K352" s="98"/>
      <c r="L352" s="177"/>
      <c r="M352" s="177"/>
      <c r="N352" s="177"/>
      <c r="O352" s="137" t="str">
        <f t="shared" si="14"/>
        <v>-</v>
      </c>
    </row>
    <row r="353" spans="2:15" x14ac:dyDescent="0.2">
      <c r="B353" s="104"/>
      <c r="C353" s="42"/>
      <c r="D353" s="290"/>
      <c r="E353" s="294"/>
      <c r="F353" s="201"/>
      <c r="G353" s="81"/>
      <c r="H353" s="81"/>
      <c r="I353" s="45"/>
      <c r="J353" s="91"/>
      <c r="K353" s="98"/>
      <c r="L353" s="177"/>
      <c r="M353" s="177"/>
      <c r="N353" s="177"/>
      <c r="O353" s="137" t="str">
        <f t="shared" si="14"/>
        <v>-</v>
      </c>
    </row>
    <row r="354" spans="2:15" ht="15.75" x14ac:dyDescent="0.2">
      <c r="B354" s="102"/>
      <c r="C354" s="42"/>
      <c r="D354" s="287"/>
      <c r="E354" s="288"/>
      <c r="F354" s="198"/>
      <c r="G354" s="81"/>
      <c r="H354" s="81"/>
      <c r="I354" s="45"/>
      <c r="J354" s="91"/>
      <c r="K354" s="98"/>
      <c r="L354" s="177"/>
      <c r="M354" s="177"/>
      <c r="N354" s="177"/>
      <c r="O354" s="137" t="str">
        <f t="shared" si="14"/>
        <v>-</v>
      </c>
    </row>
    <row r="355" spans="2:15" ht="15.75" x14ac:dyDescent="0.2">
      <c r="B355" s="102"/>
      <c r="C355" s="42"/>
      <c r="D355" s="287"/>
      <c r="E355" s="288"/>
      <c r="F355" s="198"/>
      <c r="G355" s="81"/>
      <c r="H355" s="81"/>
      <c r="I355" s="45"/>
      <c r="J355" s="91"/>
      <c r="K355" s="98"/>
      <c r="L355" s="177"/>
      <c r="M355" s="177"/>
      <c r="N355" s="177"/>
      <c r="O355" s="137" t="str">
        <f t="shared" si="14"/>
        <v>-</v>
      </c>
    </row>
    <row r="356" spans="2:15" ht="15.75" x14ac:dyDescent="0.2">
      <c r="B356" s="102"/>
      <c r="C356" s="42"/>
      <c r="D356" s="287"/>
      <c r="E356" s="288"/>
      <c r="F356" s="198"/>
      <c r="G356" s="81"/>
      <c r="H356" s="81"/>
      <c r="I356" s="45"/>
      <c r="J356" s="91"/>
      <c r="K356" s="98"/>
      <c r="L356" s="177"/>
      <c r="M356" s="177"/>
      <c r="N356" s="177"/>
      <c r="O356" s="137" t="str">
        <f t="shared" si="14"/>
        <v>-</v>
      </c>
    </row>
    <row r="357" spans="2:15" ht="15.75" x14ac:dyDescent="0.2">
      <c r="B357" s="102"/>
      <c r="C357" s="42"/>
      <c r="D357" s="287"/>
      <c r="E357" s="288"/>
      <c r="F357" s="198"/>
      <c r="G357" s="81"/>
      <c r="H357" s="81"/>
      <c r="I357" s="45"/>
      <c r="J357" s="91"/>
      <c r="K357" s="98"/>
      <c r="L357" s="177"/>
      <c r="M357" s="177"/>
      <c r="N357" s="177"/>
      <c r="O357" s="137" t="str">
        <f t="shared" si="14"/>
        <v>-</v>
      </c>
    </row>
    <row r="358" spans="2:15" ht="15.75" x14ac:dyDescent="0.2">
      <c r="B358" s="102"/>
      <c r="C358" s="42"/>
      <c r="D358" s="287"/>
      <c r="E358" s="288"/>
      <c r="F358" s="198"/>
      <c r="G358" s="81"/>
      <c r="H358" s="81"/>
      <c r="I358" s="45"/>
      <c r="J358" s="91"/>
      <c r="K358" s="98"/>
      <c r="L358" s="177"/>
      <c r="M358" s="177"/>
      <c r="N358" s="177"/>
      <c r="O358" s="137" t="str">
        <f t="shared" si="14"/>
        <v>-</v>
      </c>
    </row>
    <row r="359" spans="2:15" ht="15.75" x14ac:dyDescent="0.2">
      <c r="B359" s="102"/>
      <c r="C359" s="42"/>
      <c r="D359" s="287"/>
      <c r="E359" s="288"/>
      <c r="F359" s="198"/>
      <c r="G359" s="81"/>
      <c r="H359" s="81"/>
      <c r="I359" s="45"/>
      <c r="J359" s="91"/>
      <c r="K359" s="98"/>
      <c r="L359" s="177"/>
      <c r="M359" s="177"/>
      <c r="N359" s="177"/>
      <c r="O359" s="137" t="str">
        <f t="shared" si="14"/>
        <v>-</v>
      </c>
    </row>
    <row r="360" spans="2:15" x14ac:dyDescent="0.2">
      <c r="B360" s="45"/>
      <c r="C360" s="43"/>
      <c r="D360" s="260"/>
      <c r="E360" s="261"/>
      <c r="F360" s="186"/>
      <c r="G360" s="80"/>
      <c r="H360" s="80"/>
      <c r="I360" s="185"/>
      <c r="J360" s="91"/>
      <c r="K360" s="98"/>
      <c r="L360" s="177"/>
      <c r="M360" s="177"/>
      <c r="N360" s="177"/>
      <c r="O360" s="137" t="str">
        <f t="shared" si="14"/>
        <v>-</v>
      </c>
    </row>
    <row r="361" spans="2:15" x14ac:dyDescent="0.2">
      <c r="B361" s="45"/>
      <c r="C361" s="42"/>
      <c r="D361" s="260"/>
      <c r="E361" s="261"/>
      <c r="F361" s="186"/>
      <c r="G361" s="80"/>
      <c r="H361" s="80"/>
      <c r="I361" s="185"/>
      <c r="J361" s="91"/>
      <c r="K361" s="98"/>
      <c r="L361" s="177"/>
      <c r="M361" s="177"/>
      <c r="N361" s="177"/>
      <c r="O361" s="137" t="str">
        <f t="shared" si="14"/>
        <v>-</v>
      </c>
    </row>
    <row r="362" spans="2:15" x14ac:dyDescent="0.2">
      <c r="B362" s="45"/>
      <c r="C362" s="43"/>
      <c r="D362" s="260"/>
      <c r="E362" s="261"/>
      <c r="F362" s="186"/>
      <c r="G362" s="80"/>
      <c r="H362" s="80"/>
      <c r="I362" s="185"/>
      <c r="J362" s="91"/>
      <c r="K362" s="98"/>
      <c r="L362" s="177"/>
      <c r="M362" s="177"/>
      <c r="N362" s="177"/>
      <c r="O362" s="137" t="str">
        <f t="shared" si="14"/>
        <v>-</v>
      </c>
    </row>
    <row r="363" spans="2:15" x14ac:dyDescent="0.2">
      <c r="B363" s="45"/>
      <c r="C363" s="43"/>
      <c r="D363" s="260"/>
      <c r="E363" s="261"/>
      <c r="F363" s="186"/>
      <c r="G363" s="80"/>
      <c r="H363" s="80"/>
      <c r="I363" s="185"/>
      <c r="J363" s="91"/>
      <c r="K363" s="98"/>
      <c r="L363" s="177"/>
      <c r="M363" s="177"/>
      <c r="N363" s="177"/>
      <c r="O363" s="137" t="str">
        <f t="shared" si="14"/>
        <v>-</v>
      </c>
    </row>
    <row r="364" spans="2:15" x14ac:dyDescent="0.2">
      <c r="B364" s="45"/>
      <c r="C364" s="42"/>
      <c r="D364" s="260"/>
      <c r="E364" s="261"/>
      <c r="F364" s="186"/>
      <c r="G364" s="80"/>
      <c r="H364" s="80"/>
      <c r="I364" s="185"/>
      <c r="J364" s="91"/>
      <c r="K364" s="98"/>
      <c r="L364" s="177"/>
      <c r="M364" s="177"/>
      <c r="N364" s="177"/>
      <c r="O364" s="137" t="str">
        <f t="shared" si="14"/>
        <v>-</v>
      </c>
    </row>
    <row r="365" spans="2:15" x14ac:dyDescent="0.2">
      <c r="B365" s="45"/>
      <c r="C365" s="43"/>
      <c r="D365" s="260"/>
      <c r="E365" s="261"/>
      <c r="F365" s="186"/>
      <c r="G365" s="80"/>
      <c r="H365" s="80"/>
      <c r="I365" s="185"/>
      <c r="J365" s="91"/>
      <c r="K365" s="98"/>
      <c r="L365" s="177"/>
      <c r="M365" s="177"/>
      <c r="N365" s="177"/>
      <c r="O365" s="137" t="str">
        <f t="shared" si="14"/>
        <v>-</v>
      </c>
    </row>
    <row r="366" spans="2:15" x14ac:dyDescent="0.2">
      <c r="B366" s="45"/>
      <c r="C366" s="43"/>
      <c r="D366" s="260"/>
      <c r="E366" s="261"/>
      <c r="F366" s="186"/>
      <c r="G366" s="80"/>
      <c r="H366" s="80"/>
      <c r="I366" s="185"/>
      <c r="J366" s="91"/>
      <c r="K366" s="98"/>
      <c r="L366" s="177"/>
      <c r="M366" s="177"/>
      <c r="N366" s="177"/>
      <c r="O366" s="137" t="str">
        <f t="shared" si="14"/>
        <v>-</v>
      </c>
    </row>
    <row r="367" spans="2:15" x14ac:dyDescent="0.2">
      <c r="B367" s="45"/>
      <c r="C367" s="42"/>
      <c r="D367" s="260"/>
      <c r="E367" s="261"/>
      <c r="F367" s="186"/>
      <c r="G367" s="80"/>
      <c r="H367" s="80"/>
      <c r="I367" s="185"/>
      <c r="J367" s="91"/>
      <c r="K367" s="98"/>
      <c r="L367" s="177"/>
      <c r="M367" s="177"/>
      <c r="N367" s="177"/>
      <c r="O367" s="137" t="str">
        <f t="shared" si="14"/>
        <v>-</v>
      </c>
    </row>
    <row r="368" spans="2:15" x14ac:dyDescent="0.2">
      <c r="B368" s="45"/>
      <c r="C368" s="43"/>
      <c r="D368" s="260"/>
      <c r="E368" s="261"/>
      <c r="F368" s="186"/>
      <c r="G368" s="80"/>
      <c r="H368" s="80"/>
      <c r="I368" s="185"/>
      <c r="J368" s="91"/>
      <c r="K368" s="98"/>
      <c r="L368" s="177"/>
      <c r="M368" s="177"/>
      <c r="N368" s="177"/>
      <c r="O368" s="137" t="str">
        <f t="shared" si="14"/>
        <v>-</v>
      </c>
    </row>
    <row r="369" spans="2:15" x14ac:dyDescent="0.2">
      <c r="B369" s="45"/>
      <c r="C369" s="43"/>
      <c r="D369" s="260"/>
      <c r="E369" s="261"/>
      <c r="F369" s="186"/>
      <c r="G369" s="80"/>
      <c r="H369" s="80"/>
      <c r="I369" s="185"/>
      <c r="J369" s="91"/>
      <c r="K369" s="98"/>
      <c r="L369" s="177"/>
      <c r="M369" s="177"/>
      <c r="N369" s="177"/>
      <c r="O369" s="137" t="str">
        <f t="shared" si="14"/>
        <v>-</v>
      </c>
    </row>
    <row r="370" spans="2:15" x14ac:dyDescent="0.2">
      <c r="B370" s="45"/>
      <c r="C370" s="42"/>
      <c r="D370" s="260"/>
      <c r="E370" s="261"/>
      <c r="F370" s="186"/>
      <c r="G370" s="80"/>
      <c r="H370" s="80"/>
      <c r="I370" s="185"/>
      <c r="J370" s="91"/>
      <c r="K370" s="98"/>
      <c r="L370" s="177"/>
      <c r="M370" s="177"/>
      <c r="N370" s="177"/>
      <c r="O370" s="137" t="str">
        <f t="shared" si="14"/>
        <v>-</v>
      </c>
    </row>
    <row r="371" spans="2:15" x14ac:dyDescent="0.2">
      <c r="B371" s="45"/>
      <c r="C371" s="43"/>
      <c r="D371" s="260"/>
      <c r="E371" s="261"/>
      <c r="F371" s="186"/>
      <c r="G371" s="80"/>
      <c r="H371" s="80"/>
      <c r="I371" s="185"/>
      <c r="J371" s="91"/>
      <c r="K371" s="98"/>
      <c r="L371" s="177"/>
      <c r="M371" s="177"/>
      <c r="N371" s="177"/>
      <c r="O371" s="137" t="str">
        <f t="shared" si="14"/>
        <v>-</v>
      </c>
    </row>
    <row r="372" spans="2:15" x14ac:dyDescent="0.2">
      <c r="B372" s="45"/>
      <c r="C372" s="43"/>
      <c r="D372" s="260"/>
      <c r="E372" s="261"/>
      <c r="F372" s="186"/>
      <c r="G372" s="80"/>
      <c r="H372" s="80"/>
      <c r="I372" s="185"/>
      <c r="J372" s="91"/>
      <c r="K372" s="98"/>
      <c r="L372" s="177"/>
      <c r="M372" s="177"/>
      <c r="N372" s="177"/>
      <c r="O372" s="137" t="str">
        <f t="shared" si="14"/>
        <v>-</v>
      </c>
    </row>
    <row r="373" spans="2:15" x14ac:dyDescent="0.2">
      <c r="B373" s="45"/>
      <c r="C373" s="42"/>
      <c r="D373" s="260"/>
      <c r="E373" s="261"/>
      <c r="F373" s="186"/>
      <c r="G373" s="80"/>
      <c r="H373" s="80"/>
      <c r="I373" s="185"/>
      <c r="J373" s="91"/>
      <c r="K373" s="98"/>
      <c r="L373" s="177"/>
      <c r="M373" s="177"/>
      <c r="N373" s="177"/>
      <c r="O373" s="137" t="str">
        <f t="shared" si="14"/>
        <v>-</v>
      </c>
    </row>
    <row r="374" spans="2:15" x14ac:dyDescent="0.2">
      <c r="B374" s="45"/>
      <c r="C374" s="43"/>
      <c r="D374" s="260"/>
      <c r="E374" s="261"/>
      <c r="F374" s="186"/>
      <c r="G374" s="80"/>
      <c r="H374" s="80"/>
      <c r="I374" s="185"/>
      <c r="J374" s="91"/>
      <c r="K374" s="98"/>
      <c r="L374" s="177"/>
      <c r="M374" s="177"/>
      <c r="N374" s="177"/>
      <c r="O374" s="137" t="str">
        <f t="shared" si="14"/>
        <v>-</v>
      </c>
    </row>
    <row r="375" spans="2:15" x14ac:dyDescent="0.2">
      <c r="B375" s="45"/>
      <c r="C375" s="43"/>
      <c r="D375" s="260"/>
      <c r="E375" s="261"/>
      <c r="F375" s="186"/>
      <c r="G375" s="80"/>
      <c r="H375" s="80"/>
      <c r="I375" s="185"/>
      <c r="J375" s="91"/>
      <c r="K375" s="98"/>
      <c r="L375" s="177"/>
      <c r="M375" s="177"/>
      <c r="N375" s="177"/>
      <c r="O375" s="137" t="str">
        <f t="shared" si="14"/>
        <v>-</v>
      </c>
    </row>
    <row r="376" spans="2:15" x14ac:dyDescent="0.2">
      <c r="B376" s="45"/>
      <c r="C376" s="42"/>
      <c r="D376" s="260"/>
      <c r="E376" s="261"/>
      <c r="F376" s="186"/>
      <c r="G376" s="80"/>
      <c r="H376" s="80"/>
      <c r="I376" s="185"/>
      <c r="J376" s="91"/>
      <c r="K376" s="98"/>
      <c r="L376" s="177"/>
      <c r="M376" s="177"/>
      <c r="N376" s="177"/>
      <c r="O376" s="137" t="str">
        <f t="shared" si="14"/>
        <v>-</v>
      </c>
    </row>
    <row r="377" spans="2:15" x14ac:dyDescent="0.2">
      <c r="B377" s="45"/>
      <c r="C377" s="43"/>
      <c r="D377" s="260"/>
      <c r="E377" s="261"/>
      <c r="F377" s="186"/>
      <c r="G377" s="80"/>
      <c r="H377" s="80"/>
      <c r="I377" s="185"/>
      <c r="J377" s="91"/>
      <c r="K377" s="98"/>
      <c r="L377" s="177"/>
      <c r="M377" s="177"/>
      <c r="N377" s="177"/>
      <c r="O377" s="137" t="str">
        <f t="shared" si="14"/>
        <v>-</v>
      </c>
    </row>
    <row r="378" spans="2:15" x14ac:dyDescent="0.2">
      <c r="B378" s="45"/>
      <c r="C378" s="43"/>
      <c r="D378" s="260"/>
      <c r="E378" s="261"/>
      <c r="F378" s="186"/>
      <c r="G378" s="80"/>
      <c r="H378" s="80"/>
      <c r="I378" s="185"/>
      <c r="J378" s="91"/>
      <c r="K378" s="98"/>
      <c r="L378" s="177"/>
      <c r="M378" s="177"/>
      <c r="N378" s="177"/>
      <c r="O378" s="137" t="str">
        <f t="shared" si="14"/>
        <v>-</v>
      </c>
    </row>
    <row r="379" spans="2:15" x14ac:dyDescent="0.2">
      <c r="B379" s="45"/>
      <c r="C379" s="42"/>
      <c r="D379" s="260"/>
      <c r="E379" s="261"/>
      <c r="F379" s="186"/>
      <c r="G379" s="80"/>
      <c r="H379" s="80"/>
      <c r="I379" s="185"/>
      <c r="J379" s="91"/>
      <c r="K379" s="98"/>
      <c r="L379" s="177"/>
      <c r="M379" s="177"/>
      <c r="N379" s="177"/>
      <c r="O379" s="137" t="str">
        <f t="shared" si="14"/>
        <v>-</v>
      </c>
    </row>
    <row r="380" spans="2:15" x14ac:dyDescent="0.2">
      <c r="B380" s="45"/>
      <c r="C380" s="43"/>
      <c r="D380" s="260"/>
      <c r="E380" s="261"/>
      <c r="F380" s="186"/>
      <c r="G380" s="80"/>
      <c r="H380" s="80"/>
      <c r="I380" s="185"/>
      <c r="J380" s="91"/>
      <c r="K380" s="98"/>
      <c r="L380" s="177"/>
      <c r="M380" s="177"/>
      <c r="N380" s="177"/>
      <c r="O380" s="137" t="str">
        <f t="shared" si="14"/>
        <v>-</v>
      </c>
    </row>
    <row r="381" spans="2:15" x14ac:dyDescent="0.2">
      <c r="B381" s="45"/>
      <c r="C381" s="43"/>
      <c r="D381" s="260"/>
      <c r="E381" s="261"/>
      <c r="F381" s="186"/>
      <c r="G381" s="80"/>
      <c r="H381" s="80"/>
      <c r="I381" s="185"/>
      <c r="J381" s="91"/>
      <c r="K381" s="98"/>
      <c r="L381" s="177"/>
      <c r="M381" s="177"/>
      <c r="N381" s="177"/>
      <c r="O381" s="137" t="str">
        <f t="shared" si="14"/>
        <v>-</v>
      </c>
    </row>
    <row r="382" spans="2:15" x14ac:dyDescent="0.2">
      <c r="B382" s="45"/>
      <c r="C382" s="42"/>
      <c r="D382" s="260"/>
      <c r="E382" s="261"/>
      <c r="F382" s="186"/>
      <c r="G382" s="80"/>
      <c r="H382" s="80"/>
      <c r="I382" s="185"/>
      <c r="J382" s="91"/>
      <c r="K382" s="98"/>
      <c r="L382" s="177"/>
      <c r="M382" s="177"/>
      <c r="N382" s="177"/>
      <c r="O382" s="137" t="str">
        <f t="shared" si="14"/>
        <v>-</v>
      </c>
    </row>
    <row r="383" spans="2:15" x14ac:dyDescent="0.2">
      <c r="B383" s="45"/>
      <c r="C383" s="43"/>
      <c r="D383" s="260"/>
      <c r="E383" s="261"/>
      <c r="F383" s="186"/>
      <c r="G383" s="80"/>
      <c r="H383" s="80"/>
      <c r="I383" s="185"/>
      <c r="J383" s="91"/>
      <c r="K383" s="98"/>
      <c r="L383" s="177"/>
      <c r="M383" s="177"/>
      <c r="N383" s="177"/>
      <c r="O383" s="137" t="str">
        <f t="shared" si="14"/>
        <v>-</v>
      </c>
    </row>
    <row r="384" spans="2:15" x14ac:dyDescent="0.2">
      <c r="B384" s="45"/>
      <c r="C384" s="43"/>
      <c r="D384" s="260"/>
      <c r="E384" s="261"/>
      <c r="F384" s="186"/>
      <c r="G384" s="80"/>
      <c r="H384" s="80"/>
      <c r="I384" s="185"/>
      <c r="J384" s="91"/>
      <c r="K384" s="98"/>
      <c r="L384" s="177"/>
      <c r="M384" s="177"/>
      <c r="N384" s="177"/>
      <c r="O384" s="137" t="str">
        <f t="shared" si="14"/>
        <v>-</v>
      </c>
    </row>
    <row r="385" spans="2:15" x14ac:dyDescent="0.2">
      <c r="B385" s="45"/>
      <c r="C385" s="42"/>
      <c r="D385" s="260"/>
      <c r="E385" s="261"/>
      <c r="F385" s="186"/>
      <c r="G385" s="80"/>
      <c r="H385" s="80"/>
      <c r="I385" s="185"/>
      <c r="J385" s="91"/>
      <c r="K385" s="98"/>
      <c r="L385" s="177"/>
      <c r="M385" s="177"/>
      <c r="N385" s="177"/>
      <c r="O385" s="137" t="str">
        <f t="shared" ref="O385:O448" si="15">IF(G384="","-",IF(J384="","",J384))</f>
        <v>-</v>
      </c>
    </row>
    <row r="386" spans="2:15" x14ac:dyDescent="0.2">
      <c r="B386" s="45"/>
      <c r="C386" s="43"/>
      <c r="D386" s="260"/>
      <c r="E386" s="261"/>
      <c r="F386" s="186"/>
      <c r="G386" s="80"/>
      <c r="H386" s="80"/>
      <c r="I386" s="185"/>
      <c r="J386" s="91"/>
      <c r="K386" s="98"/>
      <c r="L386" s="177"/>
      <c r="M386" s="177"/>
      <c r="N386" s="177"/>
      <c r="O386" s="137" t="str">
        <f t="shared" si="15"/>
        <v>-</v>
      </c>
    </row>
    <row r="387" spans="2:15" x14ac:dyDescent="0.2">
      <c r="B387" s="45"/>
      <c r="C387" s="43"/>
      <c r="D387" s="260"/>
      <c r="E387" s="261"/>
      <c r="F387" s="186"/>
      <c r="G387" s="80"/>
      <c r="H387" s="80"/>
      <c r="I387" s="185"/>
      <c r="J387" s="91"/>
      <c r="K387" s="98"/>
      <c r="L387" s="177"/>
      <c r="M387" s="177"/>
      <c r="N387" s="177"/>
      <c r="O387" s="137" t="str">
        <f t="shared" si="15"/>
        <v>-</v>
      </c>
    </row>
    <row r="388" spans="2:15" x14ac:dyDescent="0.2">
      <c r="B388" s="45"/>
      <c r="C388" s="42"/>
      <c r="D388" s="260"/>
      <c r="E388" s="261"/>
      <c r="F388" s="186"/>
      <c r="G388" s="80"/>
      <c r="H388" s="80"/>
      <c r="I388" s="185"/>
      <c r="J388" s="91"/>
      <c r="K388" s="98"/>
      <c r="L388" s="177"/>
      <c r="M388" s="177"/>
      <c r="N388" s="177"/>
      <c r="O388" s="137" t="str">
        <f t="shared" si="15"/>
        <v>-</v>
      </c>
    </row>
    <row r="389" spans="2:15" x14ac:dyDescent="0.2">
      <c r="B389" s="45"/>
      <c r="C389" s="43"/>
      <c r="D389" s="260"/>
      <c r="E389" s="261"/>
      <c r="F389" s="186"/>
      <c r="G389" s="80"/>
      <c r="H389" s="80"/>
      <c r="I389" s="185"/>
      <c r="J389" s="91"/>
      <c r="K389" s="98"/>
      <c r="L389" s="177"/>
      <c r="M389" s="177"/>
      <c r="N389" s="177"/>
      <c r="O389" s="137" t="str">
        <f t="shared" si="15"/>
        <v>-</v>
      </c>
    </row>
    <row r="390" spans="2:15" x14ac:dyDescent="0.2">
      <c r="B390" s="45"/>
      <c r="C390" s="43"/>
      <c r="D390" s="260"/>
      <c r="E390" s="261"/>
      <c r="F390" s="186"/>
      <c r="G390" s="80"/>
      <c r="H390" s="80"/>
      <c r="I390" s="185"/>
      <c r="J390" s="91"/>
      <c r="K390" s="98"/>
      <c r="L390" s="177"/>
      <c r="M390" s="177"/>
      <c r="N390" s="177"/>
      <c r="O390" s="137" t="str">
        <f t="shared" si="15"/>
        <v>-</v>
      </c>
    </row>
    <row r="391" spans="2:15" x14ac:dyDescent="0.2">
      <c r="B391" s="45"/>
      <c r="C391" s="42"/>
      <c r="D391" s="260"/>
      <c r="E391" s="261"/>
      <c r="F391" s="186"/>
      <c r="G391" s="80"/>
      <c r="H391" s="80"/>
      <c r="I391" s="185"/>
      <c r="J391" s="91"/>
      <c r="K391" s="98"/>
      <c r="L391" s="177"/>
      <c r="M391" s="177"/>
      <c r="N391" s="177"/>
      <c r="O391" s="137" t="str">
        <f t="shared" si="15"/>
        <v>-</v>
      </c>
    </row>
    <row r="392" spans="2:15" x14ac:dyDescent="0.2">
      <c r="B392" s="45"/>
      <c r="C392" s="43"/>
      <c r="D392" s="260"/>
      <c r="E392" s="261"/>
      <c r="F392" s="186"/>
      <c r="G392" s="80"/>
      <c r="H392" s="80"/>
      <c r="I392" s="185"/>
      <c r="J392" s="91"/>
      <c r="K392" s="98"/>
      <c r="L392" s="177"/>
      <c r="M392" s="177"/>
      <c r="N392" s="177"/>
      <c r="O392" s="137" t="str">
        <f t="shared" si="15"/>
        <v>-</v>
      </c>
    </row>
    <row r="393" spans="2:15" x14ac:dyDescent="0.2">
      <c r="B393" s="45"/>
      <c r="C393" s="43"/>
      <c r="D393" s="260"/>
      <c r="E393" s="261"/>
      <c r="F393" s="186"/>
      <c r="G393" s="80"/>
      <c r="H393" s="80"/>
      <c r="I393" s="185"/>
      <c r="J393" s="91"/>
      <c r="K393" s="98"/>
      <c r="L393" s="177"/>
      <c r="M393" s="177"/>
      <c r="N393" s="177"/>
      <c r="O393" s="137" t="str">
        <f t="shared" si="15"/>
        <v>-</v>
      </c>
    </row>
    <row r="394" spans="2:15" x14ac:dyDescent="0.2">
      <c r="B394" s="45"/>
      <c r="C394" s="42"/>
      <c r="D394" s="260"/>
      <c r="E394" s="261"/>
      <c r="F394" s="186"/>
      <c r="G394" s="80"/>
      <c r="H394" s="80"/>
      <c r="I394" s="185"/>
      <c r="J394" s="91"/>
      <c r="K394" s="98"/>
      <c r="L394" s="177"/>
      <c r="M394" s="177"/>
      <c r="N394" s="177"/>
      <c r="O394" s="137" t="str">
        <f t="shared" si="15"/>
        <v>-</v>
      </c>
    </row>
    <row r="395" spans="2:15" x14ac:dyDescent="0.2">
      <c r="B395" s="45"/>
      <c r="C395" s="43"/>
      <c r="D395" s="260"/>
      <c r="E395" s="261"/>
      <c r="F395" s="186"/>
      <c r="G395" s="80"/>
      <c r="H395" s="80"/>
      <c r="I395" s="185"/>
      <c r="J395" s="91"/>
      <c r="K395" s="98"/>
      <c r="L395" s="177"/>
      <c r="M395" s="177"/>
      <c r="N395" s="177"/>
      <c r="O395" s="137" t="str">
        <f t="shared" si="15"/>
        <v>-</v>
      </c>
    </row>
    <row r="396" spans="2:15" x14ac:dyDescent="0.2">
      <c r="B396" s="45"/>
      <c r="C396" s="43"/>
      <c r="D396" s="260"/>
      <c r="E396" s="261"/>
      <c r="F396" s="186"/>
      <c r="G396" s="80"/>
      <c r="H396" s="80"/>
      <c r="I396" s="185"/>
      <c r="J396" s="91"/>
      <c r="K396" s="98"/>
      <c r="L396" s="177"/>
      <c r="M396" s="177"/>
      <c r="N396" s="177"/>
      <c r="O396" s="137" t="str">
        <f t="shared" si="15"/>
        <v>-</v>
      </c>
    </row>
    <row r="397" spans="2:15" x14ac:dyDescent="0.2">
      <c r="B397" s="45"/>
      <c r="C397" s="42"/>
      <c r="D397" s="260"/>
      <c r="E397" s="261"/>
      <c r="F397" s="186"/>
      <c r="G397" s="80"/>
      <c r="H397" s="80"/>
      <c r="I397" s="185"/>
      <c r="J397" s="91"/>
      <c r="K397" s="98"/>
      <c r="L397" s="177"/>
      <c r="M397" s="177"/>
      <c r="N397" s="177"/>
      <c r="O397" s="137" t="str">
        <f t="shared" si="15"/>
        <v>-</v>
      </c>
    </row>
    <row r="398" spans="2:15" x14ac:dyDescent="0.2">
      <c r="B398" s="45"/>
      <c r="C398" s="43"/>
      <c r="D398" s="260"/>
      <c r="E398" s="261"/>
      <c r="F398" s="186"/>
      <c r="G398" s="80"/>
      <c r="H398" s="80"/>
      <c r="I398" s="185"/>
      <c r="J398" s="91"/>
      <c r="K398" s="98"/>
      <c r="L398" s="177"/>
      <c r="M398" s="177"/>
      <c r="N398" s="177"/>
      <c r="O398" s="137" t="str">
        <f t="shared" si="15"/>
        <v>-</v>
      </c>
    </row>
    <row r="399" spans="2:15" x14ac:dyDescent="0.2">
      <c r="B399" s="45"/>
      <c r="C399" s="43"/>
      <c r="D399" s="260"/>
      <c r="E399" s="261"/>
      <c r="F399" s="186"/>
      <c r="G399" s="80"/>
      <c r="H399" s="80"/>
      <c r="I399" s="185"/>
      <c r="J399" s="91"/>
      <c r="K399" s="98"/>
      <c r="L399" s="177"/>
      <c r="M399" s="177"/>
      <c r="N399" s="177"/>
      <c r="O399" s="137" t="str">
        <f t="shared" si="15"/>
        <v>-</v>
      </c>
    </row>
    <row r="400" spans="2:15" x14ac:dyDescent="0.2">
      <c r="B400" s="45"/>
      <c r="C400" s="42"/>
      <c r="D400" s="260"/>
      <c r="E400" s="261"/>
      <c r="F400" s="186"/>
      <c r="G400" s="80"/>
      <c r="H400" s="80"/>
      <c r="I400" s="185"/>
      <c r="J400" s="91"/>
      <c r="K400" s="98"/>
      <c r="L400" s="177"/>
      <c r="M400" s="177"/>
      <c r="N400" s="177"/>
      <c r="O400" s="137" t="str">
        <f t="shared" si="15"/>
        <v>-</v>
      </c>
    </row>
    <row r="401" spans="2:15" x14ac:dyDescent="0.2">
      <c r="B401" s="45"/>
      <c r="C401" s="43"/>
      <c r="D401" s="260"/>
      <c r="E401" s="261"/>
      <c r="F401" s="186"/>
      <c r="G401" s="80"/>
      <c r="H401" s="80"/>
      <c r="I401" s="185"/>
      <c r="J401" s="91"/>
      <c r="K401" s="98"/>
      <c r="L401" s="177"/>
      <c r="M401" s="177"/>
      <c r="N401" s="177"/>
      <c r="O401" s="137" t="str">
        <f t="shared" si="15"/>
        <v>-</v>
      </c>
    </row>
    <row r="402" spans="2:15" x14ac:dyDescent="0.2">
      <c r="B402" s="45"/>
      <c r="C402" s="43"/>
      <c r="D402" s="260"/>
      <c r="E402" s="261"/>
      <c r="F402" s="186"/>
      <c r="G402" s="80"/>
      <c r="H402" s="80"/>
      <c r="I402" s="185"/>
      <c r="J402" s="91"/>
      <c r="K402" s="98"/>
      <c r="L402" s="177"/>
      <c r="M402" s="177"/>
      <c r="N402" s="177"/>
      <c r="O402" s="137" t="str">
        <f t="shared" si="15"/>
        <v>-</v>
      </c>
    </row>
    <row r="403" spans="2:15" x14ac:dyDescent="0.2">
      <c r="B403" s="45"/>
      <c r="C403" s="42"/>
      <c r="D403" s="260"/>
      <c r="E403" s="261"/>
      <c r="F403" s="186"/>
      <c r="G403" s="80"/>
      <c r="H403" s="80"/>
      <c r="I403" s="185"/>
      <c r="J403" s="91"/>
      <c r="K403" s="98"/>
      <c r="L403" s="177"/>
      <c r="M403" s="177"/>
      <c r="N403" s="177"/>
      <c r="O403" s="137" t="str">
        <f t="shared" si="15"/>
        <v>-</v>
      </c>
    </row>
    <row r="404" spans="2:15" x14ac:dyDescent="0.2">
      <c r="B404" s="45"/>
      <c r="C404" s="43"/>
      <c r="D404" s="260"/>
      <c r="E404" s="261"/>
      <c r="F404" s="186"/>
      <c r="G404" s="80"/>
      <c r="H404" s="80"/>
      <c r="I404" s="185"/>
      <c r="J404" s="91"/>
      <c r="K404" s="98"/>
      <c r="L404" s="177"/>
      <c r="M404" s="177"/>
      <c r="N404" s="177"/>
      <c r="O404" s="137" t="str">
        <f t="shared" si="15"/>
        <v>-</v>
      </c>
    </row>
    <row r="405" spans="2:15" x14ac:dyDescent="0.2">
      <c r="B405" s="45"/>
      <c r="C405" s="43"/>
      <c r="D405" s="260"/>
      <c r="E405" s="261"/>
      <c r="F405" s="186"/>
      <c r="G405" s="80"/>
      <c r="H405" s="80"/>
      <c r="I405" s="185"/>
      <c r="J405" s="91"/>
      <c r="K405" s="98"/>
      <c r="L405" s="177"/>
      <c r="M405" s="177"/>
      <c r="N405" s="177"/>
      <c r="O405" s="137" t="str">
        <f t="shared" si="15"/>
        <v>-</v>
      </c>
    </row>
    <row r="406" spans="2:15" x14ac:dyDescent="0.2">
      <c r="B406" s="45"/>
      <c r="C406" s="42"/>
      <c r="D406" s="260"/>
      <c r="E406" s="261"/>
      <c r="F406" s="186"/>
      <c r="G406" s="80"/>
      <c r="H406" s="80"/>
      <c r="I406" s="185"/>
      <c r="J406" s="91"/>
      <c r="K406" s="98"/>
      <c r="L406" s="177"/>
      <c r="M406" s="177"/>
      <c r="N406" s="177"/>
      <c r="O406" s="137" t="str">
        <f t="shared" si="15"/>
        <v>-</v>
      </c>
    </row>
    <row r="407" spans="2:15" x14ac:dyDescent="0.2">
      <c r="B407" s="45"/>
      <c r="C407" s="43"/>
      <c r="D407" s="260"/>
      <c r="E407" s="261"/>
      <c r="F407" s="186"/>
      <c r="G407" s="80"/>
      <c r="H407" s="80"/>
      <c r="I407" s="185"/>
      <c r="J407" s="91"/>
      <c r="K407" s="98"/>
      <c r="L407" s="177"/>
      <c r="M407" s="177"/>
      <c r="N407" s="177"/>
      <c r="O407" s="137" t="str">
        <f t="shared" si="15"/>
        <v>-</v>
      </c>
    </row>
    <row r="408" spans="2:15" x14ac:dyDescent="0.2">
      <c r="B408" s="45"/>
      <c r="C408" s="43"/>
      <c r="D408" s="260"/>
      <c r="E408" s="261"/>
      <c r="F408" s="186"/>
      <c r="G408" s="80"/>
      <c r="H408" s="80"/>
      <c r="I408" s="185"/>
      <c r="J408" s="91"/>
      <c r="K408" s="98"/>
      <c r="L408" s="177"/>
      <c r="M408" s="177"/>
      <c r="N408" s="177"/>
      <c r="O408" s="137" t="str">
        <f t="shared" si="15"/>
        <v>-</v>
      </c>
    </row>
    <row r="409" spans="2:15" x14ac:dyDescent="0.2">
      <c r="B409" s="45"/>
      <c r="C409" s="42"/>
      <c r="D409" s="260"/>
      <c r="E409" s="261"/>
      <c r="F409" s="186"/>
      <c r="G409" s="80"/>
      <c r="H409" s="80"/>
      <c r="I409" s="185"/>
      <c r="J409" s="91"/>
      <c r="K409" s="98"/>
      <c r="L409" s="177"/>
      <c r="M409" s="177"/>
      <c r="N409" s="177"/>
      <c r="O409" s="137" t="str">
        <f t="shared" si="15"/>
        <v>-</v>
      </c>
    </row>
    <row r="410" spans="2:15" x14ac:dyDescent="0.2">
      <c r="B410" s="45"/>
      <c r="C410" s="43"/>
      <c r="D410" s="260"/>
      <c r="E410" s="261"/>
      <c r="F410" s="186"/>
      <c r="G410" s="80"/>
      <c r="H410" s="80"/>
      <c r="I410" s="185"/>
      <c r="J410" s="91"/>
      <c r="K410" s="98"/>
      <c r="L410" s="177"/>
      <c r="M410" s="177"/>
      <c r="N410" s="177"/>
      <c r="O410" s="137" t="str">
        <f t="shared" si="15"/>
        <v>-</v>
      </c>
    </row>
    <row r="411" spans="2:15" x14ac:dyDescent="0.2">
      <c r="B411" s="45"/>
      <c r="C411" s="43"/>
      <c r="D411" s="260"/>
      <c r="E411" s="261"/>
      <c r="F411" s="186"/>
      <c r="G411" s="80"/>
      <c r="H411" s="80"/>
      <c r="I411" s="185"/>
      <c r="J411" s="91"/>
      <c r="K411" s="98"/>
      <c r="L411" s="177"/>
      <c r="M411" s="177"/>
      <c r="N411" s="177"/>
      <c r="O411" s="137" t="str">
        <f t="shared" si="15"/>
        <v>-</v>
      </c>
    </row>
    <row r="412" spans="2:15" x14ac:dyDescent="0.2">
      <c r="B412" s="45"/>
      <c r="C412" s="42"/>
      <c r="D412" s="260"/>
      <c r="E412" s="261"/>
      <c r="F412" s="186"/>
      <c r="G412" s="80"/>
      <c r="H412" s="80"/>
      <c r="I412" s="185"/>
      <c r="J412" s="91"/>
      <c r="K412" s="98"/>
      <c r="L412" s="177"/>
      <c r="M412" s="177"/>
      <c r="N412" s="177"/>
      <c r="O412" s="137" t="str">
        <f t="shared" si="15"/>
        <v>-</v>
      </c>
    </row>
    <row r="413" spans="2:15" x14ac:dyDescent="0.2">
      <c r="B413" s="45"/>
      <c r="C413" s="43"/>
      <c r="D413" s="260"/>
      <c r="E413" s="261"/>
      <c r="F413" s="186"/>
      <c r="G413" s="80"/>
      <c r="H413" s="80"/>
      <c r="I413" s="185"/>
      <c r="J413" s="91"/>
      <c r="K413" s="98"/>
      <c r="L413" s="177"/>
      <c r="M413" s="177"/>
      <c r="N413" s="177"/>
      <c r="O413" s="137" t="str">
        <f t="shared" si="15"/>
        <v>-</v>
      </c>
    </row>
    <row r="414" spans="2:15" x14ac:dyDescent="0.2">
      <c r="B414" s="45"/>
      <c r="C414" s="43"/>
      <c r="D414" s="260"/>
      <c r="E414" s="261"/>
      <c r="F414" s="186"/>
      <c r="G414" s="80"/>
      <c r="H414" s="80"/>
      <c r="I414" s="185"/>
      <c r="J414" s="91"/>
      <c r="K414" s="98"/>
      <c r="L414" s="177"/>
      <c r="M414" s="177"/>
      <c r="N414" s="177"/>
      <c r="O414" s="137" t="str">
        <f t="shared" si="15"/>
        <v>-</v>
      </c>
    </row>
    <row r="415" spans="2:15" x14ac:dyDescent="0.2">
      <c r="B415" s="45"/>
      <c r="C415" s="42"/>
      <c r="D415" s="260"/>
      <c r="E415" s="261"/>
      <c r="F415" s="186"/>
      <c r="G415" s="80"/>
      <c r="H415" s="80"/>
      <c r="I415" s="185"/>
      <c r="J415" s="91"/>
      <c r="K415" s="98"/>
      <c r="L415" s="177"/>
      <c r="M415" s="177"/>
      <c r="N415" s="177"/>
      <c r="O415" s="137" t="str">
        <f t="shared" si="15"/>
        <v>-</v>
      </c>
    </row>
    <row r="416" spans="2:15" x14ac:dyDescent="0.2">
      <c r="B416" s="45"/>
      <c r="C416" s="43"/>
      <c r="D416" s="260"/>
      <c r="E416" s="261"/>
      <c r="F416" s="186"/>
      <c r="G416" s="80"/>
      <c r="H416" s="80"/>
      <c r="I416" s="185"/>
      <c r="J416" s="91"/>
      <c r="K416" s="98"/>
      <c r="L416" s="177"/>
      <c r="M416" s="177"/>
      <c r="N416" s="177"/>
      <c r="O416" s="137" t="str">
        <f t="shared" si="15"/>
        <v>-</v>
      </c>
    </row>
    <row r="417" spans="2:15" x14ac:dyDescent="0.2">
      <c r="B417" s="45"/>
      <c r="C417" s="43"/>
      <c r="D417" s="260"/>
      <c r="E417" s="261"/>
      <c r="F417" s="186"/>
      <c r="G417" s="80"/>
      <c r="H417" s="80"/>
      <c r="I417" s="185"/>
      <c r="J417" s="91"/>
      <c r="K417" s="98"/>
      <c r="L417" s="177"/>
      <c r="M417" s="177"/>
      <c r="N417" s="177"/>
      <c r="O417" s="137" t="str">
        <f t="shared" si="15"/>
        <v>-</v>
      </c>
    </row>
    <row r="418" spans="2:15" x14ac:dyDescent="0.2">
      <c r="B418" s="45"/>
      <c r="C418" s="42"/>
      <c r="D418" s="260"/>
      <c r="E418" s="261"/>
      <c r="F418" s="186"/>
      <c r="G418" s="80"/>
      <c r="H418" s="80"/>
      <c r="I418" s="185"/>
      <c r="J418" s="91"/>
      <c r="K418" s="98"/>
      <c r="L418" s="177"/>
      <c r="M418" s="177"/>
      <c r="N418" s="177"/>
      <c r="O418" s="137" t="str">
        <f t="shared" si="15"/>
        <v>-</v>
      </c>
    </row>
    <row r="419" spans="2:15" x14ac:dyDescent="0.2">
      <c r="B419" s="45"/>
      <c r="C419" s="43"/>
      <c r="D419" s="260"/>
      <c r="E419" s="261"/>
      <c r="F419" s="186"/>
      <c r="G419" s="80"/>
      <c r="H419" s="80"/>
      <c r="I419" s="185"/>
      <c r="J419" s="91"/>
      <c r="K419" s="98"/>
      <c r="L419" s="177"/>
      <c r="M419" s="177"/>
      <c r="N419" s="177"/>
      <c r="O419" s="137" t="str">
        <f t="shared" si="15"/>
        <v>-</v>
      </c>
    </row>
    <row r="420" spans="2:15" x14ac:dyDescent="0.2">
      <c r="B420" s="45"/>
      <c r="C420" s="43"/>
      <c r="D420" s="260"/>
      <c r="E420" s="261"/>
      <c r="F420" s="186"/>
      <c r="G420" s="80"/>
      <c r="H420" s="80"/>
      <c r="I420" s="185"/>
      <c r="J420" s="91"/>
      <c r="K420" s="98"/>
      <c r="L420" s="177"/>
      <c r="M420" s="177"/>
      <c r="N420" s="177"/>
      <c r="O420" s="137" t="str">
        <f t="shared" si="15"/>
        <v>-</v>
      </c>
    </row>
    <row r="421" spans="2:15" x14ac:dyDescent="0.2">
      <c r="B421" s="45"/>
      <c r="C421" s="42"/>
      <c r="D421" s="260"/>
      <c r="E421" s="261"/>
      <c r="F421" s="186"/>
      <c r="G421" s="80"/>
      <c r="H421" s="80"/>
      <c r="I421" s="185"/>
      <c r="J421" s="91"/>
      <c r="K421" s="98"/>
      <c r="L421" s="177"/>
      <c r="M421" s="177"/>
      <c r="N421" s="177"/>
      <c r="O421" s="137" t="str">
        <f t="shared" si="15"/>
        <v>-</v>
      </c>
    </row>
    <row r="422" spans="2:15" x14ac:dyDescent="0.2">
      <c r="B422" s="45"/>
      <c r="C422" s="43"/>
      <c r="D422" s="260"/>
      <c r="E422" s="261"/>
      <c r="F422" s="186"/>
      <c r="G422" s="80"/>
      <c r="H422" s="80"/>
      <c r="I422" s="185"/>
      <c r="J422" s="91"/>
      <c r="K422" s="98"/>
      <c r="L422" s="177"/>
      <c r="M422" s="177"/>
      <c r="N422" s="177"/>
      <c r="O422" s="137" t="str">
        <f t="shared" si="15"/>
        <v>-</v>
      </c>
    </row>
    <row r="423" spans="2:15" x14ac:dyDescent="0.2">
      <c r="B423" s="45"/>
      <c r="C423" s="43"/>
      <c r="D423" s="260"/>
      <c r="E423" s="261"/>
      <c r="F423" s="186"/>
      <c r="G423" s="80"/>
      <c r="H423" s="80"/>
      <c r="I423" s="185"/>
      <c r="J423" s="91"/>
      <c r="K423" s="98"/>
      <c r="L423" s="177"/>
      <c r="M423" s="177"/>
      <c r="N423" s="177"/>
      <c r="O423" s="137" t="str">
        <f t="shared" si="15"/>
        <v>-</v>
      </c>
    </row>
    <row r="424" spans="2:15" x14ac:dyDescent="0.2">
      <c r="B424" s="45"/>
      <c r="C424" s="42"/>
      <c r="D424" s="260"/>
      <c r="E424" s="261"/>
      <c r="F424" s="186"/>
      <c r="G424" s="80"/>
      <c r="H424" s="80"/>
      <c r="I424" s="185"/>
      <c r="J424" s="91"/>
      <c r="K424" s="98"/>
      <c r="L424" s="177"/>
      <c r="M424" s="177"/>
      <c r="N424" s="177"/>
      <c r="O424" s="137" t="str">
        <f t="shared" si="15"/>
        <v>-</v>
      </c>
    </row>
    <row r="425" spans="2:15" x14ac:dyDescent="0.2">
      <c r="B425" s="45"/>
      <c r="C425" s="43"/>
      <c r="D425" s="260"/>
      <c r="E425" s="261"/>
      <c r="F425" s="186"/>
      <c r="G425" s="80"/>
      <c r="H425" s="80"/>
      <c r="I425" s="185"/>
      <c r="J425" s="91"/>
      <c r="K425" s="98"/>
      <c r="L425" s="177"/>
      <c r="M425" s="177"/>
      <c r="N425" s="177"/>
      <c r="O425" s="137" t="str">
        <f t="shared" si="15"/>
        <v>-</v>
      </c>
    </row>
    <row r="426" spans="2:15" x14ac:dyDescent="0.2">
      <c r="B426" s="45"/>
      <c r="C426" s="43"/>
      <c r="D426" s="260"/>
      <c r="E426" s="261"/>
      <c r="F426" s="186"/>
      <c r="G426" s="80"/>
      <c r="H426" s="80"/>
      <c r="I426" s="185"/>
      <c r="J426" s="91"/>
      <c r="K426" s="98"/>
      <c r="L426" s="177"/>
      <c r="M426" s="177"/>
      <c r="N426" s="177"/>
      <c r="O426" s="137" t="str">
        <f t="shared" si="15"/>
        <v>-</v>
      </c>
    </row>
    <row r="427" spans="2:15" x14ac:dyDescent="0.2">
      <c r="B427" s="45"/>
      <c r="C427" s="42"/>
      <c r="D427" s="260"/>
      <c r="E427" s="261"/>
      <c r="F427" s="186"/>
      <c r="G427" s="80"/>
      <c r="H427" s="80"/>
      <c r="I427" s="185"/>
      <c r="J427" s="91"/>
      <c r="K427" s="98"/>
      <c r="L427" s="177"/>
      <c r="M427" s="177"/>
      <c r="N427" s="177"/>
      <c r="O427" s="137" t="str">
        <f t="shared" si="15"/>
        <v>-</v>
      </c>
    </row>
    <row r="428" spans="2:15" x14ac:dyDescent="0.2">
      <c r="B428" s="45"/>
      <c r="C428" s="43"/>
      <c r="D428" s="260"/>
      <c r="E428" s="261"/>
      <c r="F428" s="186"/>
      <c r="G428" s="80"/>
      <c r="H428" s="80"/>
      <c r="I428" s="185"/>
      <c r="J428" s="91"/>
      <c r="K428" s="98"/>
      <c r="L428" s="177"/>
      <c r="M428" s="177"/>
      <c r="N428" s="177"/>
      <c r="O428" s="137" t="str">
        <f t="shared" si="15"/>
        <v>-</v>
      </c>
    </row>
    <row r="429" spans="2:15" x14ac:dyDescent="0.2">
      <c r="B429" s="45"/>
      <c r="C429" s="43"/>
      <c r="D429" s="260"/>
      <c r="E429" s="261"/>
      <c r="F429" s="186"/>
      <c r="G429" s="80"/>
      <c r="H429" s="80"/>
      <c r="I429" s="185"/>
      <c r="J429" s="91"/>
      <c r="K429" s="98"/>
      <c r="L429" s="177"/>
      <c r="M429" s="177"/>
      <c r="N429" s="177"/>
      <c r="O429" s="137" t="str">
        <f t="shared" si="15"/>
        <v>-</v>
      </c>
    </row>
    <row r="430" spans="2:15" x14ac:dyDescent="0.2">
      <c r="B430" s="45"/>
      <c r="C430" s="42"/>
      <c r="D430" s="260"/>
      <c r="E430" s="261"/>
      <c r="F430" s="186"/>
      <c r="G430" s="80"/>
      <c r="H430" s="80"/>
      <c r="I430" s="185"/>
      <c r="J430" s="91"/>
      <c r="K430" s="98"/>
      <c r="L430" s="177"/>
      <c r="M430" s="177"/>
      <c r="N430" s="177"/>
      <c r="O430" s="137" t="str">
        <f t="shared" si="15"/>
        <v>-</v>
      </c>
    </row>
    <row r="431" spans="2:15" x14ac:dyDescent="0.2">
      <c r="B431" s="45"/>
      <c r="C431" s="43"/>
      <c r="D431" s="260"/>
      <c r="E431" s="261"/>
      <c r="F431" s="186"/>
      <c r="G431" s="80"/>
      <c r="H431" s="80"/>
      <c r="I431" s="185"/>
      <c r="J431" s="91"/>
      <c r="K431" s="98"/>
      <c r="L431" s="177"/>
      <c r="M431" s="177"/>
      <c r="N431" s="177"/>
      <c r="O431" s="137" t="str">
        <f t="shared" si="15"/>
        <v>-</v>
      </c>
    </row>
    <row r="432" spans="2:15" x14ac:dyDescent="0.2">
      <c r="B432" s="45"/>
      <c r="C432" s="43"/>
      <c r="D432" s="260"/>
      <c r="E432" s="261"/>
      <c r="F432" s="186"/>
      <c r="G432" s="80"/>
      <c r="H432" s="80"/>
      <c r="I432" s="185"/>
      <c r="J432" s="91"/>
      <c r="K432" s="98"/>
      <c r="L432" s="177"/>
      <c r="M432" s="177"/>
      <c r="N432" s="177"/>
      <c r="O432" s="137" t="str">
        <f t="shared" si="15"/>
        <v>-</v>
      </c>
    </row>
    <row r="433" spans="2:15" x14ac:dyDescent="0.2">
      <c r="B433" s="45"/>
      <c r="C433" s="42"/>
      <c r="D433" s="260"/>
      <c r="E433" s="261"/>
      <c r="F433" s="186"/>
      <c r="G433" s="80"/>
      <c r="H433" s="80"/>
      <c r="I433" s="185"/>
      <c r="J433" s="91"/>
      <c r="K433" s="98"/>
      <c r="L433" s="177"/>
      <c r="M433" s="177"/>
      <c r="N433" s="177"/>
      <c r="O433" s="137" t="str">
        <f t="shared" si="15"/>
        <v>-</v>
      </c>
    </row>
    <row r="434" spans="2:15" x14ac:dyDescent="0.2">
      <c r="B434" s="45"/>
      <c r="C434" s="43"/>
      <c r="D434" s="260"/>
      <c r="E434" s="261"/>
      <c r="F434" s="186"/>
      <c r="G434" s="80"/>
      <c r="H434" s="80"/>
      <c r="I434" s="185"/>
      <c r="J434" s="91"/>
      <c r="K434" s="98"/>
      <c r="L434" s="177"/>
      <c r="M434" s="177"/>
      <c r="N434" s="177"/>
      <c r="O434" s="137" t="str">
        <f t="shared" si="15"/>
        <v>-</v>
      </c>
    </row>
    <row r="435" spans="2:15" x14ac:dyDescent="0.2">
      <c r="B435" s="45"/>
      <c r="C435" s="43"/>
      <c r="D435" s="260"/>
      <c r="E435" s="261"/>
      <c r="F435" s="186"/>
      <c r="G435" s="80"/>
      <c r="H435" s="80"/>
      <c r="I435" s="185"/>
      <c r="J435" s="91"/>
      <c r="K435" s="98"/>
      <c r="L435" s="177"/>
      <c r="M435" s="177"/>
      <c r="N435" s="177"/>
      <c r="O435" s="137" t="str">
        <f t="shared" si="15"/>
        <v>-</v>
      </c>
    </row>
    <row r="436" spans="2:15" x14ac:dyDescent="0.2">
      <c r="B436" s="45"/>
      <c r="C436" s="42"/>
      <c r="D436" s="260"/>
      <c r="E436" s="261"/>
      <c r="F436" s="186"/>
      <c r="G436" s="80"/>
      <c r="H436" s="80"/>
      <c r="I436" s="185"/>
      <c r="J436" s="91"/>
      <c r="K436" s="98"/>
      <c r="L436" s="177"/>
      <c r="M436" s="177"/>
      <c r="N436" s="177"/>
      <c r="O436" s="137" t="str">
        <f t="shared" si="15"/>
        <v>-</v>
      </c>
    </row>
    <row r="437" spans="2:15" x14ac:dyDescent="0.2">
      <c r="B437" s="45"/>
      <c r="C437" s="43"/>
      <c r="D437" s="260"/>
      <c r="E437" s="261"/>
      <c r="F437" s="186"/>
      <c r="G437" s="80"/>
      <c r="H437" s="80"/>
      <c r="I437" s="185"/>
      <c r="J437" s="91"/>
      <c r="K437" s="98"/>
      <c r="L437" s="177"/>
      <c r="M437" s="177"/>
      <c r="N437" s="177"/>
      <c r="O437" s="137" t="str">
        <f t="shared" si="15"/>
        <v>-</v>
      </c>
    </row>
    <row r="438" spans="2:15" x14ac:dyDescent="0.2">
      <c r="B438" s="45"/>
      <c r="C438" s="43"/>
      <c r="D438" s="260"/>
      <c r="E438" s="261"/>
      <c r="F438" s="186"/>
      <c r="G438" s="80"/>
      <c r="H438" s="80"/>
      <c r="I438" s="185"/>
      <c r="J438" s="91"/>
      <c r="K438" s="98"/>
      <c r="L438" s="177"/>
      <c r="M438" s="177"/>
      <c r="N438" s="177"/>
      <c r="O438" s="137" t="str">
        <f t="shared" si="15"/>
        <v>-</v>
      </c>
    </row>
    <row r="439" spans="2:15" x14ac:dyDescent="0.2">
      <c r="B439" s="45"/>
      <c r="C439" s="42"/>
      <c r="D439" s="260"/>
      <c r="E439" s="261"/>
      <c r="F439" s="186"/>
      <c r="G439" s="80"/>
      <c r="H439" s="80"/>
      <c r="I439" s="185"/>
      <c r="J439" s="91"/>
      <c r="K439" s="98"/>
      <c r="L439" s="177"/>
      <c r="M439" s="177"/>
      <c r="N439" s="177"/>
      <c r="O439" s="137" t="str">
        <f t="shared" si="15"/>
        <v>-</v>
      </c>
    </row>
    <row r="440" spans="2:15" x14ac:dyDescent="0.2">
      <c r="B440" s="45"/>
      <c r="C440" s="43"/>
      <c r="D440" s="260"/>
      <c r="E440" s="261"/>
      <c r="F440" s="186"/>
      <c r="G440" s="80"/>
      <c r="H440" s="80"/>
      <c r="I440" s="185"/>
      <c r="J440" s="91"/>
      <c r="K440" s="98"/>
      <c r="L440" s="177"/>
      <c r="M440" s="177"/>
      <c r="N440" s="177"/>
      <c r="O440" s="137" t="str">
        <f t="shared" si="15"/>
        <v>-</v>
      </c>
    </row>
    <row r="441" spans="2:15" x14ac:dyDescent="0.2">
      <c r="B441" s="45"/>
      <c r="C441" s="43"/>
      <c r="D441" s="260"/>
      <c r="E441" s="261"/>
      <c r="F441" s="186"/>
      <c r="G441" s="80"/>
      <c r="H441" s="80"/>
      <c r="I441" s="185"/>
      <c r="J441" s="91"/>
      <c r="K441" s="98"/>
      <c r="L441" s="177"/>
      <c r="M441" s="177"/>
      <c r="N441" s="177"/>
      <c r="O441" s="137" t="str">
        <f t="shared" si="15"/>
        <v>-</v>
      </c>
    </row>
    <row r="442" spans="2:15" x14ac:dyDescent="0.2">
      <c r="B442" s="45"/>
      <c r="C442" s="42"/>
      <c r="D442" s="260"/>
      <c r="E442" s="261"/>
      <c r="F442" s="186"/>
      <c r="G442" s="80"/>
      <c r="H442" s="80"/>
      <c r="I442" s="185"/>
      <c r="J442" s="91"/>
      <c r="K442" s="98"/>
      <c r="L442" s="177"/>
      <c r="M442" s="177"/>
      <c r="N442" s="177"/>
      <c r="O442" s="137" t="str">
        <f t="shared" si="15"/>
        <v>-</v>
      </c>
    </row>
    <row r="443" spans="2:15" x14ac:dyDescent="0.2">
      <c r="B443" s="45"/>
      <c r="C443" s="43"/>
      <c r="D443" s="260"/>
      <c r="E443" s="261"/>
      <c r="F443" s="186"/>
      <c r="G443" s="80"/>
      <c r="H443" s="80"/>
      <c r="I443" s="185"/>
      <c r="J443" s="91"/>
      <c r="K443" s="98"/>
      <c r="L443" s="177"/>
      <c r="M443" s="177"/>
      <c r="N443" s="177"/>
      <c r="O443" s="137" t="str">
        <f t="shared" si="15"/>
        <v>-</v>
      </c>
    </row>
    <row r="444" spans="2:15" x14ac:dyDescent="0.2">
      <c r="B444" s="45"/>
      <c r="C444" s="43"/>
      <c r="D444" s="260"/>
      <c r="E444" s="261"/>
      <c r="F444" s="186"/>
      <c r="G444" s="80"/>
      <c r="H444" s="80"/>
      <c r="I444" s="185"/>
      <c r="J444" s="91"/>
      <c r="K444" s="98"/>
      <c r="L444" s="177"/>
      <c r="M444" s="177"/>
      <c r="N444" s="177"/>
      <c r="O444" s="137" t="str">
        <f t="shared" si="15"/>
        <v>-</v>
      </c>
    </row>
    <row r="445" spans="2:15" x14ac:dyDescent="0.2">
      <c r="B445" s="45"/>
      <c r="C445" s="42"/>
      <c r="D445" s="260"/>
      <c r="E445" s="261"/>
      <c r="F445" s="186"/>
      <c r="G445" s="80"/>
      <c r="H445" s="80"/>
      <c r="I445" s="185"/>
      <c r="J445" s="91"/>
      <c r="K445" s="98"/>
      <c r="L445" s="177"/>
      <c r="M445" s="177"/>
      <c r="N445" s="177"/>
      <c r="O445" s="137" t="str">
        <f t="shared" si="15"/>
        <v>-</v>
      </c>
    </row>
    <row r="446" spans="2:15" x14ac:dyDescent="0.2">
      <c r="B446" s="45"/>
      <c r="C446" s="43"/>
      <c r="D446" s="260"/>
      <c r="E446" s="261"/>
      <c r="F446" s="186"/>
      <c r="G446" s="80"/>
      <c r="H446" s="80"/>
      <c r="I446" s="185"/>
      <c r="J446" s="91"/>
      <c r="K446" s="98"/>
      <c r="L446" s="177"/>
      <c r="M446" s="177"/>
      <c r="N446" s="177"/>
      <c r="O446" s="137" t="str">
        <f t="shared" si="15"/>
        <v>-</v>
      </c>
    </row>
    <row r="447" spans="2:15" x14ac:dyDescent="0.2">
      <c r="B447" s="45"/>
      <c r="C447" s="43"/>
      <c r="D447" s="260"/>
      <c r="E447" s="261"/>
      <c r="F447" s="186"/>
      <c r="G447" s="80"/>
      <c r="H447" s="80"/>
      <c r="I447" s="185"/>
      <c r="J447" s="91"/>
      <c r="K447" s="98"/>
      <c r="L447" s="177"/>
      <c r="M447" s="177"/>
      <c r="N447" s="177"/>
      <c r="O447" s="137" t="str">
        <f t="shared" si="15"/>
        <v>-</v>
      </c>
    </row>
    <row r="448" spans="2:15" x14ac:dyDescent="0.2">
      <c r="B448" s="45"/>
      <c r="C448" s="42"/>
      <c r="D448" s="260"/>
      <c r="E448" s="261"/>
      <c r="F448" s="186"/>
      <c r="G448" s="80"/>
      <c r="H448" s="80"/>
      <c r="I448" s="185"/>
      <c r="J448" s="91"/>
      <c r="K448" s="98"/>
      <c r="L448" s="177"/>
      <c r="M448" s="177"/>
      <c r="N448" s="177"/>
      <c r="O448" s="137" t="str">
        <f t="shared" si="15"/>
        <v>-</v>
      </c>
    </row>
    <row r="449" spans="2:15" x14ac:dyDescent="0.2">
      <c r="B449" s="45"/>
      <c r="C449" s="43"/>
      <c r="D449" s="260"/>
      <c r="E449" s="261"/>
      <c r="F449" s="186"/>
      <c r="G449" s="80"/>
      <c r="H449" s="80"/>
      <c r="I449" s="185"/>
      <c r="J449" s="91"/>
      <c r="K449" s="98"/>
      <c r="L449" s="177"/>
      <c r="M449" s="177"/>
      <c r="N449" s="177"/>
      <c r="O449" s="137" t="str">
        <f t="shared" ref="O449:O512" si="16">IF(G448="","-",IF(J448="","",J448))</f>
        <v>-</v>
      </c>
    </row>
    <row r="450" spans="2:15" x14ac:dyDescent="0.2">
      <c r="B450" s="45"/>
      <c r="C450" s="43"/>
      <c r="D450" s="260"/>
      <c r="E450" s="261"/>
      <c r="F450" s="186"/>
      <c r="G450" s="80"/>
      <c r="H450" s="80"/>
      <c r="I450" s="185"/>
      <c r="J450" s="91"/>
      <c r="K450" s="98"/>
      <c r="L450" s="177"/>
      <c r="M450" s="177"/>
      <c r="N450" s="177"/>
      <c r="O450" s="137" t="str">
        <f t="shared" si="16"/>
        <v>-</v>
      </c>
    </row>
    <row r="451" spans="2:15" x14ac:dyDescent="0.2">
      <c r="B451" s="45"/>
      <c r="C451" s="42"/>
      <c r="D451" s="260"/>
      <c r="E451" s="261"/>
      <c r="F451" s="186"/>
      <c r="G451" s="80"/>
      <c r="H451" s="80"/>
      <c r="I451" s="185"/>
      <c r="J451" s="91"/>
      <c r="K451" s="98"/>
      <c r="L451" s="177"/>
      <c r="M451" s="177"/>
      <c r="N451" s="177"/>
      <c r="O451" s="137" t="str">
        <f t="shared" si="16"/>
        <v>-</v>
      </c>
    </row>
    <row r="452" spans="2:15" x14ac:dyDescent="0.2">
      <c r="B452" s="45"/>
      <c r="C452" s="43"/>
      <c r="D452" s="260"/>
      <c r="E452" s="261"/>
      <c r="F452" s="186"/>
      <c r="G452" s="80"/>
      <c r="H452" s="80"/>
      <c r="I452" s="185"/>
      <c r="J452" s="91"/>
      <c r="K452" s="98"/>
      <c r="L452" s="177"/>
      <c r="M452" s="177"/>
      <c r="N452" s="177"/>
      <c r="O452" s="137" t="str">
        <f t="shared" si="16"/>
        <v>-</v>
      </c>
    </row>
    <row r="453" spans="2:15" x14ac:dyDescent="0.2">
      <c r="B453" s="45"/>
      <c r="C453" s="43"/>
      <c r="D453" s="260"/>
      <c r="E453" s="261"/>
      <c r="F453" s="186"/>
      <c r="G453" s="80"/>
      <c r="H453" s="80"/>
      <c r="I453" s="185"/>
      <c r="J453" s="91"/>
      <c r="K453" s="98"/>
      <c r="L453" s="177"/>
      <c r="M453" s="177"/>
      <c r="N453" s="177"/>
      <c r="O453" s="137" t="str">
        <f t="shared" si="16"/>
        <v>-</v>
      </c>
    </row>
    <row r="454" spans="2:15" x14ac:dyDescent="0.2">
      <c r="B454" s="45"/>
      <c r="C454" s="42"/>
      <c r="D454" s="260"/>
      <c r="E454" s="261"/>
      <c r="F454" s="186"/>
      <c r="G454" s="80"/>
      <c r="H454" s="80"/>
      <c r="I454" s="185"/>
      <c r="J454" s="91"/>
      <c r="K454" s="98"/>
      <c r="L454" s="177"/>
      <c r="M454" s="177"/>
      <c r="N454" s="177"/>
      <c r="O454" s="137" t="str">
        <f t="shared" si="16"/>
        <v>-</v>
      </c>
    </row>
    <row r="455" spans="2:15" x14ac:dyDescent="0.2">
      <c r="B455" s="45"/>
      <c r="C455" s="43"/>
      <c r="D455" s="260"/>
      <c r="E455" s="261"/>
      <c r="F455" s="186"/>
      <c r="G455" s="80"/>
      <c r="H455" s="80"/>
      <c r="I455" s="185"/>
      <c r="J455" s="91"/>
      <c r="K455" s="98"/>
      <c r="L455" s="177"/>
      <c r="M455" s="177"/>
      <c r="N455" s="177"/>
      <c r="O455" s="137" t="str">
        <f t="shared" si="16"/>
        <v>-</v>
      </c>
    </row>
    <row r="456" spans="2:15" x14ac:dyDescent="0.2">
      <c r="B456" s="45"/>
      <c r="C456" s="43"/>
      <c r="D456" s="260"/>
      <c r="E456" s="261"/>
      <c r="F456" s="186"/>
      <c r="G456" s="80"/>
      <c r="H456" s="80"/>
      <c r="I456" s="185"/>
      <c r="J456" s="91"/>
      <c r="K456" s="98"/>
      <c r="L456" s="177"/>
      <c r="M456" s="177"/>
      <c r="N456" s="177"/>
      <c r="O456" s="137" t="str">
        <f t="shared" si="16"/>
        <v>-</v>
      </c>
    </row>
    <row r="457" spans="2:15" x14ac:dyDescent="0.2">
      <c r="B457" s="45"/>
      <c r="C457" s="42"/>
      <c r="D457" s="260"/>
      <c r="E457" s="261"/>
      <c r="F457" s="186"/>
      <c r="G457" s="80"/>
      <c r="H457" s="80"/>
      <c r="I457" s="185"/>
      <c r="J457" s="91"/>
      <c r="K457" s="98"/>
      <c r="L457" s="177"/>
      <c r="M457" s="177"/>
      <c r="N457" s="177"/>
      <c r="O457" s="137" t="str">
        <f t="shared" si="16"/>
        <v>-</v>
      </c>
    </row>
    <row r="458" spans="2:15" x14ac:dyDescent="0.2">
      <c r="B458" s="45"/>
      <c r="C458" s="43"/>
      <c r="D458" s="260"/>
      <c r="E458" s="261"/>
      <c r="F458" s="186"/>
      <c r="G458" s="80"/>
      <c r="H458" s="80"/>
      <c r="I458" s="185"/>
      <c r="J458" s="91"/>
      <c r="K458" s="98"/>
      <c r="L458" s="177"/>
      <c r="M458" s="177"/>
      <c r="N458" s="177"/>
      <c r="O458" s="137" t="str">
        <f t="shared" si="16"/>
        <v>-</v>
      </c>
    </row>
    <row r="459" spans="2:15" x14ac:dyDescent="0.2">
      <c r="B459" s="45"/>
      <c r="C459" s="43"/>
      <c r="D459" s="260"/>
      <c r="E459" s="261"/>
      <c r="F459" s="186"/>
      <c r="G459" s="80"/>
      <c r="H459" s="80"/>
      <c r="I459" s="185"/>
      <c r="J459" s="91"/>
      <c r="K459" s="98"/>
      <c r="L459" s="177"/>
      <c r="M459" s="177"/>
      <c r="N459" s="177"/>
      <c r="O459" s="137" t="str">
        <f t="shared" si="16"/>
        <v>-</v>
      </c>
    </row>
    <row r="460" spans="2:15" x14ac:dyDescent="0.2">
      <c r="B460" s="45"/>
      <c r="C460" s="42"/>
      <c r="D460" s="260"/>
      <c r="E460" s="261"/>
      <c r="F460" s="186"/>
      <c r="G460" s="80"/>
      <c r="H460" s="80"/>
      <c r="I460" s="185"/>
      <c r="J460" s="91"/>
      <c r="K460" s="98"/>
      <c r="L460" s="177"/>
      <c r="M460" s="177"/>
      <c r="N460" s="177"/>
      <c r="O460" s="137" t="str">
        <f t="shared" si="16"/>
        <v>-</v>
      </c>
    </row>
    <row r="461" spans="2:15" x14ac:dyDescent="0.2">
      <c r="B461" s="45"/>
      <c r="C461" s="43"/>
      <c r="D461" s="260"/>
      <c r="E461" s="261"/>
      <c r="F461" s="186"/>
      <c r="G461" s="80"/>
      <c r="H461" s="80"/>
      <c r="I461" s="185"/>
      <c r="J461" s="91"/>
      <c r="K461" s="98"/>
      <c r="L461" s="177"/>
      <c r="M461" s="177"/>
      <c r="N461" s="177"/>
      <c r="O461" s="137" t="str">
        <f t="shared" si="16"/>
        <v>-</v>
      </c>
    </row>
    <row r="462" spans="2:15" x14ac:dyDescent="0.2">
      <c r="B462" s="45"/>
      <c r="C462" s="43"/>
      <c r="D462" s="260"/>
      <c r="E462" s="261"/>
      <c r="F462" s="186"/>
      <c r="G462" s="80"/>
      <c r="H462" s="80"/>
      <c r="I462" s="185"/>
      <c r="J462" s="91"/>
      <c r="K462" s="98"/>
      <c r="L462" s="177"/>
      <c r="M462" s="177"/>
      <c r="N462" s="177"/>
      <c r="O462" s="137" t="str">
        <f t="shared" si="16"/>
        <v>-</v>
      </c>
    </row>
    <row r="463" spans="2:15" x14ac:dyDescent="0.2">
      <c r="B463" s="45"/>
      <c r="C463" s="42"/>
      <c r="D463" s="260"/>
      <c r="E463" s="261"/>
      <c r="F463" s="186"/>
      <c r="G463" s="80"/>
      <c r="H463" s="80"/>
      <c r="I463" s="185"/>
      <c r="J463" s="91"/>
      <c r="K463" s="98"/>
      <c r="L463" s="177"/>
      <c r="M463" s="177"/>
      <c r="N463" s="177"/>
      <c r="O463" s="137" t="str">
        <f t="shared" si="16"/>
        <v>-</v>
      </c>
    </row>
    <row r="464" spans="2:15" x14ac:dyDescent="0.2">
      <c r="B464" s="45"/>
      <c r="C464" s="43"/>
      <c r="D464" s="260"/>
      <c r="E464" s="261"/>
      <c r="F464" s="186"/>
      <c r="G464" s="80"/>
      <c r="H464" s="80"/>
      <c r="I464" s="185"/>
      <c r="J464" s="91"/>
      <c r="K464" s="98"/>
      <c r="L464" s="177"/>
      <c r="M464" s="177"/>
      <c r="N464" s="177"/>
      <c r="O464" s="137" t="str">
        <f t="shared" si="16"/>
        <v>-</v>
      </c>
    </row>
    <row r="465" spans="2:15" x14ac:dyDescent="0.2">
      <c r="B465" s="45"/>
      <c r="C465" s="43"/>
      <c r="D465" s="260"/>
      <c r="E465" s="261"/>
      <c r="F465" s="186"/>
      <c r="G465" s="80"/>
      <c r="H465" s="80"/>
      <c r="I465" s="185"/>
      <c r="J465" s="91"/>
      <c r="K465" s="98"/>
      <c r="L465" s="177"/>
      <c r="M465" s="177"/>
      <c r="N465" s="177"/>
      <c r="O465" s="137" t="str">
        <f t="shared" si="16"/>
        <v>-</v>
      </c>
    </row>
    <row r="466" spans="2:15" x14ac:dyDescent="0.2">
      <c r="B466" s="45"/>
      <c r="C466" s="42"/>
      <c r="D466" s="260"/>
      <c r="E466" s="261"/>
      <c r="F466" s="186"/>
      <c r="G466" s="80"/>
      <c r="H466" s="80"/>
      <c r="I466" s="185"/>
      <c r="J466" s="91"/>
      <c r="K466" s="98"/>
      <c r="L466" s="177"/>
      <c r="M466" s="177"/>
      <c r="N466" s="177"/>
      <c r="O466" s="137" t="str">
        <f t="shared" si="16"/>
        <v>-</v>
      </c>
    </row>
    <row r="467" spans="2:15" x14ac:dyDescent="0.2">
      <c r="B467" s="45"/>
      <c r="C467" s="43"/>
      <c r="D467" s="260"/>
      <c r="E467" s="261"/>
      <c r="F467" s="186"/>
      <c r="G467" s="80"/>
      <c r="H467" s="80"/>
      <c r="I467" s="185"/>
      <c r="J467" s="91"/>
      <c r="K467" s="98"/>
      <c r="L467" s="177"/>
      <c r="M467" s="177"/>
      <c r="N467" s="177"/>
      <c r="O467" s="137" t="str">
        <f t="shared" si="16"/>
        <v>-</v>
      </c>
    </row>
    <row r="468" spans="2:15" x14ac:dyDescent="0.2">
      <c r="B468" s="45"/>
      <c r="C468" s="43"/>
      <c r="D468" s="260"/>
      <c r="E468" s="261"/>
      <c r="F468" s="186"/>
      <c r="G468" s="80"/>
      <c r="H468" s="80"/>
      <c r="I468" s="185"/>
      <c r="J468" s="91"/>
      <c r="K468" s="98"/>
      <c r="L468" s="177"/>
      <c r="M468" s="177"/>
      <c r="N468" s="177"/>
      <c r="O468" s="137" t="str">
        <f t="shared" si="16"/>
        <v>-</v>
      </c>
    </row>
    <row r="469" spans="2:15" x14ac:dyDescent="0.2">
      <c r="B469" s="45"/>
      <c r="C469" s="42"/>
      <c r="D469" s="260"/>
      <c r="E469" s="261"/>
      <c r="F469" s="186"/>
      <c r="G469" s="80"/>
      <c r="H469" s="80"/>
      <c r="I469" s="185"/>
      <c r="J469" s="91"/>
      <c r="K469" s="98"/>
      <c r="L469" s="177"/>
      <c r="M469" s="177"/>
      <c r="N469" s="177"/>
      <c r="O469" s="137" t="str">
        <f t="shared" si="16"/>
        <v>-</v>
      </c>
    </row>
    <row r="470" spans="2:15" x14ac:dyDescent="0.2">
      <c r="B470" s="45"/>
      <c r="C470" s="43"/>
      <c r="D470" s="260"/>
      <c r="E470" s="261"/>
      <c r="F470" s="186"/>
      <c r="G470" s="80"/>
      <c r="H470" s="80"/>
      <c r="I470" s="185"/>
      <c r="J470" s="91"/>
      <c r="K470" s="98"/>
      <c r="L470" s="177"/>
      <c r="M470" s="177"/>
      <c r="N470" s="177"/>
      <c r="O470" s="137" t="str">
        <f t="shared" si="16"/>
        <v>-</v>
      </c>
    </row>
    <row r="471" spans="2:15" x14ac:dyDescent="0.2">
      <c r="B471" s="45"/>
      <c r="C471" s="43"/>
      <c r="D471" s="260"/>
      <c r="E471" s="261"/>
      <c r="F471" s="186"/>
      <c r="G471" s="80"/>
      <c r="H471" s="80"/>
      <c r="I471" s="185"/>
      <c r="J471" s="91"/>
      <c r="K471" s="98"/>
      <c r="L471" s="177"/>
      <c r="M471" s="177"/>
      <c r="N471" s="177"/>
      <c r="O471" s="137" t="str">
        <f t="shared" si="16"/>
        <v>-</v>
      </c>
    </row>
    <row r="472" spans="2:15" x14ac:dyDescent="0.2">
      <c r="B472" s="45"/>
      <c r="C472" s="42"/>
      <c r="D472" s="260"/>
      <c r="E472" s="261"/>
      <c r="F472" s="186"/>
      <c r="G472" s="80"/>
      <c r="H472" s="80"/>
      <c r="I472" s="185"/>
      <c r="J472" s="91"/>
      <c r="K472" s="98"/>
      <c r="L472" s="177"/>
      <c r="M472" s="177"/>
      <c r="N472" s="177"/>
      <c r="O472" s="137" t="str">
        <f t="shared" si="16"/>
        <v>-</v>
      </c>
    </row>
    <row r="473" spans="2:15" x14ac:dyDescent="0.2">
      <c r="B473" s="45"/>
      <c r="C473" s="43"/>
      <c r="D473" s="260"/>
      <c r="E473" s="261"/>
      <c r="F473" s="186"/>
      <c r="G473" s="80"/>
      <c r="H473" s="80"/>
      <c r="I473" s="185"/>
      <c r="J473" s="91"/>
      <c r="K473" s="98"/>
      <c r="L473" s="177"/>
      <c r="M473" s="177"/>
      <c r="N473" s="177"/>
      <c r="O473" s="137" t="str">
        <f t="shared" si="16"/>
        <v>-</v>
      </c>
    </row>
    <row r="474" spans="2:15" x14ac:dyDescent="0.2">
      <c r="B474" s="45"/>
      <c r="C474" s="43"/>
      <c r="D474" s="260"/>
      <c r="E474" s="261"/>
      <c r="F474" s="186"/>
      <c r="G474" s="80"/>
      <c r="H474" s="80"/>
      <c r="I474" s="185"/>
      <c r="J474" s="91"/>
      <c r="K474" s="98"/>
      <c r="L474" s="177"/>
      <c r="M474" s="177"/>
      <c r="N474" s="177"/>
      <c r="O474" s="137" t="str">
        <f t="shared" si="16"/>
        <v>-</v>
      </c>
    </row>
    <row r="475" spans="2:15" x14ac:dyDescent="0.2">
      <c r="B475" s="45"/>
      <c r="C475" s="42"/>
      <c r="D475" s="260"/>
      <c r="E475" s="261"/>
      <c r="F475" s="186"/>
      <c r="G475" s="80"/>
      <c r="H475" s="80"/>
      <c r="I475" s="185"/>
      <c r="J475" s="91"/>
      <c r="K475" s="98"/>
      <c r="L475" s="177"/>
      <c r="M475" s="177"/>
      <c r="N475" s="177"/>
      <c r="O475" s="137" t="str">
        <f t="shared" si="16"/>
        <v>-</v>
      </c>
    </row>
    <row r="476" spans="2:15" x14ac:dyDescent="0.2">
      <c r="B476" s="45"/>
      <c r="C476" s="43"/>
      <c r="D476" s="260"/>
      <c r="E476" s="261"/>
      <c r="F476" s="186"/>
      <c r="G476" s="80"/>
      <c r="H476" s="80"/>
      <c r="I476" s="185"/>
      <c r="J476" s="91"/>
      <c r="K476" s="98"/>
      <c r="L476" s="177"/>
      <c r="M476" s="177"/>
      <c r="N476" s="177"/>
      <c r="O476" s="137" t="str">
        <f t="shared" si="16"/>
        <v>-</v>
      </c>
    </row>
    <row r="477" spans="2:15" x14ac:dyDescent="0.2">
      <c r="B477" s="45"/>
      <c r="C477" s="43"/>
      <c r="D477" s="260"/>
      <c r="E477" s="261"/>
      <c r="F477" s="186"/>
      <c r="G477" s="80"/>
      <c r="H477" s="80"/>
      <c r="I477" s="185"/>
      <c r="J477" s="91"/>
      <c r="K477" s="98"/>
      <c r="L477" s="177"/>
      <c r="M477" s="177"/>
      <c r="N477" s="177"/>
      <c r="O477" s="137" t="str">
        <f t="shared" si="16"/>
        <v>-</v>
      </c>
    </row>
    <row r="478" spans="2:15" x14ac:dyDescent="0.2">
      <c r="B478" s="45"/>
      <c r="C478" s="42"/>
      <c r="D478" s="260"/>
      <c r="E478" s="261"/>
      <c r="F478" s="186"/>
      <c r="G478" s="80"/>
      <c r="H478" s="80"/>
      <c r="I478" s="185"/>
      <c r="J478" s="91"/>
      <c r="K478" s="98"/>
      <c r="L478" s="177"/>
      <c r="M478" s="177"/>
      <c r="N478" s="177"/>
      <c r="O478" s="137" t="str">
        <f t="shared" si="16"/>
        <v>-</v>
      </c>
    </row>
    <row r="479" spans="2:15" x14ac:dyDescent="0.2">
      <c r="B479" s="45"/>
      <c r="C479" s="43"/>
      <c r="D479" s="260"/>
      <c r="E479" s="261"/>
      <c r="F479" s="186"/>
      <c r="G479" s="80"/>
      <c r="H479" s="80"/>
      <c r="I479" s="185"/>
      <c r="J479" s="91"/>
      <c r="K479" s="98"/>
      <c r="L479" s="177"/>
      <c r="M479" s="177"/>
      <c r="N479" s="177"/>
      <c r="O479" s="137" t="str">
        <f t="shared" si="16"/>
        <v>-</v>
      </c>
    </row>
    <row r="480" spans="2:15" x14ac:dyDescent="0.2">
      <c r="B480" s="45"/>
      <c r="C480" s="43"/>
      <c r="D480" s="260"/>
      <c r="E480" s="261"/>
      <c r="F480" s="186"/>
      <c r="G480" s="80"/>
      <c r="H480" s="80"/>
      <c r="I480" s="185"/>
      <c r="J480" s="91"/>
      <c r="K480" s="98"/>
      <c r="L480" s="177"/>
      <c r="M480" s="177"/>
      <c r="N480" s="177"/>
      <c r="O480" s="137" t="str">
        <f t="shared" si="16"/>
        <v>-</v>
      </c>
    </row>
    <row r="481" spans="2:15" x14ac:dyDescent="0.2">
      <c r="B481" s="45"/>
      <c r="C481" s="42"/>
      <c r="D481" s="260"/>
      <c r="E481" s="261"/>
      <c r="F481" s="186"/>
      <c r="G481" s="80"/>
      <c r="H481" s="80"/>
      <c r="I481" s="185"/>
      <c r="J481" s="91"/>
      <c r="K481" s="98"/>
      <c r="L481" s="177"/>
      <c r="M481" s="177"/>
      <c r="N481" s="177"/>
      <c r="O481" s="137" t="str">
        <f t="shared" si="16"/>
        <v>-</v>
      </c>
    </row>
    <row r="482" spans="2:15" x14ac:dyDescent="0.2">
      <c r="B482" s="45"/>
      <c r="C482" s="43"/>
      <c r="D482" s="260"/>
      <c r="E482" s="261"/>
      <c r="F482" s="186"/>
      <c r="G482" s="80"/>
      <c r="H482" s="80"/>
      <c r="I482" s="185"/>
      <c r="J482" s="91"/>
      <c r="K482" s="98"/>
      <c r="L482" s="177"/>
      <c r="M482" s="177"/>
      <c r="N482" s="177"/>
      <c r="O482" s="137" t="str">
        <f t="shared" si="16"/>
        <v>-</v>
      </c>
    </row>
    <row r="483" spans="2:15" x14ac:dyDescent="0.2">
      <c r="B483" s="45"/>
      <c r="C483" s="43"/>
      <c r="D483" s="260"/>
      <c r="E483" s="261"/>
      <c r="F483" s="186"/>
      <c r="G483" s="80"/>
      <c r="H483" s="80"/>
      <c r="I483" s="185"/>
      <c r="J483" s="91"/>
      <c r="K483" s="98"/>
      <c r="L483" s="177"/>
      <c r="M483" s="177"/>
      <c r="N483" s="177"/>
      <c r="O483" s="137" t="str">
        <f t="shared" si="16"/>
        <v>-</v>
      </c>
    </row>
    <row r="484" spans="2:15" x14ac:dyDescent="0.2">
      <c r="B484" s="45"/>
      <c r="C484" s="42"/>
      <c r="D484" s="260"/>
      <c r="E484" s="261"/>
      <c r="F484" s="186"/>
      <c r="G484" s="80"/>
      <c r="H484" s="80"/>
      <c r="I484" s="185"/>
      <c r="J484" s="91"/>
      <c r="K484" s="98"/>
      <c r="L484" s="177"/>
      <c r="M484" s="177"/>
      <c r="N484" s="177"/>
      <c r="O484" s="137" t="str">
        <f t="shared" si="16"/>
        <v>-</v>
      </c>
    </row>
    <row r="485" spans="2:15" x14ac:dyDescent="0.2">
      <c r="B485" s="45"/>
      <c r="C485" s="43"/>
      <c r="D485" s="260"/>
      <c r="E485" s="261"/>
      <c r="F485" s="186"/>
      <c r="G485" s="80"/>
      <c r="H485" s="80"/>
      <c r="I485" s="185"/>
      <c r="J485" s="91"/>
      <c r="K485" s="98"/>
      <c r="L485" s="177"/>
      <c r="M485" s="177"/>
      <c r="N485" s="177"/>
      <c r="O485" s="137" t="str">
        <f t="shared" si="16"/>
        <v>-</v>
      </c>
    </row>
    <row r="486" spans="2:15" x14ac:dyDescent="0.2">
      <c r="B486" s="45"/>
      <c r="C486" s="43"/>
      <c r="D486" s="260"/>
      <c r="E486" s="261"/>
      <c r="F486" s="186"/>
      <c r="G486" s="80"/>
      <c r="H486" s="80"/>
      <c r="I486" s="185"/>
      <c r="J486" s="91"/>
      <c r="K486" s="98"/>
      <c r="L486" s="177"/>
      <c r="M486" s="177"/>
      <c r="N486" s="177"/>
      <c r="O486" s="137" t="str">
        <f t="shared" si="16"/>
        <v>-</v>
      </c>
    </row>
    <row r="487" spans="2:15" x14ac:dyDescent="0.2">
      <c r="B487" s="45"/>
      <c r="C487" s="42"/>
      <c r="D487" s="260"/>
      <c r="E487" s="261"/>
      <c r="F487" s="186"/>
      <c r="G487" s="80"/>
      <c r="H487" s="80"/>
      <c r="I487" s="185"/>
      <c r="J487" s="91"/>
      <c r="K487" s="98"/>
      <c r="L487" s="177"/>
      <c r="M487" s="177"/>
      <c r="N487" s="177"/>
      <c r="O487" s="137" t="str">
        <f t="shared" si="16"/>
        <v>-</v>
      </c>
    </row>
    <row r="488" spans="2:15" x14ac:dyDescent="0.2">
      <c r="B488" s="45"/>
      <c r="C488" s="43"/>
      <c r="D488" s="260"/>
      <c r="E488" s="261"/>
      <c r="F488" s="186"/>
      <c r="G488" s="80"/>
      <c r="H488" s="80"/>
      <c r="I488" s="185"/>
      <c r="J488" s="91"/>
      <c r="K488" s="98"/>
      <c r="L488" s="177"/>
      <c r="M488" s="177"/>
      <c r="N488" s="177"/>
      <c r="O488" s="137" t="str">
        <f t="shared" si="16"/>
        <v>-</v>
      </c>
    </row>
    <row r="489" spans="2:15" x14ac:dyDescent="0.2">
      <c r="B489" s="45"/>
      <c r="C489" s="43"/>
      <c r="D489" s="260"/>
      <c r="E489" s="261"/>
      <c r="F489" s="186"/>
      <c r="G489" s="80"/>
      <c r="H489" s="80"/>
      <c r="I489" s="185"/>
      <c r="J489" s="91"/>
      <c r="K489" s="98"/>
      <c r="L489" s="177"/>
      <c r="M489" s="177"/>
      <c r="N489" s="177"/>
      <c r="O489" s="137" t="str">
        <f t="shared" si="16"/>
        <v>-</v>
      </c>
    </row>
    <row r="490" spans="2:15" x14ac:dyDescent="0.2">
      <c r="B490" s="45"/>
      <c r="C490" s="42"/>
      <c r="D490" s="260"/>
      <c r="E490" s="261"/>
      <c r="F490" s="186"/>
      <c r="G490" s="80"/>
      <c r="H490" s="80"/>
      <c r="I490" s="185"/>
      <c r="J490" s="91"/>
      <c r="K490" s="98"/>
      <c r="L490" s="177"/>
      <c r="M490" s="177"/>
      <c r="N490" s="177"/>
      <c r="O490" s="137" t="str">
        <f t="shared" si="16"/>
        <v>-</v>
      </c>
    </row>
    <row r="491" spans="2:15" x14ac:dyDescent="0.2">
      <c r="B491" s="45"/>
      <c r="C491" s="43"/>
      <c r="D491" s="260"/>
      <c r="E491" s="261"/>
      <c r="F491" s="186"/>
      <c r="G491" s="80"/>
      <c r="H491" s="80"/>
      <c r="I491" s="185"/>
      <c r="J491" s="91"/>
      <c r="K491" s="98"/>
      <c r="L491" s="177"/>
      <c r="M491" s="177"/>
      <c r="N491" s="177"/>
      <c r="O491" s="137" t="str">
        <f t="shared" si="16"/>
        <v>-</v>
      </c>
    </row>
    <row r="492" spans="2:15" x14ac:dyDescent="0.2">
      <c r="B492" s="45"/>
      <c r="C492" s="43"/>
      <c r="D492" s="260"/>
      <c r="E492" s="261"/>
      <c r="F492" s="186"/>
      <c r="G492" s="80"/>
      <c r="H492" s="80"/>
      <c r="I492" s="185"/>
      <c r="J492" s="91"/>
      <c r="K492" s="98"/>
      <c r="L492" s="177"/>
      <c r="M492" s="177"/>
      <c r="N492" s="177"/>
      <c r="O492" s="137" t="str">
        <f t="shared" si="16"/>
        <v>-</v>
      </c>
    </row>
    <row r="493" spans="2:15" x14ac:dyDescent="0.2">
      <c r="B493" s="45"/>
      <c r="C493" s="42"/>
      <c r="D493" s="260"/>
      <c r="E493" s="261"/>
      <c r="F493" s="186"/>
      <c r="G493" s="80"/>
      <c r="H493" s="80"/>
      <c r="I493" s="185"/>
      <c r="J493" s="91"/>
      <c r="K493" s="98"/>
      <c r="L493" s="177"/>
      <c r="M493" s="177"/>
      <c r="N493" s="177"/>
      <c r="O493" s="137" t="str">
        <f t="shared" si="16"/>
        <v>-</v>
      </c>
    </row>
    <row r="494" spans="2:15" x14ac:dyDescent="0.2">
      <c r="B494" s="45"/>
      <c r="C494" s="43"/>
      <c r="D494" s="260"/>
      <c r="E494" s="261"/>
      <c r="F494" s="186"/>
      <c r="G494" s="80"/>
      <c r="H494" s="80"/>
      <c r="I494" s="185"/>
      <c r="J494" s="91"/>
      <c r="K494" s="98"/>
      <c r="L494" s="177"/>
      <c r="M494" s="177"/>
      <c r="N494" s="177"/>
      <c r="O494" s="137" t="str">
        <f t="shared" si="16"/>
        <v>-</v>
      </c>
    </row>
    <row r="495" spans="2:15" x14ac:dyDescent="0.2">
      <c r="B495" s="45"/>
      <c r="C495" s="43"/>
      <c r="D495" s="260"/>
      <c r="E495" s="261"/>
      <c r="F495" s="186"/>
      <c r="G495" s="80"/>
      <c r="H495" s="80"/>
      <c r="I495" s="185"/>
      <c r="J495" s="91"/>
      <c r="K495" s="98"/>
      <c r="L495" s="177"/>
      <c r="M495" s="177"/>
      <c r="N495" s="177"/>
      <c r="O495" s="137" t="str">
        <f t="shared" si="16"/>
        <v>-</v>
      </c>
    </row>
    <row r="496" spans="2:15" x14ac:dyDescent="0.2">
      <c r="B496" s="45"/>
      <c r="C496" s="42"/>
      <c r="D496" s="260"/>
      <c r="E496" s="261"/>
      <c r="F496" s="186"/>
      <c r="G496" s="80"/>
      <c r="H496" s="80"/>
      <c r="I496" s="185"/>
      <c r="J496" s="91"/>
      <c r="K496" s="98"/>
      <c r="L496" s="177"/>
      <c r="M496" s="177"/>
      <c r="N496" s="177"/>
      <c r="O496" s="137" t="str">
        <f t="shared" si="16"/>
        <v>-</v>
      </c>
    </row>
    <row r="497" spans="2:15" x14ac:dyDescent="0.2">
      <c r="B497" s="45"/>
      <c r="C497" s="43"/>
      <c r="D497" s="260"/>
      <c r="E497" s="261"/>
      <c r="F497" s="186"/>
      <c r="G497" s="80"/>
      <c r="H497" s="80"/>
      <c r="I497" s="185"/>
      <c r="J497" s="91"/>
      <c r="K497" s="98"/>
      <c r="L497" s="177"/>
      <c r="M497" s="177"/>
      <c r="N497" s="177"/>
      <c r="O497" s="137" t="str">
        <f t="shared" si="16"/>
        <v>-</v>
      </c>
    </row>
    <row r="498" spans="2:15" x14ac:dyDescent="0.2">
      <c r="B498" s="45"/>
      <c r="C498" s="43"/>
      <c r="D498" s="260"/>
      <c r="E498" s="261"/>
      <c r="F498" s="186"/>
      <c r="G498" s="80"/>
      <c r="H498" s="80"/>
      <c r="I498" s="185"/>
      <c r="J498" s="91"/>
      <c r="K498" s="98"/>
      <c r="L498" s="177"/>
      <c r="M498" s="177"/>
      <c r="N498" s="177"/>
      <c r="O498" s="137" t="str">
        <f t="shared" si="16"/>
        <v>-</v>
      </c>
    </row>
    <row r="499" spans="2:15" x14ac:dyDescent="0.2">
      <c r="B499" s="45"/>
      <c r="C499" s="42"/>
      <c r="D499" s="260"/>
      <c r="E499" s="261"/>
      <c r="F499" s="186"/>
      <c r="G499" s="80"/>
      <c r="H499" s="80"/>
      <c r="I499" s="185"/>
      <c r="J499" s="91"/>
      <c r="K499" s="98"/>
      <c r="L499" s="177"/>
      <c r="M499" s="177"/>
      <c r="N499" s="177"/>
      <c r="O499" s="137" t="str">
        <f t="shared" si="16"/>
        <v>-</v>
      </c>
    </row>
    <row r="500" spans="2:15" x14ac:dyDescent="0.2">
      <c r="B500" s="45"/>
      <c r="C500" s="43"/>
      <c r="D500" s="260"/>
      <c r="E500" s="261"/>
      <c r="F500" s="186"/>
      <c r="G500" s="80"/>
      <c r="H500" s="80"/>
      <c r="I500" s="185"/>
      <c r="J500" s="91"/>
      <c r="K500" s="98"/>
      <c r="L500" s="177"/>
      <c r="M500" s="177"/>
      <c r="N500" s="177"/>
      <c r="O500" s="137" t="str">
        <f t="shared" si="16"/>
        <v>-</v>
      </c>
    </row>
    <row r="501" spans="2:15" x14ac:dyDescent="0.2">
      <c r="B501" s="45"/>
      <c r="C501" s="43"/>
      <c r="D501" s="260"/>
      <c r="E501" s="261"/>
      <c r="F501" s="186"/>
      <c r="G501" s="80"/>
      <c r="H501" s="80"/>
      <c r="I501" s="185"/>
      <c r="J501" s="91"/>
      <c r="K501" s="98"/>
      <c r="L501" s="177"/>
      <c r="M501" s="177"/>
      <c r="N501" s="177"/>
      <c r="O501" s="137" t="str">
        <f t="shared" si="16"/>
        <v>-</v>
      </c>
    </row>
    <row r="502" spans="2:15" x14ac:dyDescent="0.2">
      <c r="B502" s="45"/>
      <c r="C502" s="42"/>
      <c r="D502" s="260"/>
      <c r="E502" s="261"/>
      <c r="F502" s="186"/>
      <c r="G502" s="80"/>
      <c r="H502" s="80"/>
      <c r="I502" s="185"/>
      <c r="J502" s="91"/>
      <c r="K502" s="98"/>
      <c r="L502" s="177"/>
      <c r="M502" s="177"/>
      <c r="N502" s="177"/>
      <c r="O502" s="137" t="str">
        <f t="shared" si="16"/>
        <v>-</v>
      </c>
    </row>
    <row r="503" spans="2:15" x14ac:dyDescent="0.2">
      <c r="B503" s="45"/>
      <c r="C503" s="43"/>
      <c r="D503" s="260"/>
      <c r="E503" s="261"/>
      <c r="F503" s="186"/>
      <c r="G503" s="80"/>
      <c r="H503" s="80"/>
      <c r="I503" s="185"/>
      <c r="J503" s="91"/>
      <c r="K503" s="98"/>
      <c r="L503" s="177"/>
      <c r="M503" s="177"/>
      <c r="N503" s="177"/>
      <c r="O503" s="137" t="str">
        <f t="shared" si="16"/>
        <v>-</v>
      </c>
    </row>
    <row r="504" spans="2:15" x14ac:dyDescent="0.2">
      <c r="B504" s="45"/>
      <c r="C504" s="43"/>
      <c r="D504" s="260"/>
      <c r="E504" s="261"/>
      <c r="F504" s="186"/>
      <c r="G504" s="80"/>
      <c r="H504" s="80"/>
      <c r="I504" s="185"/>
      <c r="J504" s="91"/>
      <c r="K504" s="98"/>
      <c r="L504" s="177"/>
      <c r="M504" s="177"/>
      <c r="N504" s="177"/>
      <c r="O504" s="137" t="str">
        <f t="shared" si="16"/>
        <v>-</v>
      </c>
    </row>
    <row r="505" spans="2:15" x14ac:dyDescent="0.2">
      <c r="B505" s="45"/>
      <c r="C505" s="42"/>
      <c r="D505" s="260"/>
      <c r="E505" s="261"/>
      <c r="F505" s="186"/>
      <c r="G505" s="80"/>
      <c r="H505" s="80"/>
      <c r="I505" s="185"/>
      <c r="J505" s="91"/>
      <c r="K505" s="98"/>
      <c r="L505" s="177"/>
      <c r="M505" s="177"/>
      <c r="N505" s="177"/>
      <c r="O505" s="137" t="str">
        <f t="shared" si="16"/>
        <v>-</v>
      </c>
    </row>
    <row r="506" spans="2:15" x14ac:dyDescent="0.2">
      <c r="B506" s="45"/>
      <c r="C506" s="43"/>
      <c r="D506" s="260"/>
      <c r="E506" s="261"/>
      <c r="F506" s="186"/>
      <c r="G506" s="80"/>
      <c r="H506" s="80"/>
      <c r="I506" s="185"/>
      <c r="J506" s="91"/>
      <c r="K506" s="98"/>
      <c r="L506" s="177"/>
      <c r="M506" s="177"/>
      <c r="N506" s="177"/>
      <c r="O506" s="137" t="str">
        <f t="shared" si="16"/>
        <v>-</v>
      </c>
    </row>
    <row r="507" spans="2:15" x14ac:dyDescent="0.2">
      <c r="B507" s="45"/>
      <c r="C507" s="43"/>
      <c r="D507" s="260"/>
      <c r="E507" s="261"/>
      <c r="F507" s="186"/>
      <c r="G507" s="80"/>
      <c r="H507" s="80"/>
      <c r="I507" s="185"/>
      <c r="J507" s="91"/>
      <c r="K507" s="98"/>
      <c r="L507" s="177"/>
      <c r="M507" s="177"/>
      <c r="N507" s="177"/>
      <c r="O507" s="137" t="str">
        <f t="shared" si="16"/>
        <v>-</v>
      </c>
    </row>
    <row r="508" spans="2:15" x14ac:dyDescent="0.2">
      <c r="B508" s="45"/>
      <c r="C508" s="42"/>
      <c r="D508" s="260"/>
      <c r="E508" s="261"/>
      <c r="F508" s="186"/>
      <c r="G508" s="80"/>
      <c r="H508" s="80"/>
      <c r="I508" s="185"/>
      <c r="J508" s="91"/>
      <c r="K508" s="98"/>
      <c r="L508" s="177"/>
      <c r="M508" s="177"/>
      <c r="N508" s="177"/>
      <c r="O508" s="137" t="str">
        <f t="shared" si="16"/>
        <v>-</v>
      </c>
    </row>
    <row r="509" spans="2:15" x14ac:dyDescent="0.2">
      <c r="B509" s="45"/>
      <c r="C509" s="43"/>
      <c r="D509" s="260"/>
      <c r="E509" s="261"/>
      <c r="F509" s="186"/>
      <c r="G509" s="80"/>
      <c r="H509" s="80"/>
      <c r="I509" s="185"/>
      <c r="J509" s="91"/>
      <c r="K509" s="98"/>
      <c r="L509" s="177"/>
      <c r="M509" s="177"/>
      <c r="N509" s="177"/>
      <c r="O509" s="137" t="str">
        <f t="shared" si="16"/>
        <v>-</v>
      </c>
    </row>
    <row r="510" spans="2:15" x14ac:dyDescent="0.2">
      <c r="B510" s="45"/>
      <c r="C510" s="43"/>
      <c r="D510" s="260"/>
      <c r="E510" s="261"/>
      <c r="F510" s="186"/>
      <c r="G510" s="80"/>
      <c r="H510" s="80"/>
      <c r="I510" s="185"/>
      <c r="J510" s="91"/>
      <c r="K510" s="98"/>
      <c r="L510" s="177"/>
      <c r="M510" s="177"/>
      <c r="N510" s="177"/>
      <c r="O510" s="137" t="str">
        <f t="shared" si="16"/>
        <v>-</v>
      </c>
    </row>
    <row r="511" spans="2:15" x14ac:dyDescent="0.2">
      <c r="B511" s="45"/>
      <c r="C511" s="42"/>
      <c r="D511" s="260"/>
      <c r="E511" s="261"/>
      <c r="F511" s="186"/>
      <c r="G511" s="80"/>
      <c r="H511" s="80"/>
      <c r="I511" s="185"/>
      <c r="J511" s="91"/>
      <c r="K511" s="98"/>
      <c r="L511" s="177"/>
      <c r="M511" s="177"/>
      <c r="N511" s="177"/>
      <c r="O511" s="137" t="str">
        <f t="shared" si="16"/>
        <v>-</v>
      </c>
    </row>
    <row r="512" spans="2:15" x14ac:dyDescent="0.2">
      <c r="B512" s="45"/>
      <c r="C512" s="43"/>
      <c r="D512" s="260"/>
      <c r="E512" s="261"/>
      <c r="F512" s="186"/>
      <c r="G512" s="80"/>
      <c r="H512" s="80"/>
      <c r="I512" s="185"/>
      <c r="J512" s="91"/>
      <c r="K512" s="98"/>
      <c r="L512" s="177"/>
      <c r="M512" s="177"/>
      <c r="N512" s="177"/>
      <c r="O512" s="137" t="str">
        <f t="shared" si="16"/>
        <v>-</v>
      </c>
    </row>
    <row r="513" spans="2:15" x14ac:dyDescent="0.2">
      <c r="B513" s="45"/>
      <c r="C513" s="43"/>
      <c r="D513" s="260"/>
      <c r="E513" s="261"/>
      <c r="F513" s="186"/>
      <c r="G513" s="80"/>
      <c r="H513" s="80"/>
      <c r="I513" s="185"/>
      <c r="J513" s="91"/>
      <c r="K513" s="98"/>
      <c r="L513" s="177"/>
      <c r="M513" s="177"/>
      <c r="N513" s="177"/>
      <c r="O513" s="137" t="str">
        <f t="shared" ref="O513:O576" si="17">IF(G512="","-",IF(J512="","",J512))</f>
        <v>-</v>
      </c>
    </row>
    <row r="514" spans="2:15" x14ac:dyDescent="0.2">
      <c r="B514" s="45"/>
      <c r="C514" s="42"/>
      <c r="D514" s="260"/>
      <c r="E514" s="261"/>
      <c r="F514" s="186"/>
      <c r="G514" s="80"/>
      <c r="H514" s="80"/>
      <c r="I514" s="185"/>
      <c r="J514" s="91"/>
      <c r="K514" s="98"/>
      <c r="L514" s="177"/>
      <c r="M514" s="177"/>
      <c r="N514" s="177"/>
      <c r="O514" s="137" t="str">
        <f t="shared" si="17"/>
        <v>-</v>
      </c>
    </row>
    <row r="515" spans="2:15" x14ac:dyDescent="0.2">
      <c r="B515" s="45"/>
      <c r="C515" s="43"/>
      <c r="D515" s="260"/>
      <c r="E515" s="261"/>
      <c r="F515" s="186"/>
      <c r="G515" s="80"/>
      <c r="H515" s="80"/>
      <c r="I515" s="185"/>
      <c r="J515" s="91"/>
      <c r="K515" s="98"/>
      <c r="L515" s="177"/>
      <c r="M515" s="177"/>
      <c r="N515" s="177"/>
      <c r="O515" s="137" t="str">
        <f t="shared" si="17"/>
        <v>-</v>
      </c>
    </row>
    <row r="516" spans="2:15" x14ac:dyDescent="0.2">
      <c r="B516" s="45"/>
      <c r="C516" s="43"/>
      <c r="D516" s="260"/>
      <c r="E516" s="261"/>
      <c r="F516" s="186"/>
      <c r="G516" s="80"/>
      <c r="H516" s="80"/>
      <c r="I516" s="185"/>
      <c r="J516" s="91"/>
      <c r="K516" s="98"/>
      <c r="L516" s="177"/>
      <c r="M516" s="177"/>
      <c r="N516" s="177"/>
      <c r="O516" s="137" t="str">
        <f t="shared" si="17"/>
        <v>-</v>
      </c>
    </row>
    <row r="517" spans="2:15" x14ac:dyDescent="0.2">
      <c r="B517" s="45"/>
      <c r="C517" s="42"/>
      <c r="D517" s="260"/>
      <c r="E517" s="261"/>
      <c r="F517" s="186"/>
      <c r="G517" s="80"/>
      <c r="H517" s="80"/>
      <c r="I517" s="185"/>
      <c r="J517" s="91"/>
      <c r="K517" s="98"/>
      <c r="L517" s="177"/>
      <c r="M517" s="177"/>
      <c r="N517" s="177"/>
      <c r="O517" s="137" t="str">
        <f t="shared" si="17"/>
        <v>-</v>
      </c>
    </row>
    <row r="518" spans="2:15" x14ac:dyDescent="0.2">
      <c r="B518" s="45"/>
      <c r="C518" s="43"/>
      <c r="D518" s="260"/>
      <c r="E518" s="261"/>
      <c r="F518" s="186"/>
      <c r="G518" s="80"/>
      <c r="H518" s="80"/>
      <c r="I518" s="185"/>
      <c r="J518" s="91"/>
      <c r="K518" s="98"/>
      <c r="L518" s="177"/>
      <c r="M518" s="177"/>
      <c r="N518" s="177"/>
      <c r="O518" s="137" t="str">
        <f t="shared" si="17"/>
        <v>-</v>
      </c>
    </row>
    <row r="519" spans="2:15" x14ac:dyDescent="0.2">
      <c r="B519" s="45"/>
      <c r="C519" s="43"/>
      <c r="D519" s="260"/>
      <c r="E519" s="261"/>
      <c r="F519" s="186"/>
      <c r="G519" s="80"/>
      <c r="H519" s="80"/>
      <c r="I519" s="185"/>
      <c r="J519" s="91"/>
      <c r="K519" s="98"/>
      <c r="L519" s="177"/>
      <c r="M519" s="177"/>
      <c r="N519" s="177"/>
      <c r="O519" s="137" t="str">
        <f t="shared" si="17"/>
        <v>-</v>
      </c>
    </row>
    <row r="520" spans="2:15" x14ac:dyDescent="0.2">
      <c r="B520" s="45"/>
      <c r="C520" s="42"/>
      <c r="D520" s="260"/>
      <c r="E520" s="261"/>
      <c r="F520" s="186"/>
      <c r="G520" s="80"/>
      <c r="H520" s="80"/>
      <c r="I520" s="185"/>
      <c r="J520" s="91"/>
      <c r="K520" s="98"/>
      <c r="L520" s="177"/>
      <c r="M520" s="177"/>
      <c r="N520" s="177"/>
      <c r="O520" s="137" t="str">
        <f t="shared" si="17"/>
        <v>-</v>
      </c>
    </row>
    <row r="521" spans="2:15" x14ac:dyDescent="0.2">
      <c r="B521" s="45"/>
      <c r="C521" s="43"/>
      <c r="D521" s="260"/>
      <c r="E521" s="261"/>
      <c r="F521" s="186"/>
      <c r="G521" s="80"/>
      <c r="H521" s="80"/>
      <c r="I521" s="185"/>
      <c r="J521" s="91"/>
      <c r="K521" s="98"/>
      <c r="L521" s="177"/>
      <c r="M521" s="177"/>
      <c r="N521" s="177"/>
      <c r="O521" s="137" t="str">
        <f t="shared" si="17"/>
        <v>-</v>
      </c>
    </row>
    <row r="522" spans="2:15" x14ac:dyDescent="0.2">
      <c r="B522" s="45"/>
      <c r="C522" s="43"/>
      <c r="D522" s="260"/>
      <c r="E522" s="261"/>
      <c r="F522" s="186"/>
      <c r="G522" s="80"/>
      <c r="H522" s="80"/>
      <c r="I522" s="185"/>
      <c r="J522" s="91"/>
      <c r="K522" s="98"/>
      <c r="L522" s="177"/>
      <c r="M522" s="177"/>
      <c r="N522" s="177"/>
      <c r="O522" s="137" t="str">
        <f t="shared" si="17"/>
        <v>-</v>
      </c>
    </row>
    <row r="523" spans="2:15" x14ac:dyDescent="0.2">
      <c r="B523" s="45"/>
      <c r="C523" s="42"/>
      <c r="D523" s="260"/>
      <c r="E523" s="261"/>
      <c r="F523" s="186"/>
      <c r="G523" s="80"/>
      <c r="H523" s="80"/>
      <c r="I523" s="185"/>
      <c r="J523" s="91"/>
      <c r="K523" s="98"/>
      <c r="L523" s="177"/>
      <c r="M523" s="177"/>
      <c r="N523" s="177"/>
      <c r="O523" s="137" t="str">
        <f t="shared" si="17"/>
        <v>-</v>
      </c>
    </row>
    <row r="524" spans="2:15" x14ac:dyDescent="0.2">
      <c r="B524" s="45"/>
      <c r="C524" s="43"/>
      <c r="D524" s="260"/>
      <c r="E524" s="261"/>
      <c r="F524" s="186"/>
      <c r="G524" s="80"/>
      <c r="H524" s="80"/>
      <c r="I524" s="185"/>
      <c r="J524" s="91"/>
      <c r="K524" s="98"/>
      <c r="L524" s="177"/>
      <c r="M524" s="177"/>
      <c r="N524" s="177"/>
      <c r="O524" s="137" t="str">
        <f t="shared" si="17"/>
        <v>-</v>
      </c>
    </row>
    <row r="525" spans="2:15" x14ac:dyDescent="0.2">
      <c r="B525" s="45"/>
      <c r="C525" s="43"/>
      <c r="D525" s="260"/>
      <c r="E525" s="261"/>
      <c r="F525" s="186"/>
      <c r="G525" s="80"/>
      <c r="H525" s="80"/>
      <c r="I525" s="185"/>
      <c r="J525" s="91"/>
      <c r="K525" s="98"/>
      <c r="L525" s="177"/>
      <c r="M525" s="177"/>
      <c r="N525" s="177"/>
      <c r="O525" s="137" t="str">
        <f t="shared" si="17"/>
        <v>-</v>
      </c>
    </row>
    <row r="526" spans="2:15" x14ac:dyDescent="0.2">
      <c r="B526" s="45"/>
      <c r="C526" s="42"/>
      <c r="D526" s="260"/>
      <c r="E526" s="261"/>
      <c r="F526" s="186"/>
      <c r="G526" s="80"/>
      <c r="H526" s="80"/>
      <c r="I526" s="185"/>
      <c r="J526" s="91"/>
      <c r="K526" s="98"/>
      <c r="L526" s="177"/>
      <c r="M526" s="177"/>
      <c r="N526" s="177"/>
      <c r="O526" s="137" t="str">
        <f t="shared" si="17"/>
        <v>-</v>
      </c>
    </row>
    <row r="527" spans="2:15" x14ac:dyDescent="0.2">
      <c r="B527" s="45"/>
      <c r="C527" s="43"/>
      <c r="D527" s="260"/>
      <c r="E527" s="261"/>
      <c r="F527" s="186"/>
      <c r="G527" s="80"/>
      <c r="H527" s="80"/>
      <c r="I527" s="185"/>
      <c r="J527" s="91"/>
      <c r="K527" s="98"/>
      <c r="L527" s="177"/>
      <c r="M527" s="177"/>
      <c r="N527" s="177"/>
      <c r="O527" s="137" t="str">
        <f t="shared" si="17"/>
        <v>-</v>
      </c>
    </row>
    <row r="528" spans="2:15" x14ac:dyDescent="0.2">
      <c r="B528" s="45"/>
      <c r="C528" s="43"/>
      <c r="D528" s="260"/>
      <c r="E528" s="261"/>
      <c r="F528" s="186"/>
      <c r="G528" s="80"/>
      <c r="H528" s="80"/>
      <c r="I528" s="185"/>
      <c r="J528" s="91"/>
      <c r="K528" s="98"/>
      <c r="L528" s="177"/>
      <c r="M528" s="177"/>
      <c r="N528" s="177"/>
      <c r="O528" s="137" t="str">
        <f t="shared" si="17"/>
        <v>-</v>
      </c>
    </row>
    <row r="529" spans="2:15" x14ac:dyDescent="0.2">
      <c r="B529" s="45"/>
      <c r="C529" s="42"/>
      <c r="D529" s="260"/>
      <c r="E529" s="261"/>
      <c r="F529" s="186"/>
      <c r="G529" s="80"/>
      <c r="H529" s="80"/>
      <c r="I529" s="185"/>
      <c r="J529" s="91"/>
      <c r="K529" s="98"/>
      <c r="L529" s="177"/>
      <c r="M529" s="177"/>
      <c r="N529" s="177"/>
      <c r="O529" s="137" t="str">
        <f t="shared" si="17"/>
        <v>-</v>
      </c>
    </row>
    <row r="530" spans="2:15" x14ac:dyDescent="0.2">
      <c r="B530" s="45"/>
      <c r="C530" s="43"/>
      <c r="D530" s="260"/>
      <c r="E530" s="261"/>
      <c r="F530" s="186"/>
      <c r="G530" s="80"/>
      <c r="H530" s="80"/>
      <c r="I530" s="185"/>
      <c r="J530" s="91"/>
      <c r="K530" s="98"/>
      <c r="L530" s="177"/>
      <c r="M530" s="177"/>
      <c r="N530" s="177"/>
      <c r="O530" s="137" t="str">
        <f t="shared" si="17"/>
        <v>-</v>
      </c>
    </row>
    <row r="531" spans="2:15" x14ac:dyDescent="0.2">
      <c r="B531" s="45"/>
      <c r="C531" s="43"/>
      <c r="D531" s="260"/>
      <c r="E531" s="261"/>
      <c r="F531" s="186"/>
      <c r="G531" s="80"/>
      <c r="H531" s="80"/>
      <c r="I531" s="185"/>
      <c r="J531" s="91"/>
      <c r="K531" s="98"/>
      <c r="L531" s="177"/>
      <c r="M531" s="177"/>
      <c r="N531" s="177"/>
      <c r="O531" s="137" t="str">
        <f t="shared" si="17"/>
        <v>-</v>
      </c>
    </row>
    <row r="532" spans="2:15" x14ac:dyDescent="0.2">
      <c r="B532" s="45"/>
      <c r="C532" s="42"/>
      <c r="D532" s="260"/>
      <c r="E532" s="261"/>
      <c r="F532" s="186"/>
      <c r="G532" s="80"/>
      <c r="H532" s="80"/>
      <c r="I532" s="185"/>
      <c r="J532" s="91"/>
      <c r="K532" s="98"/>
      <c r="L532" s="177"/>
      <c r="M532" s="177"/>
      <c r="N532" s="177"/>
      <c r="O532" s="137" t="str">
        <f t="shared" si="17"/>
        <v>-</v>
      </c>
    </row>
    <row r="533" spans="2:15" x14ac:dyDescent="0.2">
      <c r="B533" s="45"/>
      <c r="C533" s="43"/>
      <c r="D533" s="260"/>
      <c r="E533" s="261"/>
      <c r="F533" s="186"/>
      <c r="G533" s="80"/>
      <c r="H533" s="80"/>
      <c r="I533" s="185"/>
      <c r="J533" s="91"/>
      <c r="K533" s="98"/>
      <c r="L533" s="177"/>
      <c r="M533" s="177"/>
      <c r="N533" s="177"/>
      <c r="O533" s="137" t="str">
        <f t="shared" si="17"/>
        <v>-</v>
      </c>
    </row>
    <row r="534" spans="2:15" x14ac:dyDescent="0.2">
      <c r="B534" s="45"/>
      <c r="C534" s="43"/>
      <c r="D534" s="260"/>
      <c r="E534" s="261"/>
      <c r="F534" s="186"/>
      <c r="G534" s="80"/>
      <c r="H534" s="80"/>
      <c r="I534" s="185"/>
      <c r="J534" s="91"/>
      <c r="K534" s="98"/>
      <c r="L534" s="177"/>
      <c r="M534" s="177"/>
      <c r="N534" s="177"/>
      <c r="O534" s="137" t="str">
        <f t="shared" si="17"/>
        <v>-</v>
      </c>
    </row>
    <row r="535" spans="2:15" x14ac:dyDescent="0.2">
      <c r="B535" s="45"/>
      <c r="C535" s="42"/>
      <c r="D535" s="260"/>
      <c r="E535" s="261"/>
      <c r="F535" s="186"/>
      <c r="G535" s="80"/>
      <c r="H535" s="80"/>
      <c r="I535" s="185"/>
      <c r="J535" s="91"/>
      <c r="K535" s="98"/>
      <c r="L535" s="177"/>
      <c r="M535" s="177"/>
      <c r="N535" s="177"/>
      <c r="O535" s="137" t="str">
        <f t="shared" si="17"/>
        <v>-</v>
      </c>
    </row>
    <row r="536" spans="2:15" x14ac:dyDescent="0.2">
      <c r="B536" s="45"/>
      <c r="C536" s="43"/>
      <c r="D536" s="260"/>
      <c r="E536" s="261"/>
      <c r="F536" s="186"/>
      <c r="G536" s="80"/>
      <c r="H536" s="80"/>
      <c r="I536" s="185"/>
      <c r="J536" s="91"/>
      <c r="K536" s="98"/>
      <c r="L536" s="177"/>
      <c r="M536" s="177"/>
      <c r="N536" s="177"/>
      <c r="O536" s="137" t="str">
        <f t="shared" si="17"/>
        <v>-</v>
      </c>
    </row>
    <row r="537" spans="2:15" x14ac:dyDescent="0.2">
      <c r="B537" s="45"/>
      <c r="C537" s="43"/>
      <c r="D537" s="260"/>
      <c r="E537" s="261"/>
      <c r="F537" s="186"/>
      <c r="G537" s="80"/>
      <c r="H537" s="80"/>
      <c r="I537" s="185"/>
      <c r="J537" s="91"/>
      <c r="K537" s="98"/>
      <c r="L537" s="177"/>
      <c r="M537" s="177"/>
      <c r="N537" s="177"/>
      <c r="O537" s="137" t="str">
        <f t="shared" si="17"/>
        <v>-</v>
      </c>
    </row>
    <row r="538" spans="2:15" x14ac:dyDescent="0.2">
      <c r="B538" s="45"/>
      <c r="C538" s="42"/>
      <c r="D538" s="260"/>
      <c r="E538" s="261"/>
      <c r="F538" s="186"/>
      <c r="G538" s="80"/>
      <c r="H538" s="80"/>
      <c r="I538" s="185"/>
      <c r="J538" s="91"/>
      <c r="K538" s="98"/>
      <c r="L538" s="177"/>
      <c r="M538" s="177"/>
      <c r="N538" s="177"/>
      <c r="O538" s="137" t="str">
        <f t="shared" si="17"/>
        <v>-</v>
      </c>
    </row>
    <row r="539" spans="2:15" x14ac:dyDescent="0.2">
      <c r="B539" s="45"/>
      <c r="C539" s="43"/>
      <c r="D539" s="260"/>
      <c r="E539" s="261"/>
      <c r="F539" s="186"/>
      <c r="G539" s="80"/>
      <c r="H539" s="80"/>
      <c r="I539" s="185"/>
      <c r="J539" s="91"/>
      <c r="K539" s="98"/>
      <c r="L539" s="177"/>
      <c r="M539" s="177"/>
      <c r="N539" s="177"/>
      <c r="O539" s="137" t="str">
        <f t="shared" si="17"/>
        <v>-</v>
      </c>
    </row>
    <row r="540" spans="2:15" x14ac:dyDescent="0.2">
      <c r="B540" s="45"/>
      <c r="C540" s="43"/>
      <c r="D540" s="260"/>
      <c r="E540" s="261"/>
      <c r="F540" s="186"/>
      <c r="G540" s="80"/>
      <c r="H540" s="80"/>
      <c r="I540" s="185"/>
      <c r="J540" s="91"/>
      <c r="K540" s="98"/>
      <c r="L540" s="177"/>
      <c r="M540" s="177"/>
      <c r="N540" s="177"/>
      <c r="O540" s="137" t="str">
        <f t="shared" si="17"/>
        <v>-</v>
      </c>
    </row>
    <row r="541" spans="2:15" x14ac:dyDescent="0.2">
      <c r="B541" s="45"/>
      <c r="C541" s="42"/>
      <c r="D541" s="260"/>
      <c r="E541" s="261"/>
      <c r="F541" s="186"/>
      <c r="G541" s="80"/>
      <c r="H541" s="80"/>
      <c r="I541" s="185"/>
      <c r="J541" s="91"/>
      <c r="K541" s="98"/>
      <c r="L541" s="177"/>
      <c r="M541" s="177"/>
      <c r="N541" s="177"/>
      <c r="O541" s="137" t="str">
        <f t="shared" si="17"/>
        <v>-</v>
      </c>
    </row>
    <row r="542" spans="2:15" x14ac:dyDescent="0.2">
      <c r="B542" s="45"/>
      <c r="C542" s="43"/>
      <c r="D542" s="260"/>
      <c r="E542" s="261"/>
      <c r="F542" s="186"/>
      <c r="G542" s="80"/>
      <c r="H542" s="80"/>
      <c r="I542" s="185"/>
      <c r="J542" s="91"/>
      <c r="K542" s="98"/>
      <c r="L542" s="177"/>
      <c r="M542" s="177"/>
      <c r="N542" s="177"/>
      <c r="O542" s="137" t="str">
        <f t="shared" si="17"/>
        <v>-</v>
      </c>
    </row>
    <row r="543" spans="2:15" x14ac:dyDescent="0.2">
      <c r="B543" s="45"/>
      <c r="C543" s="43"/>
      <c r="D543" s="260"/>
      <c r="E543" s="261"/>
      <c r="F543" s="186"/>
      <c r="G543" s="80"/>
      <c r="H543" s="80"/>
      <c r="I543" s="185"/>
      <c r="J543" s="91"/>
      <c r="K543" s="98"/>
      <c r="L543" s="177"/>
      <c r="M543" s="177"/>
      <c r="N543" s="177"/>
      <c r="O543" s="137" t="str">
        <f t="shared" si="17"/>
        <v>-</v>
      </c>
    </row>
    <row r="544" spans="2:15" x14ac:dyDescent="0.2">
      <c r="B544" s="45"/>
      <c r="C544" s="42"/>
      <c r="D544" s="260"/>
      <c r="E544" s="261"/>
      <c r="F544" s="186"/>
      <c r="G544" s="80"/>
      <c r="H544" s="80"/>
      <c r="I544" s="185"/>
      <c r="J544" s="91"/>
      <c r="K544" s="98"/>
      <c r="L544" s="177"/>
      <c r="M544" s="177"/>
      <c r="N544" s="177"/>
      <c r="O544" s="137" t="str">
        <f t="shared" si="17"/>
        <v>-</v>
      </c>
    </row>
    <row r="545" spans="2:15" x14ac:dyDescent="0.2">
      <c r="B545" s="45"/>
      <c r="C545" s="43"/>
      <c r="D545" s="260"/>
      <c r="E545" s="261"/>
      <c r="F545" s="186"/>
      <c r="G545" s="80"/>
      <c r="H545" s="80"/>
      <c r="I545" s="185"/>
      <c r="J545" s="91"/>
      <c r="K545" s="98"/>
      <c r="L545" s="177"/>
      <c r="M545" s="177"/>
      <c r="N545" s="177"/>
      <c r="O545" s="137" t="str">
        <f t="shared" si="17"/>
        <v>-</v>
      </c>
    </row>
    <row r="546" spans="2:15" x14ac:dyDescent="0.2">
      <c r="B546" s="45"/>
      <c r="C546" s="43"/>
      <c r="D546" s="260"/>
      <c r="E546" s="261"/>
      <c r="F546" s="186"/>
      <c r="G546" s="80"/>
      <c r="H546" s="80"/>
      <c r="I546" s="185"/>
      <c r="J546" s="91"/>
      <c r="K546" s="98"/>
      <c r="L546" s="177"/>
      <c r="M546" s="177"/>
      <c r="N546" s="177"/>
      <c r="O546" s="137" t="str">
        <f t="shared" si="17"/>
        <v>-</v>
      </c>
    </row>
    <row r="547" spans="2:15" x14ac:dyDescent="0.2">
      <c r="B547" s="45"/>
      <c r="C547" s="42"/>
      <c r="D547" s="260"/>
      <c r="E547" s="261"/>
      <c r="F547" s="186"/>
      <c r="G547" s="80"/>
      <c r="H547" s="80"/>
      <c r="I547" s="185"/>
      <c r="J547" s="91"/>
      <c r="K547" s="98"/>
      <c r="L547" s="177"/>
      <c r="M547" s="177"/>
      <c r="N547" s="177"/>
      <c r="O547" s="137" t="str">
        <f t="shared" si="17"/>
        <v>-</v>
      </c>
    </row>
    <row r="548" spans="2:15" x14ac:dyDescent="0.2">
      <c r="B548" s="45"/>
      <c r="C548" s="43"/>
      <c r="D548" s="260"/>
      <c r="E548" s="261"/>
      <c r="F548" s="186"/>
      <c r="G548" s="80"/>
      <c r="H548" s="80"/>
      <c r="I548" s="185"/>
      <c r="J548" s="91"/>
      <c r="K548" s="98"/>
      <c r="L548" s="177"/>
      <c r="M548" s="177"/>
      <c r="N548" s="177"/>
      <c r="O548" s="137" t="str">
        <f t="shared" si="17"/>
        <v>-</v>
      </c>
    </row>
    <row r="549" spans="2:15" x14ac:dyDescent="0.2">
      <c r="B549" s="45"/>
      <c r="C549" s="43"/>
      <c r="D549" s="260"/>
      <c r="E549" s="261"/>
      <c r="F549" s="186"/>
      <c r="G549" s="80"/>
      <c r="H549" s="80"/>
      <c r="I549" s="185"/>
      <c r="J549" s="91"/>
      <c r="K549" s="98"/>
      <c r="L549" s="177"/>
      <c r="M549" s="177"/>
      <c r="N549" s="177"/>
      <c r="O549" s="137" t="str">
        <f t="shared" si="17"/>
        <v>-</v>
      </c>
    </row>
    <row r="550" spans="2:15" x14ac:dyDescent="0.2">
      <c r="B550" s="45"/>
      <c r="C550" s="42"/>
      <c r="D550" s="260"/>
      <c r="E550" s="261"/>
      <c r="F550" s="186"/>
      <c r="G550" s="80"/>
      <c r="H550" s="80"/>
      <c r="I550" s="185"/>
      <c r="J550" s="91"/>
      <c r="K550" s="98"/>
      <c r="L550" s="177"/>
      <c r="M550" s="177"/>
      <c r="N550" s="177"/>
      <c r="O550" s="137" t="str">
        <f t="shared" si="17"/>
        <v>-</v>
      </c>
    </row>
    <row r="551" spans="2:15" x14ac:dyDescent="0.2">
      <c r="B551" s="45"/>
      <c r="C551" s="43"/>
      <c r="D551" s="260"/>
      <c r="E551" s="261"/>
      <c r="F551" s="186"/>
      <c r="G551" s="80"/>
      <c r="H551" s="80"/>
      <c r="I551" s="185"/>
      <c r="J551" s="91"/>
      <c r="K551" s="98"/>
      <c r="L551" s="177"/>
      <c r="M551" s="177"/>
      <c r="N551" s="177"/>
      <c r="O551" s="137" t="str">
        <f t="shared" si="17"/>
        <v>-</v>
      </c>
    </row>
    <row r="552" spans="2:15" x14ac:dyDescent="0.2">
      <c r="B552" s="45"/>
      <c r="C552" s="43"/>
      <c r="D552" s="260"/>
      <c r="E552" s="261"/>
      <c r="F552" s="186"/>
      <c r="G552" s="80"/>
      <c r="H552" s="80"/>
      <c r="I552" s="185"/>
      <c r="J552" s="91"/>
      <c r="K552" s="98"/>
      <c r="L552" s="177"/>
      <c r="M552" s="177"/>
      <c r="N552" s="177"/>
      <c r="O552" s="137" t="str">
        <f t="shared" si="17"/>
        <v>-</v>
      </c>
    </row>
    <row r="553" spans="2:15" x14ac:dyDescent="0.2">
      <c r="B553" s="45"/>
      <c r="C553" s="42"/>
      <c r="D553" s="260"/>
      <c r="E553" s="261"/>
      <c r="F553" s="186"/>
      <c r="G553" s="80"/>
      <c r="H553" s="80"/>
      <c r="I553" s="185"/>
      <c r="J553" s="91"/>
      <c r="K553" s="98"/>
      <c r="L553" s="177"/>
      <c r="M553" s="177"/>
      <c r="N553" s="177"/>
      <c r="O553" s="137" t="str">
        <f t="shared" si="17"/>
        <v>-</v>
      </c>
    </row>
    <row r="554" spans="2:15" x14ac:dyDescent="0.2">
      <c r="B554" s="45"/>
      <c r="C554" s="43"/>
      <c r="D554" s="260"/>
      <c r="E554" s="261"/>
      <c r="F554" s="186"/>
      <c r="G554" s="80"/>
      <c r="H554" s="80"/>
      <c r="I554" s="185"/>
      <c r="J554" s="91"/>
      <c r="K554" s="98"/>
      <c r="L554" s="177"/>
      <c r="M554" s="177"/>
      <c r="N554" s="177"/>
      <c r="O554" s="137" t="str">
        <f t="shared" si="17"/>
        <v>-</v>
      </c>
    </row>
    <row r="555" spans="2:15" x14ac:dyDescent="0.2">
      <c r="B555" s="45"/>
      <c r="C555" s="43"/>
      <c r="D555" s="260"/>
      <c r="E555" s="261"/>
      <c r="F555" s="186"/>
      <c r="G555" s="80"/>
      <c r="H555" s="80"/>
      <c r="I555" s="185"/>
      <c r="J555" s="91"/>
      <c r="K555" s="98"/>
      <c r="L555" s="177"/>
      <c r="M555" s="177"/>
      <c r="N555" s="177"/>
      <c r="O555" s="137" t="str">
        <f t="shared" si="17"/>
        <v>-</v>
      </c>
    </row>
    <row r="556" spans="2:15" x14ac:dyDescent="0.2">
      <c r="B556" s="45"/>
      <c r="C556" s="42"/>
      <c r="D556" s="260"/>
      <c r="E556" s="261"/>
      <c r="F556" s="186"/>
      <c r="G556" s="80"/>
      <c r="H556" s="80"/>
      <c r="I556" s="185"/>
      <c r="J556" s="91"/>
      <c r="K556" s="98"/>
      <c r="L556" s="177"/>
      <c r="M556" s="177"/>
      <c r="N556" s="177"/>
      <c r="O556" s="137" t="str">
        <f t="shared" si="17"/>
        <v>-</v>
      </c>
    </row>
    <row r="557" spans="2:15" x14ac:dyDescent="0.2">
      <c r="B557" s="45"/>
      <c r="C557" s="43"/>
      <c r="D557" s="260"/>
      <c r="E557" s="261"/>
      <c r="F557" s="186"/>
      <c r="G557" s="80"/>
      <c r="H557" s="80"/>
      <c r="I557" s="185"/>
      <c r="J557" s="91"/>
      <c r="K557" s="98"/>
      <c r="L557" s="177"/>
      <c r="M557" s="177"/>
      <c r="N557" s="177"/>
      <c r="O557" s="137" t="str">
        <f t="shared" si="17"/>
        <v>-</v>
      </c>
    </row>
    <row r="558" spans="2:15" x14ac:dyDescent="0.2">
      <c r="B558" s="45"/>
      <c r="C558" s="43"/>
      <c r="D558" s="260"/>
      <c r="E558" s="261"/>
      <c r="F558" s="186"/>
      <c r="G558" s="80"/>
      <c r="H558" s="80"/>
      <c r="I558" s="185"/>
      <c r="J558" s="91"/>
      <c r="K558" s="98"/>
      <c r="L558" s="177"/>
      <c r="M558" s="177"/>
      <c r="N558" s="177"/>
      <c r="O558" s="137" t="str">
        <f t="shared" si="17"/>
        <v>-</v>
      </c>
    </row>
    <row r="559" spans="2:15" x14ac:dyDescent="0.2">
      <c r="B559" s="45"/>
      <c r="C559" s="42"/>
      <c r="D559" s="260"/>
      <c r="E559" s="261"/>
      <c r="F559" s="186"/>
      <c r="G559" s="80"/>
      <c r="H559" s="80"/>
      <c r="I559" s="185"/>
      <c r="J559" s="91"/>
      <c r="K559" s="98"/>
      <c r="L559" s="177"/>
      <c r="M559" s="177"/>
      <c r="N559" s="177"/>
      <c r="O559" s="137" t="str">
        <f t="shared" si="17"/>
        <v>-</v>
      </c>
    </row>
    <row r="560" spans="2:15" x14ac:dyDescent="0.2">
      <c r="B560" s="45"/>
      <c r="C560" s="43"/>
      <c r="D560" s="260"/>
      <c r="E560" s="261"/>
      <c r="F560" s="186"/>
      <c r="G560" s="80"/>
      <c r="H560" s="80"/>
      <c r="I560" s="185"/>
      <c r="J560" s="91"/>
      <c r="K560" s="98"/>
      <c r="L560" s="177"/>
      <c r="M560" s="177"/>
      <c r="N560" s="177"/>
      <c r="O560" s="137" t="str">
        <f t="shared" si="17"/>
        <v>-</v>
      </c>
    </row>
    <row r="561" spans="2:15" x14ac:dyDescent="0.2">
      <c r="B561" s="45"/>
      <c r="C561" s="43"/>
      <c r="D561" s="260"/>
      <c r="E561" s="261"/>
      <c r="F561" s="186"/>
      <c r="G561" s="80"/>
      <c r="H561" s="80"/>
      <c r="I561" s="185"/>
      <c r="J561" s="91"/>
      <c r="K561" s="98"/>
      <c r="L561" s="177"/>
      <c r="M561" s="177"/>
      <c r="N561" s="177"/>
      <c r="O561" s="137" t="str">
        <f t="shared" si="17"/>
        <v>-</v>
      </c>
    </row>
    <row r="562" spans="2:15" x14ac:dyDescent="0.2">
      <c r="B562" s="45"/>
      <c r="C562" s="42"/>
      <c r="D562" s="260"/>
      <c r="E562" s="261"/>
      <c r="F562" s="186"/>
      <c r="G562" s="80"/>
      <c r="H562" s="80"/>
      <c r="I562" s="185"/>
      <c r="J562" s="91"/>
      <c r="K562" s="98"/>
      <c r="L562" s="177"/>
      <c r="M562" s="177"/>
      <c r="N562" s="177"/>
      <c r="O562" s="137" t="str">
        <f t="shared" si="17"/>
        <v>-</v>
      </c>
    </row>
    <row r="563" spans="2:15" x14ac:dyDescent="0.2">
      <c r="B563" s="45"/>
      <c r="C563" s="43"/>
      <c r="D563" s="260"/>
      <c r="E563" s="261"/>
      <c r="F563" s="186"/>
      <c r="G563" s="80"/>
      <c r="H563" s="80"/>
      <c r="I563" s="185"/>
      <c r="J563" s="91"/>
      <c r="K563" s="98"/>
      <c r="L563" s="177"/>
      <c r="M563" s="177"/>
      <c r="N563" s="177"/>
      <c r="O563" s="137" t="str">
        <f t="shared" si="17"/>
        <v>-</v>
      </c>
    </row>
    <row r="564" spans="2:15" x14ac:dyDescent="0.2">
      <c r="B564" s="45"/>
      <c r="C564" s="43"/>
      <c r="D564" s="260"/>
      <c r="E564" s="261"/>
      <c r="F564" s="186"/>
      <c r="G564" s="80"/>
      <c r="H564" s="80"/>
      <c r="I564" s="185"/>
      <c r="J564" s="91"/>
      <c r="K564" s="98"/>
      <c r="L564" s="177"/>
      <c r="M564" s="177"/>
      <c r="N564" s="177"/>
      <c r="O564" s="137" t="str">
        <f t="shared" si="17"/>
        <v>-</v>
      </c>
    </row>
    <row r="565" spans="2:15" x14ac:dyDescent="0.2">
      <c r="B565" s="45"/>
      <c r="C565" s="42"/>
      <c r="D565" s="260"/>
      <c r="E565" s="261"/>
      <c r="F565" s="186"/>
      <c r="G565" s="80"/>
      <c r="H565" s="80"/>
      <c r="I565" s="185"/>
      <c r="J565" s="91"/>
      <c r="K565" s="98"/>
      <c r="L565" s="177"/>
      <c r="M565" s="177"/>
      <c r="N565" s="177"/>
      <c r="O565" s="137" t="str">
        <f t="shared" si="17"/>
        <v>-</v>
      </c>
    </row>
    <row r="566" spans="2:15" x14ac:dyDescent="0.2">
      <c r="B566" s="45"/>
      <c r="C566" s="43"/>
      <c r="D566" s="260"/>
      <c r="E566" s="261"/>
      <c r="F566" s="186"/>
      <c r="G566" s="80"/>
      <c r="H566" s="80"/>
      <c r="I566" s="185"/>
      <c r="J566" s="91"/>
      <c r="K566" s="98"/>
      <c r="L566" s="177"/>
      <c r="M566" s="177"/>
      <c r="N566" s="177"/>
      <c r="O566" s="137" t="str">
        <f t="shared" si="17"/>
        <v>-</v>
      </c>
    </row>
    <row r="567" spans="2:15" x14ac:dyDescent="0.2">
      <c r="B567" s="45"/>
      <c r="C567" s="43"/>
      <c r="D567" s="260"/>
      <c r="E567" s="261"/>
      <c r="F567" s="186"/>
      <c r="G567" s="80"/>
      <c r="H567" s="80"/>
      <c r="I567" s="185"/>
      <c r="J567" s="91"/>
      <c r="K567" s="98"/>
      <c r="L567" s="177"/>
      <c r="M567" s="177"/>
      <c r="N567" s="177"/>
      <c r="O567" s="137" t="str">
        <f t="shared" si="17"/>
        <v>-</v>
      </c>
    </row>
    <row r="568" spans="2:15" x14ac:dyDescent="0.2">
      <c r="B568" s="45"/>
      <c r="C568" s="42"/>
      <c r="D568" s="260"/>
      <c r="E568" s="261"/>
      <c r="F568" s="186"/>
      <c r="G568" s="80"/>
      <c r="H568" s="80"/>
      <c r="I568" s="185"/>
      <c r="J568" s="91"/>
      <c r="K568" s="98"/>
      <c r="L568" s="177"/>
      <c r="M568" s="177"/>
      <c r="N568" s="177"/>
      <c r="O568" s="137" t="str">
        <f t="shared" si="17"/>
        <v>-</v>
      </c>
    </row>
    <row r="569" spans="2:15" x14ac:dyDescent="0.2">
      <c r="B569" s="45"/>
      <c r="C569" s="43"/>
      <c r="D569" s="260"/>
      <c r="E569" s="261"/>
      <c r="F569" s="186"/>
      <c r="G569" s="80"/>
      <c r="H569" s="80"/>
      <c r="I569" s="185"/>
      <c r="J569" s="91"/>
      <c r="K569" s="98"/>
      <c r="L569" s="177"/>
      <c r="M569" s="177"/>
      <c r="N569" s="177"/>
      <c r="O569" s="137" t="str">
        <f t="shared" si="17"/>
        <v>-</v>
      </c>
    </row>
    <row r="570" spans="2:15" x14ac:dyDescent="0.2">
      <c r="B570" s="45"/>
      <c r="C570" s="43"/>
      <c r="D570" s="260"/>
      <c r="E570" s="261"/>
      <c r="F570" s="186"/>
      <c r="G570" s="80"/>
      <c r="H570" s="80"/>
      <c r="I570" s="185"/>
      <c r="J570" s="91"/>
      <c r="K570" s="98"/>
      <c r="L570" s="177"/>
      <c r="M570" s="177"/>
      <c r="N570" s="177"/>
      <c r="O570" s="137" t="str">
        <f t="shared" si="17"/>
        <v>-</v>
      </c>
    </row>
    <row r="571" spans="2:15" x14ac:dyDescent="0.2">
      <c r="B571" s="45"/>
      <c r="C571" s="42"/>
      <c r="D571" s="260"/>
      <c r="E571" s="261"/>
      <c r="F571" s="186"/>
      <c r="G571" s="80"/>
      <c r="H571" s="80"/>
      <c r="I571" s="185"/>
      <c r="J571" s="91"/>
      <c r="K571" s="98"/>
      <c r="L571" s="177"/>
      <c r="M571" s="177"/>
      <c r="N571" s="177"/>
      <c r="O571" s="137" t="str">
        <f t="shared" si="17"/>
        <v>-</v>
      </c>
    </row>
    <row r="572" spans="2:15" x14ac:dyDescent="0.2">
      <c r="B572" s="45"/>
      <c r="C572" s="43"/>
      <c r="D572" s="260"/>
      <c r="E572" s="261"/>
      <c r="F572" s="186"/>
      <c r="G572" s="80"/>
      <c r="H572" s="80"/>
      <c r="I572" s="185"/>
      <c r="J572" s="91"/>
      <c r="K572" s="98"/>
      <c r="L572" s="177"/>
      <c r="M572" s="177"/>
      <c r="N572" s="177"/>
      <c r="O572" s="137" t="str">
        <f t="shared" si="17"/>
        <v>-</v>
      </c>
    </row>
    <row r="573" spans="2:15" x14ac:dyDescent="0.2">
      <c r="B573" s="45"/>
      <c r="C573" s="43"/>
      <c r="D573" s="260"/>
      <c r="E573" s="261"/>
      <c r="F573" s="186"/>
      <c r="G573" s="80"/>
      <c r="H573" s="80"/>
      <c r="I573" s="185"/>
      <c r="J573" s="91"/>
      <c r="K573" s="98"/>
      <c r="L573" s="177"/>
      <c r="M573" s="177"/>
      <c r="N573" s="177"/>
      <c r="O573" s="137" t="str">
        <f t="shared" si="17"/>
        <v>-</v>
      </c>
    </row>
    <row r="574" spans="2:15" x14ac:dyDescent="0.2">
      <c r="B574" s="45"/>
      <c r="C574" s="42"/>
      <c r="D574" s="260"/>
      <c r="E574" s="261"/>
      <c r="F574" s="186"/>
      <c r="G574" s="80"/>
      <c r="H574" s="80"/>
      <c r="I574" s="185"/>
      <c r="J574" s="91"/>
      <c r="K574" s="98"/>
      <c r="L574" s="177"/>
      <c r="M574" s="177"/>
      <c r="N574" s="177"/>
      <c r="O574" s="137" t="str">
        <f t="shared" si="17"/>
        <v>-</v>
      </c>
    </row>
    <row r="575" spans="2:15" x14ac:dyDescent="0.2">
      <c r="B575" s="45"/>
      <c r="C575" s="43"/>
      <c r="D575" s="260"/>
      <c r="E575" s="261"/>
      <c r="F575" s="186"/>
      <c r="G575" s="80"/>
      <c r="H575" s="80"/>
      <c r="I575" s="185"/>
      <c r="J575" s="91"/>
      <c r="K575" s="98"/>
      <c r="L575" s="177"/>
      <c r="M575" s="177"/>
      <c r="N575" s="177"/>
      <c r="O575" s="137" t="str">
        <f t="shared" si="17"/>
        <v>-</v>
      </c>
    </row>
    <row r="576" spans="2:15" x14ac:dyDescent="0.2">
      <c r="B576" s="45"/>
      <c r="C576" s="43"/>
      <c r="D576" s="260"/>
      <c r="E576" s="261"/>
      <c r="F576" s="186"/>
      <c r="G576" s="80"/>
      <c r="H576" s="80"/>
      <c r="I576" s="185"/>
      <c r="J576" s="91"/>
      <c r="K576" s="98"/>
      <c r="L576" s="177"/>
      <c r="M576" s="177"/>
      <c r="N576" s="177"/>
      <c r="O576" s="137" t="str">
        <f t="shared" si="17"/>
        <v>-</v>
      </c>
    </row>
    <row r="577" spans="2:15" x14ac:dyDescent="0.2">
      <c r="B577" s="45"/>
      <c r="C577" s="42"/>
      <c r="D577" s="260"/>
      <c r="E577" s="261"/>
      <c r="F577" s="186"/>
      <c r="G577" s="80"/>
      <c r="H577" s="80"/>
      <c r="I577" s="185"/>
      <c r="J577" s="91"/>
      <c r="K577" s="98"/>
      <c r="L577" s="177"/>
      <c r="M577" s="177"/>
      <c r="N577" s="177"/>
      <c r="O577" s="137" t="str">
        <f t="shared" ref="O577:O640" si="18">IF(G576="","-",IF(J576="","",J576))</f>
        <v>-</v>
      </c>
    </row>
    <row r="578" spans="2:15" x14ac:dyDescent="0.2">
      <c r="B578" s="45"/>
      <c r="C578" s="43"/>
      <c r="D578" s="260"/>
      <c r="E578" s="261"/>
      <c r="F578" s="186"/>
      <c r="G578" s="80"/>
      <c r="H578" s="80"/>
      <c r="I578" s="185"/>
      <c r="J578" s="91"/>
      <c r="K578" s="98"/>
      <c r="L578" s="177"/>
      <c r="M578" s="177"/>
      <c r="N578" s="177"/>
      <c r="O578" s="137" t="str">
        <f t="shared" si="18"/>
        <v>-</v>
      </c>
    </row>
    <row r="579" spans="2:15" x14ac:dyDescent="0.2">
      <c r="B579" s="45"/>
      <c r="C579" s="43"/>
      <c r="D579" s="260"/>
      <c r="E579" s="261"/>
      <c r="F579" s="186"/>
      <c r="G579" s="80"/>
      <c r="H579" s="80"/>
      <c r="I579" s="185"/>
      <c r="J579" s="91"/>
      <c r="K579" s="98"/>
      <c r="L579" s="177"/>
      <c r="M579" s="177"/>
      <c r="N579" s="177"/>
      <c r="O579" s="137" t="str">
        <f t="shared" si="18"/>
        <v>-</v>
      </c>
    </row>
    <row r="580" spans="2:15" x14ac:dyDescent="0.2">
      <c r="B580" s="45"/>
      <c r="C580" s="42"/>
      <c r="D580" s="260"/>
      <c r="E580" s="261"/>
      <c r="F580" s="186"/>
      <c r="G580" s="80"/>
      <c r="H580" s="80"/>
      <c r="I580" s="185"/>
      <c r="J580" s="91"/>
      <c r="K580" s="98"/>
      <c r="L580" s="177"/>
      <c r="M580" s="177"/>
      <c r="N580" s="177"/>
      <c r="O580" s="137" t="str">
        <f t="shared" si="18"/>
        <v>-</v>
      </c>
    </row>
    <row r="581" spans="2:15" x14ac:dyDescent="0.2">
      <c r="B581" s="45"/>
      <c r="C581" s="43"/>
      <c r="D581" s="260"/>
      <c r="E581" s="261"/>
      <c r="F581" s="186"/>
      <c r="G581" s="80"/>
      <c r="H581" s="80"/>
      <c r="I581" s="185"/>
      <c r="J581" s="91"/>
      <c r="K581" s="98"/>
      <c r="L581" s="177"/>
      <c r="M581" s="177"/>
      <c r="N581" s="177"/>
      <c r="O581" s="137" t="str">
        <f t="shared" si="18"/>
        <v>-</v>
      </c>
    </row>
    <row r="582" spans="2:15" x14ac:dyDescent="0.2">
      <c r="B582" s="45"/>
      <c r="C582" s="43"/>
      <c r="D582" s="260"/>
      <c r="E582" s="261"/>
      <c r="F582" s="186"/>
      <c r="G582" s="80"/>
      <c r="H582" s="80"/>
      <c r="I582" s="185"/>
      <c r="J582" s="91"/>
      <c r="K582" s="98"/>
      <c r="L582" s="177"/>
      <c r="M582" s="177"/>
      <c r="N582" s="177"/>
      <c r="O582" s="137" t="str">
        <f t="shared" si="18"/>
        <v>-</v>
      </c>
    </row>
    <row r="583" spans="2:15" x14ac:dyDescent="0.2">
      <c r="B583" s="45"/>
      <c r="C583" s="42"/>
      <c r="D583" s="260"/>
      <c r="E583" s="261"/>
      <c r="F583" s="186"/>
      <c r="G583" s="80"/>
      <c r="H583" s="80"/>
      <c r="I583" s="185"/>
      <c r="J583" s="91"/>
      <c r="K583" s="98"/>
      <c r="L583" s="177"/>
      <c r="M583" s="177"/>
      <c r="N583" s="177"/>
      <c r="O583" s="137" t="str">
        <f t="shared" si="18"/>
        <v>-</v>
      </c>
    </row>
    <row r="584" spans="2:15" x14ac:dyDescent="0.2">
      <c r="B584" s="45"/>
      <c r="C584" s="43"/>
      <c r="D584" s="260"/>
      <c r="E584" s="261"/>
      <c r="F584" s="186"/>
      <c r="G584" s="80"/>
      <c r="H584" s="80"/>
      <c r="I584" s="185"/>
      <c r="J584" s="91"/>
      <c r="K584" s="98"/>
      <c r="L584" s="177"/>
      <c r="M584" s="177"/>
      <c r="N584" s="177"/>
      <c r="O584" s="137" t="str">
        <f t="shared" si="18"/>
        <v>-</v>
      </c>
    </row>
    <row r="585" spans="2:15" x14ac:dyDescent="0.2">
      <c r="B585" s="45"/>
      <c r="C585" s="43"/>
      <c r="D585" s="260"/>
      <c r="E585" s="261"/>
      <c r="F585" s="186"/>
      <c r="G585" s="80"/>
      <c r="H585" s="80"/>
      <c r="I585" s="185"/>
      <c r="J585" s="91"/>
      <c r="K585" s="98"/>
      <c r="L585" s="177"/>
      <c r="M585" s="177"/>
      <c r="N585" s="177"/>
      <c r="O585" s="137" t="str">
        <f t="shared" si="18"/>
        <v>-</v>
      </c>
    </row>
    <row r="586" spans="2:15" x14ac:dyDescent="0.2">
      <c r="B586" s="45"/>
      <c r="C586" s="42"/>
      <c r="D586" s="260"/>
      <c r="E586" s="261"/>
      <c r="F586" s="186"/>
      <c r="G586" s="80"/>
      <c r="H586" s="80"/>
      <c r="I586" s="185"/>
      <c r="J586" s="91"/>
      <c r="K586" s="98"/>
      <c r="L586" s="177"/>
      <c r="M586" s="177"/>
      <c r="N586" s="177"/>
      <c r="O586" s="137" t="str">
        <f t="shared" si="18"/>
        <v>-</v>
      </c>
    </row>
    <row r="587" spans="2:15" x14ac:dyDescent="0.2">
      <c r="B587" s="45"/>
      <c r="C587" s="43"/>
      <c r="D587" s="260"/>
      <c r="E587" s="261"/>
      <c r="F587" s="186"/>
      <c r="G587" s="80"/>
      <c r="H587" s="80"/>
      <c r="I587" s="185"/>
      <c r="J587" s="91"/>
      <c r="K587" s="98"/>
      <c r="L587" s="177"/>
      <c r="M587" s="177"/>
      <c r="N587" s="177"/>
      <c r="O587" s="137" t="str">
        <f t="shared" si="18"/>
        <v>-</v>
      </c>
    </row>
    <row r="588" spans="2:15" x14ac:dyDescent="0.2">
      <c r="B588" s="45"/>
      <c r="C588" s="43"/>
      <c r="D588" s="260"/>
      <c r="E588" s="261"/>
      <c r="F588" s="186"/>
      <c r="G588" s="80"/>
      <c r="H588" s="80"/>
      <c r="I588" s="185"/>
      <c r="J588" s="91"/>
      <c r="K588" s="98"/>
      <c r="L588" s="177"/>
      <c r="M588" s="177"/>
      <c r="N588" s="177"/>
      <c r="O588" s="137" t="str">
        <f t="shared" si="18"/>
        <v>-</v>
      </c>
    </row>
    <row r="589" spans="2:15" x14ac:dyDescent="0.2">
      <c r="B589" s="45"/>
      <c r="C589" s="42"/>
      <c r="D589" s="260"/>
      <c r="E589" s="261"/>
      <c r="F589" s="186"/>
      <c r="G589" s="80"/>
      <c r="H589" s="80"/>
      <c r="I589" s="185"/>
      <c r="J589" s="91"/>
      <c r="K589" s="98"/>
      <c r="L589" s="177"/>
      <c r="M589" s="177"/>
      <c r="N589" s="177"/>
      <c r="O589" s="137" t="str">
        <f t="shared" si="18"/>
        <v>-</v>
      </c>
    </row>
    <row r="590" spans="2:15" x14ac:dyDescent="0.2">
      <c r="B590" s="45"/>
      <c r="C590" s="43"/>
      <c r="D590" s="260"/>
      <c r="E590" s="261"/>
      <c r="F590" s="186"/>
      <c r="G590" s="80"/>
      <c r="H590" s="80"/>
      <c r="I590" s="185"/>
      <c r="J590" s="91"/>
      <c r="K590" s="98"/>
      <c r="L590" s="177"/>
      <c r="M590" s="177"/>
      <c r="N590" s="177"/>
      <c r="O590" s="137" t="str">
        <f t="shared" si="18"/>
        <v>-</v>
      </c>
    </row>
    <row r="591" spans="2:15" x14ac:dyDescent="0.2">
      <c r="B591" s="45"/>
      <c r="C591" s="43"/>
      <c r="D591" s="260"/>
      <c r="E591" s="261"/>
      <c r="F591" s="186"/>
      <c r="G591" s="80"/>
      <c r="H591" s="80"/>
      <c r="I591" s="185"/>
      <c r="J591" s="91"/>
      <c r="K591" s="98"/>
      <c r="L591" s="177"/>
      <c r="M591" s="177"/>
      <c r="N591" s="177"/>
      <c r="O591" s="137" t="str">
        <f t="shared" si="18"/>
        <v>-</v>
      </c>
    </row>
    <row r="592" spans="2:15" x14ac:dyDescent="0.2">
      <c r="B592" s="45"/>
      <c r="C592" s="42"/>
      <c r="D592" s="260"/>
      <c r="E592" s="261"/>
      <c r="F592" s="186"/>
      <c r="G592" s="80"/>
      <c r="H592" s="80"/>
      <c r="I592" s="185"/>
      <c r="J592" s="91"/>
      <c r="K592" s="98"/>
      <c r="L592" s="177"/>
      <c r="M592" s="177"/>
      <c r="N592" s="177"/>
      <c r="O592" s="137" t="str">
        <f t="shared" si="18"/>
        <v>-</v>
      </c>
    </row>
    <row r="593" spans="2:15" x14ac:dyDescent="0.2">
      <c r="B593" s="45"/>
      <c r="C593" s="43"/>
      <c r="D593" s="260"/>
      <c r="E593" s="261"/>
      <c r="F593" s="186"/>
      <c r="G593" s="80"/>
      <c r="H593" s="80"/>
      <c r="I593" s="185"/>
      <c r="J593" s="91"/>
      <c r="K593" s="98"/>
      <c r="L593" s="177"/>
      <c r="M593" s="177"/>
      <c r="N593" s="177"/>
      <c r="O593" s="137" t="str">
        <f t="shared" si="18"/>
        <v>-</v>
      </c>
    </row>
    <row r="594" spans="2:15" x14ac:dyDescent="0.2">
      <c r="B594" s="45"/>
      <c r="C594" s="43"/>
      <c r="D594" s="260"/>
      <c r="E594" s="261"/>
      <c r="F594" s="186"/>
      <c r="G594" s="80"/>
      <c r="H594" s="80"/>
      <c r="I594" s="185"/>
      <c r="J594" s="91"/>
      <c r="K594" s="98"/>
      <c r="L594" s="177"/>
      <c r="M594" s="177"/>
      <c r="N594" s="177"/>
      <c r="O594" s="137" t="str">
        <f t="shared" si="18"/>
        <v>-</v>
      </c>
    </row>
    <row r="595" spans="2:15" x14ac:dyDescent="0.2">
      <c r="B595" s="45"/>
      <c r="C595" s="42"/>
      <c r="D595" s="260"/>
      <c r="E595" s="261"/>
      <c r="F595" s="186"/>
      <c r="G595" s="80"/>
      <c r="H595" s="80"/>
      <c r="I595" s="185"/>
      <c r="J595" s="91"/>
      <c r="K595" s="98"/>
      <c r="L595" s="177"/>
      <c r="M595" s="177"/>
      <c r="N595" s="177"/>
      <c r="O595" s="137" t="str">
        <f t="shared" si="18"/>
        <v>-</v>
      </c>
    </row>
    <row r="596" spans="2:15" x14ac:dyDescent="0.2">
      <c r="B596" s="45"/>
      <c r="C596" s="43"/>
      <c r="D596" s="260"/>
      <c r="E596" s="261"/>
      <c r="F596" s="186"/>
      <c r="G596" s="80"/>
      <c r="H596" s="80"/>
      <c r="I596" s="185"/>
      <c r="J596" s="91"/>
      <c r="K596" s="98"/>
      <c r="L596" s="177"/>
      <c r="M596" s="177"/>
      <c r="N596" s="177"/>
      <c r="O596" s="137" t="str">
        <f t="shared" si="18"/>
        <v>-</v>
      </c>
    </row>
    <row r="597" spans="2:15" x14ac:dyDescent="0.2">
      <c r="B597" s="45"/>
      <c r="C597" s="43"/>
      <c r="D597" s="260"/>
      <c r="E597" s="261"/>
      <c r="F597" s="186"/>
      <c r="G597" s="80"/>
      <c r="H597" s="80"/>
      <c r="I597" s="185"/>
      <c r="J597" s="91"/>
      <c r="K597" s="98"/>
      <c r="L597" s="177"/>
      <c r="M597" s="177"/>
      <c r="N597" s="177"/>
      <c r="O597" s="137" t="str">
        <f t="shared" si="18"/>
        <v>-</v>
      </c>
    </row>
    <row r="598" spans="2:15" x14ac:dyDescent="0.2">
      <c r="B598" s="45"/>
      <c r="C598" s="42"/>
      <c r="D598" s="260"/>
      <c r="E598" s="261"/>
      <c r="F598" s="186"/>
      <c r="G598" s="80"/>
      <c r="H598" s="80"/>
      <c r="I598" s="185"/>
      <c r="J598" s="91"/>
      <c r="K598" s="98"/>
      <c r="L598" s="177"/>
      <c r="M598" s="177"/>
      <c r="N598" s="177"/>
      <c r="O598" s="137" t="str">
        <f t="shared" si="18"/>
        <v>-</v>
      </c>
    </row>
    <row r="599" spans="2:15" x14ac:dyDescent="0.2">
      <c r="B599" s="45"/>
      <c r="C599" s="43"/>
      <c r="D599" s="260"/>
      <c r="E599" s="261"/>
      <c r="F599" s="186"/>
      <c r="G599" s="80"/>
      <c r="H599" s="80"/>
      <c r="I599" s="185"/>
      <c r="J599" s="91"/>
      <c r="K599" s="98"/>
      <c r="L599" s="177"/>
      <c r="M599" s="177"/>
      <c r="N599" s="177"/>
      <c r="O599" s="137" t="str">
        <f t="shared" si="18"/>
        <v>-</v>
      </c>
    </row>
    <row r="600" spans="2:15" x14ac:dyDescent="0.2">
      <c r="B600" s="45"/>
      <c r="C600" s="43"/>
      <c r="D600" s="260"/>
      <c r="E600" s="261"/>
      <c r="F600" s="186"/>
      <c r="G600" s="80"/>
      <c r="H600" s="80"/>
      <c r="I600" s="185"/>
      <c r="J600" s="91"/>
      <c r="K600" s="98"/>
      <c r="L600" s="177"/>
      <c r="M600" s="177"/>
      <c r="N600" s="177"/>
      <c r="O600" s="137" t="str">
        <f t="shared" si="18"/>
        <v>-</v>
      </c>
    </row>
    <row r="601" spans="2:15" x14ac:dyDescent="0.2">
      <c r="B601" s="45"/>
      <c r="C601" s="42"/>
      <c r="D601" s="260"/>
      <c r="E601" s="261"/>
      <c r="F601" s="186"/>
      <c r="G601" s="80"/>
      <c r="H601" s="80"/>
      <c r="I601" s="185"/>
      <c r="J601" s="91"/>
      <c r="K601" s="98"/>
      <c r="L601" s="177"/>
      <c r="M601" s="177"/>
      <c r="N601" s="177"/>
      <c r="O601" s="137" t="str">
        <f t="shared" si="18"/>
        <v>-</v>
      </c>
    </row>
    <row r="602" spans="2:15" x14ac:dyDescent="0.2">
      <c r="B602" s="45"/>
      <c r="C602" s="43"/>
      <c r="D602" s="260"/>
      <c r="E602" s="261"/>
      <c r="F602" s="186"/>
      <c r="G602" s="80"/>
      <c r="H602" s="80"/>
      <c r="I602" s="185"/>
      <c r="J602" s="91"/>
      <c r="K602" s="98"/>
      <c r="L602" s="177"/>
      <c r="M602" s="177"/>
      <c r="N602" s="177"/>
      <c r="O602" s="137" t="str">
        <f t="shared" si="18"/>
        <v>-</v>
      </c>
    </row>
    <row r="603" spans="2:15" x14ac:dyDescent="0.2">
      <c r="B603" s="45"/>
      <c r="C603" s="43"/>
      <c r="D603" s="260"/>
      <c r="E603" s="261"/>
      <c r="F603" s="186"/>
      <c r="G603" s="80"/>
      <c r="H603" s="80"/>
      <c r="I603" s="185"/>
      <c r="J603" s="91"/>
      <c r="K603" s="98"/>
      <c r="L603" s="177"/>
      <c r="M603" s="177"/>
      <c r="N603" s="177"/>
      <c r="O603" s="137" t="str">
        <f t="shared" si="18"/>
        <v>-</v>
      </c>
    </row>
    <row r="604" spans="2:15" x14ac:dyDescent="0.2">
      <c r="B604" s="45"/>
      <c r="C604" s="42"/>
      <c r="D604" s="260"/>
      <c r="E604" s="261"/>
      <c r="F604" s="186"/>
      <c r="G604" s="80"/>
      <c r="H604" s="80"/>
      <c r="I604" s="185"/>
      <c r="J604" s="91"/>
      <c r="K604" s="98"/>
      <c r="L604" s="177"/>
      <c r="M604" s="177"/>
      <c r="N604" s="177"/>
      <c r="O604" s="137" t="str">
        <f t="shared" si="18"/>
        <v>-</v>
      </c>
    </row>
    <row r="605" spans="2:15" x14ac:dyDescent="0.2">
      <c r="B605" s="45"/>
      <c r="C605" s="43"/>
      <c r="D605" s="260"/>
      <c r="E605" s="261"/>
      <c r="F605" s="186"/>
      <c r="G605" s="80"/>
      <c r="H605" s="80"/>
      <c r="I605" s="185"/>
      <c r="J605" s="91"/>
      <c r="K605" s="98"/>
      <c r="L605" s="177"/>
      <c r="M605" s="177"/>
      <c r="N605" s="177"/>
      <c r="O605" s="137" t="str">
        <f t="shared" si="18"/>
        <v>-</v>
      </c>
    </row>
    <row r="606" spans="2:15" x14ac:dyDescent="0.2">
      <c r="B606" s="45"/>
      <c r="C606" s="43"/>
      <c r="D606" s="260"/>
      <c r="E606" s="261"/>
      <c r="F606" s="186"/>
      <c r="G606" s="80"/>
      <c r="H606" s="80"/>
      <c r="I606" s="185"/>
      <c r="J606" s="91"/>
      <c r="K606" s="98"/>
      <c r="L606" s="177"/>
      <c r="M606" s="177"/>
      <c r="N606" s="177"/>
      <c r="O606" s="137" t="str">
        <f t="shared" si="18"/>
        <v>-</v>
      </c>
    </row>
    <row r="607" spans="2:15" x14ac:dyDescent="0.2">
      <c r="B607" s="45"/>
      <c r="C607" s="42"/>
      <c r="D607" s="260"/>
      <c r="E607" s="261"/>
      <c r="F607" s="186"/>
      <c r="G607" s="80"/>
      <c r="H607" s="80"/>
      <c r="I607" s="185"/>
      <c r="J607" s="91"/>
      <c r="K607" s="98"/>
      <c r="L607" s="177"/>
      <c r="M607" s="177"/>
      <c r="N607" s="177"/>
      <c r="O607" s="137" t="str">
        <f t="shared" si="18"/>
        <v>-</v>
      </c>
    </row>
    <row r="608" spans="2:15" x14ac:dyDescent="0.2">
      <c r="B608" s="45"/>
      <c r="C608" s="43"/>
      <c r="D608" s="260"/>
      <c r="E608" s="261"/>
      <c r="F608" s="186"/>
      <c r="G608" s="80"/>
      <c r="H608" s="80"/>
      <c r="I608" s="185"/>
      <c r="J608" s="91"/>
      <c r="K608" s="98"/>
      <c r="L608" s="177"/>
      <c r="M608" s="177"/>
      <c r="N608" s="177"/>
      <c r="O608" s="137" t="str">
        <f t="shared" si="18"/>
        <v>-</v>
      </c>
    </row>
    <row r="609" spans="2:15" x14ac:dyDescent="0.2">
      <c r="B609" s="45"/>
      <c r="C609" s="43"/>
      <c r="D609" s="260"/>
      <c r="E609" s="261"/>
      <c r="F609" s="186"/>
      <c r="G609" s="80"/>
      <c r="H609" s="80"/>
      <c r="I609" s="185"/>
      <c r="J609" s="91"/>
      <c r="K609" s="98"/>
      <c r="L609" s="177"/>
      <c r="M609" s="177"/>
      <c r="N609" s="177"/>
      <c r="O609" s="137" t="str">
        <f t="shared" si="18"/>
        <v>-</v>
      </c>
    </row>
    <row r="610" spans="2:15" x14ac:dyDescent="0.2">
      <c r="B610" s="45"/>
      <c r="C610" s="42"/>
      <c r="D610" s="260"/>
      <c r="E610" s="261"/>
      <c r="F610" s="186"/>
      <c r="G610" s="80"/>
      <c r="H610" s="80"/>
      <c r="I610" s="185"/>
      <c r="J610" s="91"/>
      <c r="K610" s="98"/>
      <c r="L610" s="177"/>
      <c r="M610" s="177"/>
      <c r="N610" s="177"/>
      <c r="O610" s="137" t="str">
        <f t="shared" si="18"/>
        <v>-</v>
      </c>
    </row>
    <row r="611" spans="2:15" x14ac:dyDescent="0.2">
      <c r="B611" s="45"/>
      <c r="C611" s="43"/>
      <c r="D611" s="260"/>
      <c r="E611" s="261"/>
      <c r="F611" s="186"/>
      <c r="G611" s="80"/>
      <c r="H611" s="80"/>
      <c r="I611" s="185"/>
      <c r="J611" s="91"/>
      <c r="K611" s="98"/>
      <c r="L611" s="177"/>
      <c r="M611" s="177"/>
      <c r="N611" s="177"/>
      <c r="O611" s="137" t="str">
        <f t="shared" si="18"/>
        <v>-</v>
      </c>
    </row>
    <row r="612" spans="2:15" x14ac:dyDescent="0.2">
      <c r="B612" s="45"/>
      <c r="C612" s="43"/>
      <c r="D612" s="260"/>
      <c r="E612" s="261"/>
      <c r="F612" s="186"/>
      <c r="G612" s="80"/>
      <c r="H612" s="80"/>
      <c r="I612" s="185"/>
      <c r="J612" s="91"/>
      <c r="K612" s="98"/>
      <c r="L612" s="177"/>
      <c r="M612" s="177"/>
      <c r="N612" s="177"/>
      <c r="O612" s="137" t="str">
        <f t="shared" si="18"/>
        <v>-</v>
      </c>
    </row>
    <row r="613" spans="2:15" x14ac:dyDescent="0.2">
      <c r="B613" s="45"/>
      <c r="C613" s="42"/>
      <c r="D613" s="260"/>
      <c r="E613" s="261"/>
      <c r="F613" s="186"/>
      <c r="G613" s="80"/>
      <c r="H613" s="80"/>
      <c r="I613" s="185"/>
      <c r="J613" s="91"/>
      <c r="K613" s="98"/>
      <c r="L613" s="177"/>
      <c r="M613" s="177"/>
      <c r="N613" s="177"/>
      <c r="O613" s="137" t="str">
        <f t="shared" si="18"/>
        <v>-</v>
      </c>
    </row>
    <row r="614" spans="2:15" x14ac:dyDescent="0.2">
      <c r="B614" s="45"/>
      <c r="C614" s="43"/>
      <c r="D614" s="260"/>
      <c r="E614" s="261"/>
      <c r="F614" s="186"/>
      <c r="G614" s="80"/>
      <c r="H614" s="80"/>
      <c r="I614" s="185"/>
      <c r="J614" s="91"/>
      <c r="K614" s="98"/>
      <c r="L614" s="177"/>
      <c r="M614" s="177"/>
      <c r="N614" s="177"/>
      <c r="O614" s="137" t="str">
        <f t="shared" si="18"/>
        <v>-</v>
      </c>
    </row>
    <row r="615" spans="2:15" x14ac:dyDescent="0.2">
      <c r="B615" s="45"/>
      <c r="C615" s="43"/>
      <c r="D615" s="260"/>
      <c r="E615" s="261"/>
      <c r="F615" s="186"/>
      <c r="G615" s="80"/>
      <c r="H615" s="80"/>
      <c r="I615" s="185"/>
      <c r="J615" s="91"/>
      <c r="K615" s="98"/>
      <c r="L615" s="177"/>
      <c r="M615" s="177"/>
      <c r="N615" s="177"/>
      <c r="O615" s="137" t="str">
        <f t="shared" si="18"/>
        <v>-</v>
      </c>
    </row>
    <row r="616" spans="2:15" x14ac:dyDescent="0.2">
      <c r="B616" s="45"/>
      <c r="C616" s="42"/>
      <c r="D616" s="260"/>
      <c r="E616" s="261"/>
      <c r="F616" s="186"/>
      <c r="G616" s="80"/>
      <c r="H616" s="80"/>
      <c r="I616" s="185"/>
      <c r="J616" s="91"/>
      <c r="K616" s="98"/>
      <c r="L616" s="177"/>
      <c r="M616" s="177"/>
      <c r="N616" s="177"/>
      <c r="O616" s="137" t="str">
        <f t="shared" si="18"/>
        <v>-</v>
      </c>
    </row>
    <row r="617" spans="2:15" x14ac:dyDescent="0.2">
      <c r="B617" s="45"/>
      <c r="C617" s="43"/>
      <c r="D617" s="260"/>
      <c r="E617" s="261"/>
      <c r="F617" s="186"/>
      <c r="G617" s="80"/>
      <c r="H617" s="80"/>
      <c r="I617" s="185"/>
      <c r="J617" s="91"/>
      <c r="K617" s="98"/>
      <c r="L617" s="177"/>
      <c r="M617" s="177"/>
      <c r="N617" s="177"/>
      <c r="O617" s="137" t="str">
        <f t="shared" si="18"/>
        <v>-</v>
      </c>
    </row>
    <row r="618" spans="2:15" x14ac:dyDescent="0.2">
      <c r="B618" s="45"/>
      <c r="C618" s="43"/>
      <c r="D618" s="260"/>
      <c r="E618" s="261"/>
      <c r="F618" s="186"/>
      <c r="G618" s="80"/>
      <c r="H618" s="80"/>
      <c r="I618" s="185"/>
      <c r="J618" s="91"/>
      <c r="K618" s="98"/>
      <c r="L618" s="177"/>
      <c r="M618" s="177"/>
      <c r="N618" s="177"/>
      <c r="O618" s="137" t="str">
        <f t="shared" si="18"/>
        <v>-</v>
      </c>
    </row>
    <row r="619" spans="2:15" x14ac:dyDescent="0.2">
      <c r="B619" s="45"/>
      <c r="C619" s="42"/>
      <c r="D619" s="260"/>
      <c r="E619" s="261"/>
      <c r="F619" s="186"/>
      <c r="G619" s="80"/>
      <c r="H619" s="80"/>
      <c r="I619" s="185"/>
      <c r="J619" s="91"/>
      <c r="K619" s="98"/>
      <c r="L619" s="177"/>
      <c r="M619" s="177"/>
      <c r="N619" s="177"/>
      <c r="O619" s="137" t="str">
        <f t="shared" si="18"/>
        <v>-</v>
      </c>
    </row>
    <row r="620" spans="2:15" x14ac:dyDescent="0.2">
      <c r="B620" s="45"/>
      <c r="C620" s="43"/>
      <c r="D620" s="260"/>
      <c r="E620" s="261"/>
      <c r="F620" s="186"/>
      <c r="G620" s="80"/>
      <c r="H620" s="80"/>
      <c r="I620" s="185"/>
      <c r="J620" s="91"/>
      <c r="K620" s="98"/>
      <c r="L620" s="177"/>
      <c r="M620" s="177"/>
      <c r="N620" s="177"/>
      <c r="O620" s="137" t="str">
        <f t="shared" si="18"/>
        <v>-</v>
      </c>
    </row>
    <row r="621" spans="2:15" x14ac:dyDescent="0.2">
      <c r="B621" s="45"/>
      <c r="C621" s="43"/>
      <c r="D621" s="260"/>
      <c r="E621" s="261"/>
      <c r="F621" s="186"/>
      <c r="G621" s="80"/>
      <c r="H621" s="80"/>
      <c r="I621" s="185"/>
      <c r="J621" s="91"/>
      <c r="K621" s="98"/>
      <c r="L621" s="177"/>
      <c r="M621" s="177"/>
      <c r="N621" s="177"/>
      <c r="O621" s="137" t="str">
        <f t="shared" si="18"/>
        <v>-</v>
      </c>
    </row>
    <row r="622" spans="2:15" x14ac:dyDescent="0.2">
      <c r="B622" s="45"/>
      <c r="C622" s="42"/>
      <c r="D622" s="260"/>
      <c r="E622" s="261"/>
      <c r="F622" s="186"/>
      <c r="G622" s="80"/>
      <c r="H622" s="80"/>
      <c r="I622" s="185"/>
      <c r="J622" s="91"/>
      <c r="K622" s="98"/>
      <c r="L622" s="177"/>
      <c r="M622" s="177"/>
      <c r="N622" s="177"/>
      <c r="O622" s="137" t="str">
        <f t="shared" si="18"/>
        <v>-</v>
      </c>
    </row>
    <row r="623" spans="2:15" x14ac:dyDescent="0.2">
      <c r="B623" s="45"/>
      <c r="C623" s="43"/>
      <c r="D623" s="260"/>
      <c r="E623" s="261"/>
      <c r="F623" s="186"/>
      <c r="G623" s="80"/>
      <c r="H623" s="80"/>
      <c r="I623" s="185"/>
      <c r="J623" s="91"/>
      <c r="K623" s="98"/>
      <c r="L623" s="177"/>
      <c r="M623" s="177"/>
      <c r="N623" s="177"/>
      <c r="O623" s="137" t="str">
        <f t="shared" si="18"/>
        <v>-</v>
      </c>
    </row>
    <row r="624" spans="2:15" x14ac:dyDescent="0.2">
      <c r="B624" s="45"/>
      <c r="C624" s="43"/>
      <c r="D624" s="260"/>
      <c r="E624" s="261"/>
      <c r="F624" s="186"/>
      <c r="G624" s="80"/>
      <c r="H624" s="80"/>
      <c r="I624" s="185"/>
      <c r="J624" s="91"/>
      <c r="K624" s="98"/>
      <c r="L624" s="177"/>
      <c r="M624" s="177"/>
      <c r="N624" s="177"/>
      <c r="O624" s="137" t="str">
        <f t="shared" si="18"/>
        <v>-</v>
      </c>
    </row>
    <row r="625" spans="2:15" x14ac:dyDescent="0.2">
      <c r="B625" s="45"/>
      <c r="C625" s="42"/>
      <c r="D625" s="260"/>
      <c r="E625" s="261"/>
      <c r="F625" s="186"/>
      <c r="G625" s="80"/>
      <c r="H625" s="80"/>
      <c r="I625" s="185"/>
      <c r="J625" s="91"/>
      <c r="K625" s="98"/>
      <c r="L625" s="177"/>
      <c r="M625" s="177"/>
      <c r="N625" s="177"/>
      <c r="O625" s="137" t="str">
        <f t="shared" si="18"/>
        <v>-</v>
      </c>
    </row>
    <row r="626" spans="2:15" x14ac:dyDescent="0.2">
      <c r="B626" s="45"/>
      <c r="C626" s="43"/>
      <c r="D626" s="260"/>
      <c r="E626" s="261"/>
      <c r="F626" s="186"/>
      <c r="G626" s="80"/>
      <c r="H626" s="80"/>
      <c r="I626" s="185"/>
      <c r="J626" s="91"/>
      <c r="K626" s="98"/>
      <c r="L626" s="177"/>
      <c r="M626" s="177"/>
      <c r="N626" s="177"/>
      <c r="O626" s="137" t="str">
        <f t="shared" si="18"/>
        <v>-</v>
      </c>
    </row>
    <row r="627" spans="2:15" x14ac:dyDescent="0.2">
      <c r="B627" s="45"/>
      <c r="C627" s="43"/>
      <c r="D627" s="260"/>
      <c r="E627" s="261"/>
      <c r="F627" s="186"/>
      <c r="G627" s="80"/>
      <c r="H627" s="80"/>
      <c r="I627" s="185"/>
      <c r="J627" s="91"/>
      <c r="K627" s="98"/>
      <c r="L627" s="177"/>
      <c r="M627" s="177"/>
      <c r="N627" s="177"/>
      <c r="O627" s="137" t="str">
        <f t="shared" si="18"/>
        <v>-</v>
      </c>
    </row>
    <row r="628" spans="2:15" x14ac:dyDescent="0.2">
      <c r="B628" s="45"/>
      <c r="C628" s="42"/>
      <c r="D628" s="260"/>
      <c r="E628" s="261"/>
      <c r="F628" s="186"/>
      <c r="G628" s="80"/>
      <c r="H628" s="80"/>
      <c r="I628" s="185"/>
      <c r="J628" s="91"/>
      <c r="K628" s="98"/>
      <c r="L628" s="177"/>
      <c r="M628" s="177"/>
      <c r="N628" s="177"/>
      <c r="O628" s="137" t="str">
        <f t="shared" si="18"/>
        <v>-</v>
      </c>
    </row>
    <row r="629" spans="2:15" x14ac:dyDescent="0.2">
      <c r="B629" s="45"/>
      <c r="C629" s="43"/>
      <c r="D629" s="260"/>
      <c r="E629" s="261"/>
      <c r="F629" s="186"/>
      <c r="G629" s="80"/>
      <c r="H629" s="80"/>
      <c r="I629" s="185"/>
      <c r="J629" s="91"/>
      <c r="K629" s="98"/>
      <c r="L629" s="177"/>
      <c r="M629" s="177"/>
      <c r="N629" s="177"/>
      <c r="O629" s="137" t="str">
        <f t="shared" si="18"/>
        <v>-</v>
      </c>
    </row>
    <row r="630" spans="2:15" x14ac:dyDescent="0.2">
      <c r="B630" s="45"/>
      <c r="C630" s="43"/>
      <c r="D630" s="260"/>
      <c r="E630" s="261"/>
      <c r="F630" s="186"/>
      <c r="G630" s="80"/>
      <c r="H630" s="80"/>
      <c r="I630" s="185"/>
      <c r="J630" s="91"/>
      <c r="K630" s="98"/>
      <c r="L630" s="177"/>
      <c r="M630" s="177"/>
      <c r="N630" s="177"/>
      <c r="O630" s="137" t="str">
        <f t="shared" si="18"/>
        <v>-</v>
      </c>
    </row>
    <row r="631" spans="2:15" x14ac:dyDescent="0.2">
      <c r="B631" s="45"/>
      <c r="C631" s="42"/>
      <c r="D631" s="260"/>
      <c r="E631" s="261"/>
      <c r="F631" s="186"/>
      <c r="G631" s="80"/>
      <c r="H631" s="80"/>
      <c r="I631" s="185"/>
      <c r="J631" s="91"/>
      <c r="K631" s="98"/>
      <c r="L631" s="177"/>
      <c r="M631" s="177"/>
      <c r="N631" s="177"/>
      <c r="O631" s="137" t="str">
        <f t="shared" si="18"/>
        <v>-</v>
      </c>
    </row>
    <row r="632" spans="2:15" x14ac:dyDescent="0.2">
      <c r="B632" s="45"/>
      <c r="C632" s="43"/>
      <c r="D632" s="260"/>
      <c r="E632" s="261"/>
      <c r="F632" s="186"/>
      <c r="G632" s="80"/>
      <c r="H632" s="80"/>
      <c r="I632" s="185"/>
      <c r="J632" s="91"/>
      <c r="K632" s="98"/>
      <c r="L632" s="177"/>
      <c r="M632" s="177"/>
      <c r="N632" s="177"/>
      <c r="O632" s="137" t="str">
        <f t="shared" si="18"/>
        <v>-</v>
      </c>
    </row>
    <row r="633" spans="2:15" x14ac:dyDescent="0.2">
      <c r="B633" s="45"/>
      <c r="C633" s="43"/>
      <c r="D633" s="260"/>
      <c r="E633" s="261"/>
      <c r="F633" s="186"/>
      <c r="G633" s="80"/>
      <c r="H633" s="80"/>
      <c r="I633" s="185"/>
      <c r="J633" s="91"/>
      <c r="K633" s="98"/>
      <c r="L633" s="177"/>
      <c r="M633" s="177"/>
      <c r="N633" s="177"/>
      <c r="O633" s="137" t="str">
        <f t="shared" si="18"/>
        <v>-</v>
      </c>
    </row>
    <row r="634" spans="2:15" x14ac:dyDescent="0.2">
      <c r="B634" s="45"/>
      <c r="C634" s="42"/>
      <c r="D634" s="260"/>
      <c r="E634" s="261"/>
      <c r="F634" s="186"/>
      <c r="G634" s="80"/>
      <c r="H634" s="80"/>
      <c r="I634" s="185"/>
      <c r="J634" s="91"/>
      <c r="K634" s="98"/>
      <c r="L634" s="177"/>
      <c r="M634" s="177"/>
      <c r="N634" s="177"/>
      <c r="O634" s="137" t="str">
        <f t="shared" si="18"/>
        <v>-</v>
      </c>
    </row>
    <row r="635" spans="2:15" x14ac:dyDescent="0.2">
      <c r="B635" s="45"/>
      <c r="C635" s="43"/>
      <c r="D635" s="260"/>
      <c r="E635" s="261"/>
      <c r="F635" s="186"/>
      <c r="G635" s="80"/>
      <c r="H635" s="80"/>
      <c r="I635" s="185"/>
      <c r="J635" s="91"/>
      <c r="K635" s="98"/>
      <c r="L635" s="177"/>
      <c r="M635" s="177"/>
      <c r="N635" s="177"/>
      <c r="O635" s="137" t="str">
        <f t="shared" si="18"/>
        <v>-</v>
      </c>
    </row>
    <row r="636" spans="2:15" x14ac:dyDescent="0.2">
      <c r="B636" s="45"/>
      <c r="C636" s="43"/>
      <c r="D636" s="260"/>
      <c r="E636" s="261"/>
      <c r="F636" s="186"/>
      <c r="G636" s="80"/>
      <c r="H636" s="80"/>
      <c r="I636" s="185"/>
      <c r="J636" s="91"/>
      <c r="K636" s="98"/>
      <c r="L636" s="177"/>
      <c r="M636" s="177"/>
      <c r="N636" s="177"/>
      <c r="O636" s="137" t="str">
        <f t="shared" si="18"/>
        <v>-</v>
      </c>
    </row>
    <row r="637" spans="2:15" x14ac:dyDescent="0.2">
      <c r="B637" s="45"/>
      <c r="C637" s="42"/>
      <c r="D637" s="260"/>
      <c r="E637" s="261"/>
      <c r="F637" s="186"/>
      <c r="G637" s="80"/>
      <c r="H637" s="80"/>
      <c r="I637" s="185"/>
      <c r="J637" s="91"/>
      <c r="K637" s="98"/>
      <c r="L637" s="177"/>
      <c r="M637" s="177"/>
      <c r="N637" s="177"/>
      <c r="O637" s="137" t="str">
        <f t="shared" si="18"/>
        <v>-</v>
      </c>
    </row>
    <row r="638" spans="2:15" x14ac:dyDescent="0.2">
      <c r="B638" s="45"/>
      <c r="C638" s="43"/>
      <c r="D638" s="260"/>
      <c r="E638" s="261"/>
      <c r="F638" s="186"/>
      <c r="G638" s="80"/>
      <c r="H638" s="80"/>
      <c r="I638" s="185"/>
      <c r="J638" s="91"/>
      <c r="K638" s="98"/>
      <c r="L638" s="177"/>
      <c r="M638" s="177"/>
      <c r="N638" s="177"/>
      <c r="O638" s="137" t="str">
        <f t="shared" si="18"/>
        <v>-</v>
      </c>
    </row>
    <row r="639" spans="2:15" x14ac:dyDescent="0.2">
      <c r="B639" s="45"/>
      <c r="C639" s="43"/>
      <c r="D639" s="260"/>
      <c r="E639" s="261"/>
      <c r="F639" s="186"/>
      <c r="G639" s="80"/>
      <c r="H639" s="80"/>
      <c r="I639" s="185"/>
      <c r="J639" s="91"/>
      <c r="K639" s="98"/>
      <c r="L639" s="177"/>
      <c r="M639" s="177"/>
      <c r="N639" s="177"/>
      <c r="O639" s="137" t="str">
        <f t="shared" si="18"/>
        <v>-</v>
      </c>
    </row>
    <row r="640" spans="2:15" x14ac:dyDescent="0.2">
      <c r="B640" s="45"/>
      <c r="C640" s="42"/>
      <c r="D640" s="260"/>
      <c r="E640" s="261"/>
      <c r="F640" s="186"/>
      <c r="G640" s="80"/>
      <c r="H640" s="80"/>
      <c r="I640" s="185"/>
      <c r="J640" s="91"/>
      <c r="K640" s="98"/>
      <c r="L640" s="177"/>
      <c r="M640" s="177"/>
      <c r="N640" s="177"/>
      <c r="O640" s="137" t="str">
        <f t="shared" si="18"/>
        <v>-</v>
      </c>
    </row>
    <row r="641" spans="2:15" x14ac:dyDescent="0.2">
      <c r="B641" s="45"/>
      <c r="C641" s="43"/>
      <c r="D641" s="260"/>
      <c r="E641" s="261"/>
      <c r="F641" s="186"/>
      <c r="G641" s="80"/>
      <c r="H641" s="80"/>
      <c r="I641" s="185"/>
      <c r="J641" s="91"/>
      <c r="K641" s="98"/>
      <c r="L641" s="177"/>
      <c r="M641" s="177"/>
      <c r="N641" s="177"/>
      <c r="O641" s="137" t="str">
        <f t="shared" ref="O641:O704" si="19">IF(G640="","-",IF(J640="","",J640))</f>
        <v>-</v>
      </c>
    </row>
    <row r="642" spans="2:15" x14ac:dyDescent="0.2">
      <c r="B642" s="45"/>
      <c r="C642" s="43"/>
      <c r="D642" s="260"/>
      <c r="E642" s="261"/>
      <c r="F642" s="186"/>
      <c r="G642" s="80"/>
      <c r="H642" s="80"/>
      <c r="I642" s="185"/>
      <c r="J642" s="91"/>
      <c r="K642" s="98"/>
      <c r="L642" s="177"/>
      <c r="M642" s="177"/>
      <c r="N642" s="177"/>
      <c r="O642" s="137" t="str">
        <f t="shared" si="19"/>
        <v>-</v>
      </c>
    </row>
    <row r="643" spans="2:15" x14ac:dyDescent="0.2">
      <c r="B643" s="45"/>
      <c r="C643" s="42"/>
      <c r="D643" s="260"/>
      <c r="E643" s="261"/>
      <c r="F643" s="186"/>
      <c r="G643" s="80"/>
      <c r="H643" s="80"/>
      <c r="I643" s="185"/>
      <c r="J643" s="91"/>
      <c r="K643" s="98"/>
      <c r="L643" s="177"/>
      <c r="M643" s="177"/>
      <c r="N643" s="177"/>
      <c r="O643" s="137" t="str">
        <f t="shared" si="19"/>
        <v>-</v>
      </c>
    </row>
    <row r="644" spans="2:15" x14ac:dyDescent="0.2">
      <c r="B644" s="45"/>
      <c r="C644" s="43"/>
      <c r="D644" s="260"/>
      <c r="E644" s="261"/>
      <c r="F644" s="186"/>
      <c r="G644" s="80"/>
      <c r="H644" s="80"/>
      <c r="I644" s="185"/>
      <c r="J644" s="91"/>
      <c r="K644" s="98"/>
      <c r="L644" s="177"/>
      <c r="M644" s="177"/>
      <c r="N644" s="177"/>
      <c r="O644" s="137" t="str">
        <f t="shared" si="19"/>
        <v>-</v>
      </c>
    </row>
    <row r="645" spans="2:15" x14ac:dyDescent="0.2">
      <c r="B645" s="45"/>
      <c r="C645" s="43"/>
      <c r="D645" s="260"/>
      <c r="E645" s="261"/>
      <c r="F645" s="186"/>
      <c r="G645" s="80"/>
      <c r="H645" s="80"/>
      <c r="I645" s="185"/>
      <c r="J645" s="91"/>
      <c r="K645" s="98"/>
      <c r="L645" s="177"/>
      <c r="M645" s="177"/>
      <c r="N645" s="177"/>
      <c r="O645" s="137" t="str">
        <f t="shared" si="19"/>
        <v>-</v>
      </c>
    </row>
    <row r="646" spans="2:15" x14ac:dyDescent="0.2">
      <c r="B646" s="45"/>
      <c r="C646" s="42"/>
      <c r="D646" s="260"/>
      <c r="E646" s="261"/>
      <c r="F646" s="186"/>
      <c r="G646" s="80"/>
      <c r="H646" s="80"/>
      <c r="I646" s="185"/>
      <c r="J646" s="91"/>
      <c r="K646" s="98"/>
      <c r="L646" s="177"/>
      <c r="M646" s="177"/>
      <c r="N646" s="177"/>
      <c r="O646" s="137" t="str">
        <f t="shared" si="19"/>
        <v>-</v>
      </c>
    </row>
    <row r="647" spans="2:15" x14ac:dyDescent="0.2">
      <c r="B647" s="45"/>
      <c r="C647" s="43"/>
      <c r="D647" s="260"/>
      <c r="E647" s="261"/>
      <c r="F647" s="186"/>
      <c r="G647" s="80"/>
      <c r="H647" s="80"/>
      <c r="I647" s="185"/>
      <c r="J647" s="91"/>
      <c r="K647" s="98"/>
      <c r="L647" s="177"/>
      <c r="M647" s="177"/>
      <c r="N647" s="177"/>
      <c r="O647" s="137" t="str">
        <f t="shared" si="19"/>
        <v>-</v>
      </c>
    </row>
    <row r="648" spans="2:15" x14ac:dyDescent="0.2">
      <c r="B648" s="45"/>
      <c r="C648" s="43"/>
      <c r="D648" s="260"/>
      <c r="E648" s="261"/>
      <c r="F648" s="186"/>
      <c r="G648" s="80"/>
      <c r="H648" s="80"/>
      <c r="I648" s="185"/>
      <c r="J648" s="91"/>
      <c r="K648" s="98"/>
      <c r="L648" s="177"/>
      <c r="M648" s="177"/>
      <c r="N648" s="177"/>
      <c r="O648" s="137" t="str">
        <f t="shared" si="19"/>
        <v>-</v>
      </c>
    </row>
    <row r="649" spans="2:15" x14ac:dyDescent="0.2">
      <c r="B649" s="45"/>
      <c r="C649" s="42"/>
      <c r="D649" s="260"/>
      <c r="E649" s="261"/>
      <c r="F649" s="186"/>
      <c r="G649" s="80"/>
      <c r="H649" s="80"/>
      <c r="I649" s="185"/>
      <c r="J649" s="91"/>
      <c r="K649" s="98"/>
      <c r="L649" s="177"/>
      <c r="M649" s="177"/>
      <c r="N649" s="177"/>
      <c r="O649" s="137" t="str">
        <f t="shared" si="19"/>
        <v>-</v>
      </c>
    </row>
    <row r="650" spans="2:15" x14ac:dyDescent="0.2">
      <c r="B650" s="45"/>
      <c r="C650" s="43"/>
      <c r="D650" s="260"/>
      <c r="E650" s="261"/>
      <c r="F650" s="186"/>
      <c r="G650" s="80"/>
      <c r="H650" s="80"/>
      <c r="I650" s="185"/>
      <c r="J650" s="91"/>
      <c r="K650" s="98"/>
      <c r="L650" s="177"/>
      <c r="M650" s="177"/>
      <c r="N650" s="177"/>
      <c r="O650" s="137" t="str">
        <f t="shared" si="19"/>
        <v>-</v>
      </c>
    </row>
    <row r="651" spans="2:15" x14ac:dyDescent="0.2">
      <c r="B651" s="45"/>
      <c r="C651" s="43"/>
      <c r="D651" s="260"/>
      <c r="E651" s="261"/>
      <c r="F651" s="186"/>
      <c r="G651" s="80"/>
      <c r="H651" s="80"/>
      <c r="I651" s="185"/>
      <c r="J651" s="91"/>
      <c r="K651" s="98"/>
      <c r="L651" s="177"/>
      <c r="M651" s="177"/>
      <c r="N651" s="177"/>
      <c r="O651" s="137" t="str">
        <f t="shared" si="19"/>
        <v>-</v>
      </c>
    </row>
    <row r="652" spans="2:15" x14ac:dyDescent="0.2">
      <c r="B652" s="45"/>
      <c r="C652" s="42"/>
      <c r="D652" s="260"/>
      <c r="E652" s="261"/>
      <c r="F652" s="186"/>
      <c r="G652" s="80"/>
      <c r="H652" s="80"/>
      <c r="I652" s="185"/>
      <c r="J652" s="91"/>
      <c r="K652" s="98"/>
      <c r="L652" s="177"/>
      <c r="M652" s="177"/>
      <c r="N652" s="177"/>
      <c r="O652" s="137" t="str">
        <f t="shared" si="19"/>
        <v>-</v>
      </c>
    </row>
    <row r="653" spans="2:15" x14ac:dyDescent="0.2">
      <c r="B653" s="45"/>
      <c r="C653" s="43"/>
      <c r="D653" s="260"/>
      <c r="E653" s="261"/>
      <c r="F653" s="186"/>
      <c r="G653" s="80"/>
      <c r="H653" s="80"/>
      <c r="I653" s="185"/>
      <c r="J653" s="91"/>
      <c r="K653" s="98"/>
      <c r="L653" s="177"/>
      <c r="M653" s="177"/>
      <c r="N653" s="177"/>
      <c r="O653" s="137" t="str">
        <f t="shared" si="19"/>
        <v>-</v>
      </c>
    </row>
    <row r="654" spans="2:15" x14ac:dyDescent="0.2">
      <c r="B654" s="45"/>
      <c r="C654" s="43"/>
      <c r="D654" s="260"/>
      <c r="E654" s="261"/>
      <c r="F654" s="186"/>
      <c r="G654" s="80"/>
      <c r="H654" s="80"/>
      <c r="I654" s="185"/>
      <c r="J654" s="91"/>
      <c r="K654" s="98"/>
      <c r="L654" s="177"/>
      <c r="M654" s="177"/>
      <c r="N654" s="177"/>
      <c r="O654" s="137" t="str">
        <f t="shared" si="19"/>
        <v>-</v>
      </c>
    </row>
    <row r="655" spans="2:15" x14ac:dyDescent="0.2">
      <c r="B655" s="45"/>
      <c r="C655" s="42"/>
      <c r="D655" s="260"/>
      <c r="E655" s="261"/>
      <c r="F655" s="186"/>
      <c r="G655" s="80"/>
      <c r="H655" s="80"/>
      <c r="I655" s="185"/>
      <c r="J655" s="91"/>
      <c r="K655" s="98"/>
      <c r="L655" s="177"/>
      <c r="M655" s="177"/>
      <c r="N655" s="177"/>
      <c r="O655" s="137" t="str">
        <f t="shared" si="19"/>
        <v>-</v>
      </c>
    </row>
    <row r="656" spans="2:15" x14ac:dyDescent="0.2">
      <c r="B656" s="45"/>
      <c r="C656" s="43"/>
      <c r="D656" s="260"/>
      <c r="E656" s="261"/>
      <c r="F656" s="186"/>
      <c r="G656" s="80"/>
      <c r="H656" s="80"/>
      <c r="I656" s="185"/>
      <c r="J656" s="91"/>
      <c r="K656" s="98"/>
      <c r="L656" s="177"/>
      <c r="M656" s="177"/>
      <c r="N656" s="177"/>
      <c r="O656" s="137" t="str">
        <f t="shared" si="19"/>
        <v>-</v>
      </c>
    </row>
    <row r="657" spans="2:15" x14ac:dyDescent="0.2">
      <c r="B657" s="45"/>
      <c r="C657" s="43"/>
      <c r="D657" s="260"/>
      <c r="E657" s="261"/>
      <c r="F657" s="186"/>
      <c r="G657" s="80"/>
      <c r="H657" s="80"/>
      <c r="I657" s="185"/>
      <c r="J657" s="91"/>
      <c r="K657" s="98"/>
      <c r="L657" s="177"/>
      <c r="M657" s="177"/>
      <c r="N657" s="177"/>
      <c r="O657" s="137" t="str">
        <f t="shared" si="19"/>
        <v>-</v>
      </c>
    </row>
    <row r="658" spans="2:15" x14ac:dyDescent="0.2">
      <c r="B658" s="45"/>
      <c r="C658" s="42"/>
      <c r="D658" s="260"/>
      <c r="E658" s="261"/>
      <c r="F658" s="186"/>
      <c r="G658" s="80"/>
      <c r="H658" s="80"/>
      <c r="I658" s="185"/>
      <c r="J658" s="91"/>
      <c r="K658" s="98"/>
      <c r="L658" s="177"/>
      <c r="M658" s="177"/>
      <c r="N658" s="177"/>
      <c r="O658" s="137" t="str">
        <f t="shared" si="19"/>
        <v>-</v>
      </c>
    </row>
    <row r="659" spans="2:15" x14ac:dyDescent="0.2">
      <c r="B659" s="45"/>
      <c r="C659" s="43"/>
      <c r="D659" s="260"/>
      <c r="E659" s="261"/>
      <c r="F659" s="186"/>
      <c r="G659" s="80"/>
      <c r="H659" s="80"/>
      <c r="I659" s="185"/>
      <c r="J659" s="91"/>
      <c r="K659" s="98"/>
      <c r="L659" s="177"/>
      <c r="M659" s="177"/>
      <c r="N659" s="177"/>
      <c r="O659" s="137" t="str">
        <f t="shared" si="19"/>
        <v>-</v>
      </c>
    </row>
    <row r="660" spans="2:15" x14ac:dyDescent="0.2">
      <c r="B660" s="45"/>
      <c r="C660" s="43"/>
      <c r="D660" s="260"/>
      <c r="E660" s="261"/>
      <c r="F660" s="186"/>
      <c r="G660" s="80"/>
      <c r="H660" s="80"/>
      <c r="I660" s="185"/>
      <c r="J660" s="91"/>
      <c r="K660" s="98"/>
      <c r="L660" s="177"/>
      <c r="M660" s="177"/>
      <c r="N660" s="177"/>
      <c r="O660" s="137" t="str">
        <f t="shared" si="19"/>
        <v>-</v>
      </c>
    </row>
    <row r="661" spans="2:15" x14ac:dyDescent="0.2">
      <c r="B661" s="45"/>
      <c r="C661" s="42"/>
      <c r="D661" s="260"/>
      <c r="E661" s="261"/>
      <c r="F661" s="186"/>
      <c r="G661" s="80"/>
      <c r="H661" s="80"/>
      <c r="I661" s="185"/>
      <c r="J661" s="91"/>
      <c r="K661" s="98"/>
      <c r="L661" s="177"/>
      <c r="M661" s="177"/>
      <c r="N661" s="177"/>
      <c r="O661" s="137" t="str">
        <f t="shared" si="19"/>
        <v>-</v>
      </c>
    </row>
    <row r="662" spans="2:15" x14ac:dyDescent="0.2">
      <c r="B662" s="45"/>
      <c r="C662" s="43"/>
      <c r="D662" s="260"/>
      <c r="E662" s="261"/>
      <c r="F662" s="186"/>
      <c r="G662" s="80"/>
      <c r="H662" s="80"/>
      <c r="I662" s="185"/>
      <c r="J662" s="91"/>
      <c r="K662" s="98"/>
      <c r="L662" s="177"/>
      <c r="M662" s="177"/>
      <c r="N662" s="177"/>
      <c r="O662" s="137" t="str">
        <f t="shared" si="19"/>
        <v>-</v>
      </c>
    </row>
    <row r="663" spans="2:15" x14ac:dyDescent="0.2">
      <c r="B663" s="45"/>
      <c r="C663" s="43"/>
      <c r="D663" s="260"/>
      <c r="E663" s="261"/>
      <c r="F663" s="186"/>
      <c r="G663" s="80"/>
      <c r="H663" s="80"/>
      <c r="I663" s="185"/>
      <c r="J663" s="91"/>
      <c r="K663" s="98"/>
      <c r="L663" s="177"/>
      <c r="M663" s="177"/>
      <c r="N663" s="177"/>
      <c r="O663" s="137" t="str">
        <f t="shared" si="19"/>
        <v>-</v>
      </c>
    </row>
    <row r="664" spans="2:15" x14ac:dyDescent="0.2">
      <c r="B664" s="45"/>
      <c r="C664" s="42"/>
      <c r="D664" s="260"/>
      <c r="E664" s="261"/>
      <c r="F664" s="186"/>
      <c r="G664" s="80"/>
      <c r="H664" s="80"/>
      <c r="I664" s="185"/>
      <c r="J664" s="91"/>
      <c r="K664" s="98"/>
      <c r="L664" s="177"/>
      <c r="M664" s="177"/>
      <c r="N664" s="177"/>
      <c r="O664" s="137" t="str">
        <f t="shared" si="19"/>
        <v>-</v>
      </c>
    </row>
    <row r="665" spans="2:15" x14ac:dyDescent="0.2">
      <c r="B665" s="45"/>
      <c r="C665" s="43"/>
      <c r="D665" s="260"/>
      <c r="E665" s="261"/>
      <c r="F665" s="186"/>
      <c r="G665" s="80"/>
      <c r="H665" s="80"/>
      <c r="I665" s="185"/>
      <c r="J665" s="91"/>
      <c r="K665" s="98"/>
      <c r="L665" s="177"/>
      <c r="M665" s="177"/>
      <c r="N665" s="177"/>
      <c r="O665" s="137" t="str">
        <f t="shared" si="19"/>
        <v>-</v>
      </c>
    </row>
    <row r="666" spans="2:15" x14ac:dyDescent="0.2">
      <c r="B666" s="45"/>
      <c r="C666" s="43"/>
      <c r="D666" s="260"/>
      <c r="E666" s="261"/>
      <c r="F666" s="186"/>
      <c r="G666" s="80"/>
      <c r="H666" s="80"/>
      <c r="I666" s="185"/>
      <c r="J666" s="91"/>
      <c r="K666" s="98"/>
      <c r="L666" s="177"/>
      <c r="M666" s="177"/>
      <c r="N666" s="177"/>
      <c r="O666" s="137" t="str">
        <f t="shared" si="19"/>
        <v>-</v>
      </c>
    </row>
    <row r="667" spans="2:15" x14ac:dyDescent="0.2">
      <c r="B667" s="45"/>
      <c r="C667" s="42"/>
      <c r="D667" s="260"/>
      <c r="E667" s="261"/>
      <c r="F667" s="186"/>
      <c r="G667" s="80"/>
      <c r="H667" s="80"/>
      <c r="I667" s="185"/>
      <c r="J667" s="91"/>
      <c r="K667" s="98"/>
      <c r="L667" s="177"/>
      <c r="M667" s="177"/>
      <c r="N667" s="177"/>
      <c r="O667" s="137" t="str">
        <f t="shared" si="19"/>
        <v>-</v>
      </c>
    </row>
    <row r="668" spans="2:15" x14ac:dyDescent="0.2">
      <c r="B668" s="45"/>
      <c r="C668" s="43"/>
      <c r="D668" s="260"/>
      <c r="E668" s="261"/>
      <c r="F668" s="186"/>
      <c r="G668" s="80"/>
      <c r="H668" s="80"/>
      <c r="I668" s="185"/>
      <c r="J668" s="91"/>
      <c r="K668" s="98"/>
      <c r="L668" s="177"/>
      <c r="M668" s="177"/>
      <c r="N668" s="177"/>
      <c r="O668" s="137" t="str">
        <f t="shared" si="19"/>
        <v>-</v>
      </c>
    </row>
    <row r="669" spans="2:15" x14ac:dyDescent="0.2">
      <c r="B669" s="45"/>
      <c r="C669" s="43"/>
      <c r="D669" s="260"/>
      <c r="E669" s="261"/>
      <c r="F669" s="186"/>
      <c r="G669" s="80"/>
      <c r="H669" s="80"/>
      <c r="I669" s="185"/>
      <c r="J669" s="91"/>
      <c r="K669" s="98"/>
      <c r="L669" s="177"/>
      <c r="M669" s="177"/>
      <c r="N669" s="177"/>
      <c r="O669" s="137" t="str">
        <f t="shared" si="19"/>
        <v>-</v>
      </c>
    </row>
    <row r="670" spans="2:15" x14ac:dyDescent="0.2">
      <c r="B670" s="45"/>
      <c r="C670" s="42"/>
      <c r="D670" s="260"/>
      <c r="E670" s="261"/>
      <c r="F670" s="186"/>
      <c r="G670" s="80"/>
      <c r="H670" s="80"/>
      <c r="I670" s="185"/>
      <c r="J670" s="91"/>
      <c r="K670" s="98"/>
      <c r="L670" s="177"/>
      <c r="M670" s="177"/>
      <c r="N670" s="177"/>
      <c r="O670" s="137" t="str">
        <f t="shared" si="19"/>
        <v>-</v>
      </c>
    </row>
    <row r="671" spans="2:15" x14ac:dyDescent="0.2">
      <c r="B671" s="45"/>
      <c r="C671" s="43"/>
      <c r="D671" s="260"/>
      <c r="E671" s="261"/>
      <c r="F671" s="186"/>
      <c r="G671" s="80"/>
      <c r="H671" s="80"/>
      <c r="I671" s="185"/>
      <c r="J671" s="91"/>
      <c r="K671" s="98"/>
      <c r="L671" s="177"/>
      <c r="M671" s="177"/>
      <c r="N671" s="177"/>
      <c r="O671" s="137" t="str">
        <f t="shared" si="19"/>
        <v>-</v>
      </c>
    </row>
    <row r="672" spans="2:15" x14ac:dyDescent="0.2">
      <c r="B672" s="45"/>
      <c r="C672" s="43"/>
      <c r="D672" s="260"/>
      <c r="E672" s="261"/>
      <c r="F672" s="186"/>
      <c r="G672" s="80"/>
      <c r="H672" s="80"/>
      <c r="I672" s="185"/>
      <c r="J672" s="91"/>
      <c r="K672" s="98"/>
      <c r="L672" s="177"/>
      <c r="M672" s="177"/>
      <c r="N672" s="177"/>
      <c r="O672" s="137" t="str">
        <f t="shared" si="19"/>
        <v>-</v>
      </c>
    </row>
    <row r="673" spans="2:15" x14ac:dyDescent="0.2">
      <c r="B673" s="45"/>
      <c r="C673" s="42"/>
      <c r="D673" s="260"/>
      <c r="E673" s="261"/>
      <c r="F673" s="186"/>
      <c r="G673" s="80"/>
      <c r="H673" s="80"/>
      <c r="I673" s="185"/>
      <c r="J673" s="91"/>
      <c r="K673" s="98"/>
      <c r="L673" s="177"/>
      <c r="M673" s="177"/>
      <c r="N673" s="177"/>
      <c r="O673" s="137" t="str">
        <f t="shared" si="19"/>
        <v>-</v>
      </c>
    </row>
    <row r="674" spans="2:15" x14ac:dyDescent="0.2">
      <c r="B674" s="45"/>
      <c r="C674" s="43"/>
      <c r="D674" s="260"/>
      <c r="E674" s="261"/>
      <c r="F674" s="186"/>
      <c r="G674" s="80"/>
      <c r="H674" s="80"/>
      <c r="I674" s="185"/>
      <c r="J674" s="91"/>
      <c r="K674" s="98"/>
      <c r="L674" s="177"/>
      <c r="M674" s="177"/>
      <c r="N674" s="177"/>
      <c r="O674" s="137" t="str">
        <f t="shared" si="19"/>
        <v>-</v>
      </c>
    </row>
    <row r="675" spans="2:15" x14ac:dyDescent="0.2">
      <c r="B675" s="45"/>
      <c r="C675" s="43"/>
      <c r="D675" s="260"/>
      <c r="E675" s="261"/>
      <c r="F675" s="186"/>
      <c r="G675" s="80"/>
      <c r="H675" s="80"/>
      <c r="I675" s="185"/>
      <c r="J675" s="91"/>
      <c r="K675" s="98"/>
      <c r="L675" s="177"/>
      <c r="M675" s="177"/>
      <c r="N675" s="177"/>
      <c r="O675" s="137" t="str">
        <f t="shared" si="19"/>
        <v>-</v>
      </c>
    </row>
    <row r="676" spans="2:15" x14ac:dyDescent="0.2">
      <c r="B676" s="45"/>
      <c r="C676" s="42"/>
      <c r="D676" s="260"/>
      <c r="E676" s="261"/>
      <c r="F676" s="186"/>
      <c r="G676" s="80"/>
      <c r="H676" s="80"/>
      <c r="I676" s="185"/>
      <c r="J676" s="91"/>
      <c r="K676" s="98"/>
      <c r="L676" s="177"/>
      <c r="M676" s="177"/>
      <c r="N676" s="177"/>
      <c r="O676" s="137" t="str">
        <f t="shared" si="19"/>
        <v>-</v>
      </c>
    </row>
    <row r="677" spans="2:15" x14ac:dyDescent="0.2">
      <c r="B677" s="45"/>
      <c r="C677" s="43"/>
      <c r="D677" s="260"/>
      <c r="E677" s="261"/>
      <c r="F677" s="186"/>
      <c r="G677" s="80"/>
      <c r="H677" s="80"/>
      <c r="I677" s="185"/>
      <c r="J677" s="91"/>
      <c r="K677" s="98"/>
      <c r="L677" s="177"/>
      <c r="M677" s="177"/>
      <c r="N677" s="177"/>
      <c r="O677" s="137" t="str">
        <f t="shared" si="19"/>
        <v>-</v>
      </c>
    </row>
    <row r="678" spans="2:15" x14ac:dyDescent="0.2">
      <c r="B678" s="45"/>
      <c r="C678" s="43"/>
      <c r="D678" s="260"/>
      <c r="E678" s="261"/>
      <c r="F678" s="186"/>
      <c r="G678" s="80"/>
      <c r="H678" s="80"/>
      <c r="I678" s="185"/>
      <c r="J678" s="91"/>
      <c r="K678" s="98"/>
      <c r="L678" s="177"/>
      <c r="M678" s="177"/>
      <c r="N678" s="177"/>
      <c r="O678" s="137" t="str">
        <f t="shared" si="19"/>
        <v>-</v>
      </c>
    </row>
    <row r="679" spans="2:15" x14ac:dyDescent="0.2">
      <c r="B679" s="45"/>
      <c r="C679" s="42"/>
      <c r="D679" s="260"/>
      <c r="E679" s="261"/>
      <c r="F679" s="186"/>
      <c r="G679" s="80"/>
      <c r="H679" s="80"/>
      <c r="I679" s="185"/>
      <c r="J679" s="91"/>
      <c r="K679" s="98"/>
      <c r="L679" s="177"/>
      <c r="M679" s="177"/>
      <c r="N679" s="177"/>
      <c r="O679" s="137" t="str">
        <f t="shared" si="19"/>
        <v>-</v>
      </c>
    </row>
    <row r="680" spans="2:15" x14ac:dyDescent="0.2">
      <c r="B680" s="45"/>
      <c r="C680" s="43"/>
      <c r="D680" s="260"/>
      <c r="E680" s="261"/>
      <c r="F680" s="186"/>
      <c r="G680" s="80"/>
      <c r="H680" s="80"/>
      <c r="I680" s="185"/>
      <c r="J680" s="91"/>
      <c r="K680" s="98"/>
      <c r="L680" s="177"/>
      <c r="M680" s="177"/>
      <c r="N680" s="177"/>
      <c r="O680" s="137" t="str">
        <f t="shared" si="19"/>
        <v>-</v>
      </c>
    </row>
    <row r="681" spans="2:15" x14ac:dyDescent="0.2">
      <c r="B681" s="45"/>
      <c r="C681" s="43"/>
      <c r="D681" s="260"/>
      <c r="E681" s="261"/>
      <c r="F681" s="186"/>
      <c r="G681" s="80"/>
      <c r="H681" s="80"/>
      <c r="I681" s="185"/>
      <c r="J681" s="91"/>
      <c r="K681" s="98"/>
      <c r="L681" s="177"/>
      <c r="M681" s="177"/>
      <c r="N681" s="177"/>
      <c r="O681" s="137" t="str">
        <f t="shared" si="19"/>
        <v>-</v>
      </c>
    </row>
    <row r="682" spans="2:15" x14ac:dyDescent="0.2">
      <c r="B682" s="45"/>
      <c r="C682" s="42"/>
      <c r="D682" s="260"/>
      <c r="E682" s="261"/>
      <c r="F682" s="186"/>
      <c r="G682" s="80"/>
      <c r="H682" s="80"/>
      <c r="I682" s="185"/>
      <c r="J682" s="91"/>
      <c r="K682" s="98"/>
      <c r="L682" s="177"/>
      <c r="M682" s="177"/>
      <c r="N682" s="177"/>
      <c r="O682" s="137" t="str">
        <f t="shared" si="19"/>
        <v>-</v>
      </c>
    </row>
    <row r="683" spans="2:15" x14ac:dyDescent="0.2">
      <c r="B683" s="45"/>
      <c r="C683" s="43"/>
      <c r="D683" s="260"/>
      <c r="E683" s="261"/>
      <c r="F683" s="186"/>
      <c r="G683" s="80"/>
      <c r="H683" s="80"/>
      <c r="I683" s="185"/>
      <c r="J683" s="91"/>
      <c r="K683" s="98"/>
      <c r="L683" s="177"/>
      <c r="M683" s="177"/>
      <c r="N683" s="177"/>
      <c r="O683" s="137" t="str">
        <f t="shared" si="19"/>
        <v>-</v>
      </c>
    </row>
    <row r="684" spans="2:15" x14ac:dyDescent="0.2">
      <c r="B684" s="45"/>
      <c r="C684" s="43"/>
      <c r="D684" s="260"/>
      <c r="E684" s="261"/>
      <c r="F684" s="186"/>
      <c r="G684" s="80"/>
      <c r="H684" s="80"/>
      <c r="I684" s="185"/>
      <c r="J684" s="91"/>
      <c r="K684" s="98"/>
      <c r="L684" s="177"/>
      <c r="M684" s="177"/>
      <c r="N684" s="177"/>
      <c r="O684" s="137" t="str">
        <f t="shared" si="19"/>
        <v>-</v>
      </c>
    </row>
    <row r="685" spans="2:15" x14ac:dyDescent="0.2">
      <c r="B685" s="45"/>
      <c r="C685" s="42"/>
      <c r="D685" s="260"/>
      <c r="E685" s="261"/>
      <c r="F685" s="186"/>
      <c r="G685" s="80"/>
      <c r="H685" s="80"/>
      <c r="I685" s="185"/>
      <c r="J685" s="91"/>
      <c r="K685" s="98"/>
      <c r="L685" s="177"/>
      <c r="M685" s="177"/>
      <c r="N685" s="177"/>
      <c r="O685" s="137" t="str">
        <f t="shared" si="19"/>
        <v>-</v>
      </c>
    </row>
    <row r="686" spans="2:15" x14ac:dyDescent="0.2">
      <c r="B686" s="45"/>
      <c r="C686" s="43"/>
      <c r="D686" s="260"/>
      <c r="E686" s="261"/>
      <c r="F686" s="186"/>
      <c r="G686" s="80"/>
      <c r="H686" s="80"/>
      <c r="I686" s="185"/>
      <c r="J686" s="91"/>
      <c r="K686" s="98"/>
      <c r="L686" s="177"/>
      <c r="M686" s="177"/>
      <c r="N686" s="177"/>
      <c r="O686" s="137" t="str">
        <f t="shared" si="19"/>
        <v>-</v>
      </c>
    </row>
    <row r="687" spans="2:15" x14ac:dyDescent="0.2">
      <c r="B687" s="45"/>
      <c r="C687" s="43"/>
      <c r="D687" s="260"/>
      <c r="E687" s="261"/>
      <c r="F687" s="186"/>
      <c r="G687" s="80"/>
      <c r="H687" s="80"/>
      <c r="I687" s="185"/>
      <c r="J687" s="91"/>
      <c r="K687" s="98"/>
      <c r="L687" s="177"/>
      <c r="M687" s="177"/>
      <c r="N687" s="177"/>
      <c r="O687" s="137" t="str">
        <f t="shared" si="19"/>
        <v>-</v>
      </c>
    </row>
    <row r="688" spans="2:15" x14ac:dyDescent="0.2">
      <c r="B688" s="45"/>
      <c r="C688" s="42"/>
      <c r="D688" s="260"/>
      <c r="E688" s="261"/>
      <c r="F688" s="186"/>
      <c r="G688" s="80"/>
      <c r="H688" s="80"/>
      <c r="I688" s="185"/>
      <c r="J688" s="91"/>
      <c r="K688" s="98"/>
      <c r="L688" s="177"/>
      <c r="M688" s="177"/>
      <c r="N688" s="177"/>
      <c r="O688" s="137" t="str">
        <f t="shared" si="19"/>
        <v>-</v>
      </c>
    </row>
    <row r="689" spans="2:15" x14ac:dyDescent="0.2">
      <c r="B689" s="45"/>
      <c r="C689" s="43"/>
      <c r="D689" s="260"/>
      <c r="E689" s="261"/>
      <c r="F689" s="186"/>
      <c r="G689" s="80"/>
      <c r="H689" s="80"/>
      <c r="I689" s="185"/>
      <c r="J689" s="91"/>
      <c r="K689" s="98"/>
      <c r="L689" s="177"/>
      <c r="M689" s="177"/>
      <c r="N689" s="177"/>
      <c r="O689" s="137" t="str">
        <f t="shared" si="19"/>
        <v>-</v>
      </c>
    </row>
    <row r="690" spans="2:15" x14ac:dyDescent="0.2">
      <c r="B690" s="45"/>
      <c r="C690" s="43"/>
      <c r="D690" s="260"/>
      <c r="E690" s="261"/>
      <c r="F690" s="186"/>
      <c r="G690" s="80"/>
      <c r="H690" s="80"/>
      <c r="I690" s="185"/>
      <c r="J690" s="91"/>
      <c r="K690" s="98"/>
      <c r="L690" s="177"/>
      <c r="M690" s="177"/>
      <c r="N690" s="177"/>
      <c r="O690" s="137" t="str">
        <f t="shared" si="19"/>
        <v>-</v>
      </c>
    </row>
    <row r="691" spans="2:15" x14ac:dyDescent="0.2">
      <c r="B691" s="45"/>
      <c r="C691" s="42"/>
      <c r="D691" s="260"/>
      <c r="E691" s="261"/>
      <c r="F691" s="186"/>
      <c r="G691" s="80"/>
      <c r="H691" s="80"/>
      <c r="I691" s="185"/>
      <c r="J691" s="91"/>
      <c r="K691" s="98"/>
      <c r="L691" s="177"/>
      <c r="M691" s="177"/>
      <c r="N691" s="177"/>
      <c r="O691" s="137" t="str">
        <f t="shared" si="19"/>
        <v>-</v>
      </c>
    </row>
    <row r="692" spans="2:15" x14ac:dyDescent="0.2">
      <c r="B692" s="45"/>
      <c r="C692" s="43"/>
      <c r="D692" s="260"/>
      <c r="E692" s="261"/>
      <c r="F692" s="186"/>
      <c r="G692" s="80"/>
      <c r="H692" s="80"/>
      <c r="I692" s="185"/>
      <c r="J692" s="91"/>
      <c r="K692" s="98"/>
      <c r="L692" s="177"/>
      <c r="M692" s="177"/>
      <c r="N692" s="177"/>
      <c r="O692" s="137" t="str">
        <f t="shared" si="19"/>
        <v>-</v>
      </c>
    </row>
    <row r="693" spans="2:15" x14ac:dyDescent="0.2">
      <c r="B693" s="45"/>
      <c r="C693" s="43"/>
      <c r="D693" s="260"/>
      <c r="E693" s="261"/>
      <c r="F693" s="186"/>
      <c r="G693" s="80"/>
      <c r="H693" s="80"/>
      <c r="I693" s="185"/>
      <c r="J693" s="91"/>
      <c r="K693" s="98"/>
      <c r="L693" s="177"/>
      <c r="M693" s="177"/>
      <c r="N693" s="177"/>
      <c r="O693" s="137" t="str">
        <f t="shared" si="19"/>
        <v>-</v>
      </c>
    </row>
    <row r="694" spans="2:15" x14ac:dyDescent="0.2">
      <c r="B694" s="45"/>
      <c r="C694" s="42"/>
      <c r="D694" s="260"/>
      <c r="E694" s="261"/>
      <c r="F694" s="186"/>
      <c r="G694" s="80"/>
      <c r="H694" s="80"/>
      <c r="I694" s="185"/>
      <c r="J694" s="91"/>
      <c r="K694" s="98"/>
      <c r="L694" s="177"/>
      <c r="M694" s="177"/>
      <c r="N694" s="177"/>
      <c r="O694" s="137" t="str">
        <f t="shared" si="19"/>
        <v>-</v>
      </c>
    </row>
    <row r="695" spans="2:15" x14ac:dyDescent="0.2">
      <c r="B695" s="45"/>
      <c r="C695" s="43"/>
      <c r="D695" s="260"/>
      <c r="E695" s="261"/>
      <c r="F695" s="186"/>
      <c r="G695" s="80"/>
      <c r="H695" s="80"/>
      <c r="I695" s="185"/>
      <c r="J695" s="91"/>
      <c r="K695" s="98"/>
      <c r="L695" s="177"/>
      <c r="M695" s="177"/>
      <c r="N695" s="177"/>
      <c r="O695" s="137" t="str">
        <f t="shared" si="19"/>
        <v>-</v>
      </c>
    </row>
    <row r="696" spans="2:15" x14ac:dyDescent="0.2">
      <c r="B696" s="45"/>
      <c r="C696" s="43"/>
      <c r="D696" s="260"/>
      <c r="E696" s="261"/>
      <c r="F696" s="186"/>
      <c r="G696" s="80"/>
      <c r="H696" s="80"/>
      <c r="I696" s="185"/>
      <c r="J696" s="91"/>
      <c r="K696" s="98"/>
      <c r="L696" s="177"/>
      <c r="M696" s="177"/>
      <c r="N696" s="177"/>
      <c r="O696" s="137" t="str">
        <f t="shared" si="19"/>
        <v>-</v>
      </c>
    </row>
    <row r="697" spans="2:15" x14ac:dyDescent="0.2">
      <c r="B697" s="45"/>
      <c r="C697" s="42"/>
      <c r="D697" s="260"/>
      <c r="E697" s="261"/>
      <c r="F697" s="186"/>
      <c r="G697" s="80"/>
      <c r="H697" s="80"/>
      <c r="I697" s="185"/>
      <c r="J697" s="91"/>
      <c r="K697" s="98"/>
      <c r="L697" s="177"/>
      <c r="M697" s="177"/>
      <c r="N697" s="177"/>
      <c r="O697" s="137" t="str">
        <f t="shared" si="19"/>
        <v>-</v>
      </c>
    </row>
    <row r="698" spans="2:15" x14ac:dyDescent="0.2">
      <c r="B698" s="45"/>
      <c r="C698" s="43"/>
      <c r="D698" s="260"/>
      <c r="E698" s="261"/>
      <c r="F698" s="186"/>
      <c r="G698" s="80"/>
      <c r="H698" s="80"/>
      <c r="I698" s="185"/>
      <c r="J698" s="91"/>
      <c r="K698" s="98"/>
      <c r="L698" s="177"/>
      <c r="M698" s="177"/>
      <c r="N698" s="177"/>
      <c r="O698" s="137" t="str">
        <f t="shared" si="19"/>
        <v>-</v>
      </c>
    </row>
    <row r="699" spans="2:15" x14ac:dyDescent="0.2">
      <c r="B699" s="45"/>
      <c r="C699" s="43"/>
      <c r="D699" s="260"/>
      <c r="E699" s="261"/>
      <c r="F699" s="186"/>
      <c r="G699" s="80"/>
      <c r="H699" s="80"/>
      <c r="I699" s="185"/>
      <c r="J699" s="91"/>
      <c r="K699" s="98"/>
      <c r="L699" s="177"/>
      <c r="M699" s="177"/>
      <c r="N699" s="177"/>
      <c r="O699" s="137" t="str">
        <f t="shared" si="19"/>
        <v>-</v>
      </c>
    </row>
    <row r="700" spans="2:15" x14ac:dyDescent="0.2">
      <c r="B700" s="45"/>
      <c r="C700" s="42"/>
      <c r="D700" s="260"/>
      <c r="E700" s="261"/>
      <c r="F700" s="186"/>
      <c r="G700" s="80"/>
      <c r="H700" s="80"/>
      <c r="I700" s="185"/>
      <c r="J700" s="91"/>
      <c r="K700" s="98"/>
      <c r="L700" s="177"/>
      <c r="M700" s="177"/>
      <c r="N700" s="177"/>
      <c r="O700" s="137" t="str">
        <f t="shared" si="19"/>
        <v>-</v>
      </c>
    </row>
    <row r="701" spans="2:15" x14ac:dyDescent="0.2">
      <c r="B701" s="45"/>
      <c r="C701" s="43"/>
      <c r="D701" s="260"/>
      <c r="E701" s="261"/>
      <c r="F701" s="186"/>
      <c r="G701" s="80"/>
      <c r="H701" s="80"/>
      <c r="I701" s="185"/>
      <c r="J701" s="91"/>
      <c r="K701" s="98"/>
      <c r="L701" s="177"/>
      <c r="M701" s="177"/>
      <c r="N701" s="177"/>
      <c r="O701" s="137" t="str">
        <f t="shared" si="19"/>
        <v>-</v>
      </c>
    </row>
    <row r="702" spans="2:15" x14ac:dyDescent="0.2">
      <c r="B702" s="45"/>
      <c r="C702" s="43"/>
      <c r="D702" s="260"/>
      <c r="E702" s="261"/>
      <c r="F702" s="186"/>
      <c r="G702" s="80"/>
      <c r="H702" s="80"/>
      <c r="I702" s="185"/>
      <c r="J702" s="91"/>
      <c r="K702" s="98"/>
      <c r="L702" s="177"/>
      <c r="M702" s="177"/>
      <c r="N702" s="177"/>
      <c r="O702" s="137" t="str">
        <f t="shared" si="19"/>
        <v>-</v>
      </c>
    </row>
    <row r="703" spans="2:15" x14ac:dyDescent="0.2">
      <c r="B703" s="45"/>
      <c r="C703" s="42"/>
      <c r="D703" s="260"/>
      <c r="E703" s="261"/>
      <c r="F703" s="186"/>
      <c r="G703" s="80"/>
      <c r="H703" s="80"/>
      <c r="I703" s="185"/>
      <c r="J703" s="91"/>
      <c r="K703" s="98"/>
      <c r="L703" s="177"/>
      <c r="M703" s="177"/>
      <c r="N703" s="177"/>
      <c r="O703" s="137" t="str">
        <f t="shared" si="19"/>
        <v>-</v>
      </c>
    </row>
    <row r="704" spans="2:15" x14ac:dyDescent="0.2">
      <c r="B704" s="45"/>
      <c r="C704" s="43"/>
      <c r="D704" s="260"/>
      <c r="E704" s="261"/>
      <c r="F704" s="186"/>
      <c r="G704" s="80"/>
      <c r="H704" s="80"/>
      <c r="I704" s="185"/>
      <c r="J704" s="91"/>
      <c r="K704" s="98"/>
      <c r="L704" s="177"/>
      <c r="M704" s="177"/>
      <c r="N704" s="177"/>
      <c r="O704" s="137" t="str">
        <f t="shared" si="19"/>
        <v>-</v>
      </c>
    </row>
    <row r="705" spans="2:15" x14ac:dyDescent="0.2">
      <c r="B705" s="45"/>
      <c r="C705" s="43"/>
      <c r="D705" s="260"/>
      <c r="E705" s="261"/>
      <c r="F705" s="186"/>
      <c r="G705" s="80"/>
      <c r="H705" s="80"/>
      <c r="I705" s="185"/>
      <c r="J705" s="91"/>
      <c r="K705" s="98"/>
      <c r="L705" s="177"/>
      <c r="M705" s="177"/>
      <c r="N705" s="177"/>
      <c r="O705" s="137" t="str">
        <f t="shared" ref="O705:O764" si="20">IF(G704="","-",IF(J704="","",J704))</f>
        <v>-</v>
      </c>
    </row>
    <row r="706" spans="2:15" x14ac:dyDescent="0.2">
      <c r="B706" s="45"/>
      <c r="C706" s="42"/>
      <c r="D706" s="260"/>
      <c r="E706" s="261"/>
      <c r="F706" s="186"/>
      <c r="G706" s="80"/>
      <c r="H706" s="80"/>
      <c r="I706" s="185"/>
      <c r="J706" s="91"/>
      <c r="K706" s="98"/>
      <c r="L706" s="177"/>
      <c r="M706" s="177"/>
      <c r="N706" s="177"/>
      <c r="O706" s="137" t="str">
        <f t="shared" si="20"/>
        <v>-</v>
      </c>
    </row>
    <row r="707" spans="2:15" x14ac:dyDescent="0.2">
      <c r="B707" s="30"/>
      <c r="C707" s="25"/>
      <c r="D707" s="72"/>
      <c r="E707" s="72"/>
      <c r="F707" s="72"/>
      <c r="G707" s="83"/>
      <c r="H707" s="116"/>
      <c r="I707" s="109"/>
      <c r="J707" s="91"/>
      <c r="K707" s="98"/>
      <c r="L707" s="177"/>
      <c r="M707" s="177"/>
      <c r="N707" s="177"/>
      <c r="O707" s="137" t="str">
        <f t="shared" si="20"/>
        <v>-</v>
      </c>
    </row>
    <row r="708" spans="2:15" x14ac:dyDescent="0.2">
      <c r="B708" s="30"/>
      <c r="C708" s="25"/>
      <c r="D708" s="72"/>
      <c r="E708" s="72"/>
      <c r="F708" s="72"/>
      <c r="G708" s="83"/>
      <c r="H708" s="116"/>
      <c r="I708" s="109"/>
      <c r="J708" s="91"/>
      <c r="K708" s="98"/>
      <c r="L708" s="177"/>
      <c r="M708" s="177"/>
      <c r="N708" s="177"/>
      <c r="O708" s="137" t="str">
        <f t="shared" si="20"/>
        <v>-</v>
      </c>
    </row>
    <row r="709" spans="2:15" x14ac:dyDescent="0.2">
      <c r="B709" s="30"/>
      <c r="C709" s="25"/>
      <c r="D709" s="72"/>
      <c r="E709" s="72"/>
      <c r="F709" s="72"/>
      <c r="G709" s="83"/>
      <c r="H709" s="116"/>
      <c r="I709" s="109"/>
      <c r="J709" s="91"/>
      <c r="K709" s="98"/>
      <c r="L709" s="177"/>
      <c r="M709" s="177"/>
      <c r="N709" s="177"/>
      <c r="O709" s="137" t="str">
        <f t="shared" si="20"/>
        <v>-</v>
      </c>
    </row>
    <row r="710" spans="2:15" x14ac:dyDescent="0.2">
      <c r="B710" s="30"/>
      <c r="C710" s="25"/>
      <c r="D710" s="72"/>
      <c r="E710" s="72"/>
      <c r="F710" s="72"/>
      <c r="G710" s="83"/>
      <c r="H710" s="116"/>
      <c r="I710" s="109"/>
      <c r="J710" s="91"/>
      <c r="K710" s="98"/>
      <c r="L710" s="177"/>
      <c r="M710" s="177"/>
      <c r="N710" s="177"/>
      <c r="O710" s="137" t="str">
        <f t="shared" si="20"/>
        <v>-</v>
      </c>
    </row>
    <row r="711" spans="2:15" x14ac:dyDescent="0.2">
      <c r="B711" s="30"/>
      <c r="C711" s="25"/>
      <c r="D711" s="72"/>
      <c r="E711" s="72"/>
      <c r="F711" s="72"/>
      <c r="G711" s="83"/>
      <c r="H711" s="116"/>
      <c r="I711" s="109"/>
      <c r="J711" s="91"/>
      <c r="K711" s="98"/>
      <c r="L711" s="177"/>
      <c r="M711" s="177"/>
      <c r="N711" s="177"/>
      <c r="O711" s="137" t="str">
        <f t="shared" si="20"/>
        <v>-</v>
      </c>
    </row>
    <row r="712" spans="2:15" x14ac:dyDescent="0.2">
      <c r="B712" s="30"/>
      <c r="C712" s="25"/>
      <c r="D712" s="72"/>
      <c r="E712" s="72"/>
      <c r="F712" s="72"/>
      <c r="G712" s="83"/>
      <c r="H712" s="116"/>
      <c r="I712" s="109"/>
      <c r="J712" s="91"/>
      <c r="K712" s="98"/>
      <c r="L712" s="177"/>
      <c r="M712" s="177"/>
      <c r="N712" s="177"/>
      <c r="O712" s="137" t="str">
        <f t="shared" si="20"/>
        <v>-</v>
      </c>
    </row>
    <row r="713" spans="2:15" x14ac:dyDescent="0.2">
      <c r="B713" s="30"/>
      <c r="C713" s="25"/>
      <c r="D713" s="72"/>
      <c r="E713" s="72"/>
      <c r="F713" s="72"/>
      <c r="G713" s="83"/>
      <c r="H713" s="116"/>
      <c r="I713" s="109"/>
      <c r="J713" s="91"/>
      <c r="K713" s="98"/>
      <c r="L713" s="177"/>
      <c r="M713" s="177"/>
      <c r="N713" s="177"/>
      <c r="O713" s="137" t="str">
        <f t="shared" si="20"/>
        <v>-</v>
      </c>
    </row>
    <row r="714" spans="2:15" x14ac:dyDescent="0.2">
      <c r="B714" s="30"/>
      <c r="C714" s="25"/>
      <c r="D714" s="72"/>
      <c r="E714" s="72"/>
      <c r="F714" s="72"/>
      <c r="G714" s="83"/>
      <c r="H714" s="116"/>
      <c r="I714" s="109"/>
      <c r="J714" s="91"/>
      <c r="K714" s="98"/>
      <c r="L714" s="177"/>
      <c r="M714" s="177"/>
      <c r="N714" s="177"/>
      <c r="O714" s="137" t="str">
        <f t="shared" si="20"/>
        <v>-</v>
      </c>
    </row>
    <row r="715" spans="2:15" x14ac:dyDescent="0.2">
      <c r="B715" s="30"/>
      <c r="C715" s="25"/>
      <c r="D715" s="72"/>
      <c r="E715" s="72"/>
      <c r="F715" s="72"/>
      <c r="G715" s="83"/>
      <c r="H715" s="116"/>
      <c r="I715" s="109"/>
      <c r="J715" s="91"/>
      <c r="K715" s="98"/>
      <c r="L715" s="177"/>
      <c r="M715" s="177"/>
      <c r="N715" s="177"/>
      <c r="O715" s="137" t="str">
        <f t="shared" si="20"/>
        <v>-</v>
      </c>
    </row>
    <row r="716" spans="2:15" x14ac:dyDescent="0.2">
      <c r="B716" s="30"/>
      <c r="C716" s="25"/>
      <c r="D716" s="72"/>
      <c r="E716" s="72"/>
      <c r="F716" s="72"/>
      <c r="G716" s="83"/>
      <c r="H716" s="116"/>
      <c r="I716" s="109"/>
      <c r="J716" s="91"/>
      <c r="K716" s="98"/>
      <c r="L716" s="177"/>
      <c r="M716" s="177"/>
      <c r="N716" s="177"/>
      <c r="O716" s="137" t="str">
        <f t="shared" si="20"/>
        <v>-</v>
      </c>
    </row>
    <row r="717" spans="2:15" x14ac:dyDescent="0.2">
      <c r="B717" s="30"/>
      <c r="C717" s="25"/>
      <c r="D717" s="72"/>
      <c r="E717" s="72"/>
      <c r="F717" s="72"/>
      <c r="G717" s="83"/>
      <c r="H717" s="116"/>
      <c r="I717" s="109"/>
      <c r="J717" s="91"/>
      <c r="K717" s="98"/>
      <c r="L717" s="177"/>
      <c r="M717" s="177"/>
      <c r="N717" s="177"/>
      <c r="O717" s="137" t="str">
        <f t="shared" si="20"/>
        <v>-</v>
      </c>
    </row>
    <row r="718" spans="2:15" x14ac:dyDescent="0.2">
      <c r="B718" s="30"/>
      <c r="C718" s="25"/>
      <c r="D718" s="72"/>
      <c r="E718" s="72"/>
      <c r="F718" s="72"/>
      <c r="G718" s="83"/>
      <c r="H718" s="116"/>
      <c r="I718" s="109"/>
      <c r="J718" s="91"/>
      <c r="K718" s="98"/>
      <c r="L718" s="177"/>
      <c r="M718" s="177"/>
      <c r="N718" s="177"/>
      <c r="O718" s="137" t="str">
        <f t="shared" si="20"/>
        <v>-</v>
      </c>
    </row>
    <row r="719" spans="2:15" x14ac:dyDescent="0.2">
      <c r="B719" s="30"/>
      <c r="C719" s="25"/>
      <c r="D719" s="72"/>
      <c r="E719" s="72"/>
      <c r="F719" s="72"/>
      <c r="G719" s="83"/>
      <c r="H719" s="116"/>
      <c r="I719" s="109"/>
      <c r="J719" s="91"/>
      <c r="K719" s="98"/>
      <c r="L719" s="177"/>
      <c r="M719" s="177"/>
      <c r="N719" s="177"/>
      <c r="O719" s="137" t="str">
        <f t="shared" si="20"/>
        <v>-</v>
      </c>
    </row>
    <row r="720" spans="2:15" x14ac:dyDescent="0.2">
      <c r="B720" s="30"/>
      <c r="C720" s="25"/>
      <c r="D720" s="72"/>
      <c r="E720" s="72"/>
      <c r="F720" s="72"/>
      <c r="G720" s="83"/>
      <c r="H720" s="116"/>
      <c r="I720" s="109"/>
      <c r="J720" s="91"/>
      <c r="K720" s="98"/>
      <c r="L720" s="177"/>
      <c r="M720" s="177"/>
      <c r="N720" s="177"/>
      <c r="O720" s="137" t="str">
        <f t="shared" si="20"/>
        <v>-</v>
      </c>
    </row>
    <row r="721" spans="2:15" x14ac:dyDescent="0.2">
      <c r="B721" s="30"/>
      <c r="C721" s="25"/>
      <c r="D721" s="72"/>
      <c r="E721" s="72"/>
      <c r="F721" s="72"/>
      <c r="G721" s="83"/>
      <c r="H721" s="116"/>
      <c r="I721" s="109"/>
      <c r="J721" s="91"/>
      <c r="K721" s="98"/>
      <c r="L721" s="177"/>
      <c r="M721" s="177"/>
      <c r="N721" s="177"/>
      <c r="O721" s="137" t="str">
        <f t="shared" si="20"/>
        <v>-</v>
      </c>
    </row>
    <row r="722" spans="2:15" x14ac:dyDescent="0.2">
      <c r="B722" s="30"/>
      <c r="C722" s="25"/>
      <c r="D722" s="72"/>
      <c r="E722" s="72"/>
      <c r="F722" s="72"/>
      <c r="G722" s="83"/>
      <c r="H722" s="116"/>
      <c r="I722" s="109"/>
      <c r="J722" s="91"/>
      <c r="K722" s="98"/>
      <c r="L722" s="177"/>
      <c r="M722" s="177"/>
      <c r="N722" s="177"/>
      <c r="O722" s="137" t="str">
        <f t="shared" si="20"/>
        <v>-</v>
      </c>
    </row>
    <row r="723" spans="2:15" x14ac:dyDescent="0.2">
      <c r="B723" s="30"/>
      <c r="C723" s="25"/>
      <c r="D723" s="72"/>
      <c r="E723" s="72"/>
      <c r="F723" s="72"/>
      <c r="G723" s="83"/>
      <c r="H723" s="116"/>
      <c r="I723" s="109"/>
      <c r="J723" s="91"/>
      <c r="K723" s="98"/>
      <c r="L723" s="177"/>
      <c r="M723" s="177"/>
      <c r="N723" s="177"/>
      <c r="O723" s="137" t="str">
        <f t="shared" si="20"/>
        <v>-</v>
      </c>
    </row>
    <row r="724" spans="2:15" x14ac:dyDescent="0.2">
      <c r="B724" s="30"/>
      <c r="C724" s="25"/>
      <c r="D724" s="72"/>
      <c r="E724" s="72"/>
      <c r="F724" s="72"/>
      <c r="G724" s="83"/>
      <c r="H724" s="116"/>
      <c r="I724" s="109"/>
      <c r="J724" s="91"/>
      <c r="K724" s="98"/>
      <c r="L724" s="177"/>
      <c r="M724" s="177"/>
      <c r="N724" s="177"/>
      <c r="O724" s="137" t="str">
        <f t="shared" si="20"/>
        <v>-</v>
      </c>
    </row>
    <row r="725" spans="2:15" x14ac:dyDescent="0.2">
      <c r="B725" s="30"/>
      <c r="C725" s="25"/>
      <c r="D725" s="72"/>
      <c r="E725" s="72"/>
      <c r="F725" s="72"/>
      <c r="G725" s="83"/>
      <c r="H725" s="116"/>
      <c r="I725" s="109"/>
      <c r="J725" s="91"/>
      <c r="K725" s="98"/>
      <c r="L725" s="177"/>
      <c r="M725" s="177"/>
      <c r="N725" s="177"/>
      <c r="O725" s="137" t="str">
        <f t="shared" si="20"/>
        <v>-</v>
      </c>
    </row>
    <row r="726" spans="2:15" x14ac:dyDescent="0.2">
      <c r="B726" s="30"/>
      <c r="C726" s="25"/>
      <c r="D726" s="72"/>
      <c r="E726" s="72"/>
      <c r="F726" s="72"/>
      <c r="G726" s="83"/>
      <c r="H726" s="116"/>
      <c r="I726" s="109"/>
      <c r="J726" s="91"/>
      <c r="K726" s="98"/>
      <c r="L726" s="177"/>
      <c r="M726" s="177"/>
      <c r="N726" s="177"/>
      <c r="O726" s="137" t="str">
        <f t="shared" si="20"/>
        <v>-</v>
      </c>
    </row>
    <row r="727" spans="2:15" x14ac:dyDescent="0.2">
      <c r="B727" s="30"/>
      <c r="C727" s="25"/>
      <c r="D727" s="72"/>
      <c r="E727" s="72"/>
      <c r="F727" s="72"/>
      <c r="G727" s="83"/>
      <c r="H727" s="116"/>
      <c r="I727" s="109"/>
      <c r="J727" s="91"/>
      <c r="K727" s="98"/>
      <c r="L727" s="177"/>
      <c r="M727" s="177"/>
      <c r="N727" s="177"/>
      <c r="O727" s="137" t="str">
        <f t="shared" si="20"/>
        <v>-</v>
      </c>
    </row>
    <row r="728" spans="2:15" x14ac:dyDescent="0.2">
      <c r="B728" s="30"/>
      <c r="C728" s="25"/>
      <c r="D728" s="72"/>
      <c r="E728" s="72"/>
      <c r="F728" s="72"/>
      <c r="G728" s="83"/>
      <c r="H728" s="116"/>
      <c r="I728" s="109"/>
      <c r="J728" s="91"/>
      <c r="K728" s="98"/>
      <c r="L728" s="177"/>
      <c r="M728" s="177"/>
      <c r="N728" s="177"/>
      <c r="O728" s="137" t="str">
        <f t="shared" si="20"/>
        <v>-</v>
      </c>
    </row>
    <row r="729" spans="2:15" x14ac:dyDescent="0.2">
      <c r="B729" s="30"/>
      <c r="C729" s="25"/>
      <c r="D729" s="72"/>
      <c r="E729" s="72"/>
      <c r="F729" s="72"/>
      <c r="G729" s="83"/>
      <c r="H729" s="116"/>
      <c r="I729" s="109"/>
      <c r="J729" s="91"/>
      <c r="K729" s="98"/>
      <c r="L729" s="177"/>
      <c r="M729" s="177"/>
      <c r="N729" s="177"/>
      <c r="O729" s="137" t="str">
        <f t="shared" si="20"/>
        <v>-</v>
      </c>
    </row>
    <row r="730" spans="2:15" x14ac:dyDescent="0.2">
      <c r="B730" s="30"/>
      <c r="C730" s="25"/>
      <c r="D730" s="72"/>
      <c r="E730" s="72"/>
      <c r="F730" s="72"/>
      <c r="G730" s="83"/>
      <c r="H730" s="116"/>
      <c r="I730" s="109"/>
      <c r="J730" s="91"/>
      <c r="K730" s="98"/>
      <c r="L730" s="177"/>
      <c r="M730" s="177"/>
      <c r="N730" s="177"/>
      <c r="O730" s="137" t="str">
        <f t="shared" si="20"/>
        <v>-</v>
      </c>
    </row>
    <row r="731" spans="2:15" x14ac:dyDescent="0.2">
      <c r="B731" s="30"/>
      <c r="C731" s="25"/>
      <c r="D731" s="72"/>
      <c r="E731" s="72"/>
      <c r="F731" s="72"/>
      <c r="G731" s="83"/>
      <c r="H731" s="116"/>
      <c r="I731" s="109"/>
      <c r="J731" s="91"/>
      <c r="K731" s="98"/>
      <c r="L731" s="177"/>
      <c r="M731" s="177"/>
      <c r="N731" s="177"/>
      <c r="O731" s="137" t="str">
        <f t="shared" si="20"/>
        <v>-</v>
      </c>
    </row>
    <row r="732" spans="2:15" x14ac:dyDescent="0.2">
      <c r="B732" s="30"/>
      <c r="C732" s="25"/>
      <c r="D732" s="72"/>
      <c r="E732" s="72"/>
      <c r="F732" s="72"/>
      <c r="G732" s="83"/>
      <c r="H732" s="116"/>
      <c r="I732" s="109"/>
      <c r="J732" s="91"/>
      <c r="K732" s="98"/>
      <c r="L732" s="177"/>
      <c r="M732" s="177"/>
      <c r="N732" s="177"/>
      <c r="O732" s="137" t="str">
        <f t="shared" si="20"/>
        <v>-</v>
      </c>
    </row>
    <row r="733" spans="2:15" x14ac:dyDescent="0.2">
      <c r="B733" s="30"/>
      <c r="C733" s="25"/>
      <c r="D733" s="72"/>
      <c r="E733" s="72"/>
      <c r="F733" s="72"/>
      <c r="G733" s="83"/>
      <c r="H733" s="116"/>
      <c r="I733" s="109"/>
      <c r="J733" s="91"/>
      <c r="K733" s="98"/>
      <c r="L733" s="177"/>
      <c r="M733" s="177"/>
      <c r="N733" s="177"/>
      <c r="O733" s="137" t="str">
        <f t="shared" si="20"/>
        <v>-</v>
      </c>
    </row>
    <row r="734" spans="2:15" x14ac:dyDescent="0.2">
      <c r="B734" s="30"/>
      <c r="C734" s="25"/>
      <c r="D734" s="72"/>
      <c r="E734" s="72"/>
      <c r="F734" s="72"/>
      <c r="G734" s="83"/>
      <c r="H734" s="116"/>
      <c r="I734" s="109"/>
      <c r="J734" s="91"/>
      <c r="K734" s="98"/>
      <c r="L734" s="177"/>
      <c r="M734" s="177"/>
      <c r="N734" s="177"/>
      <c r="O734" s="137" t="str">
        <f t="shared" si="20"/>
        <v>-</v>
      </c>
    </row>
    <row r="735" spans="2:15" x14ac:dyDescent="0.2">
      <c r="B735" s="30"/>
      <c r="C735" s="25"/>
      <c r="D735" s="72"/>
      <c r="E735" s="72"/>
      <c r="F735" s="72"/>
      <c r="G735" s="83"/>
      <c r="H735" s="116"/>
      <c r="I735" s="109"/>
      <c r="J735" s="91"/>
      <c r="K735" s="98"/>
      <c r="L735" s="177"/>
      <c r="M735" s="177"/>
      <c r="N735" s="177"/>
      <c r="O735" s="137" t="str">
        <f t="shared" si="20"/>
        <v>-</v>
      </c>
    </row>
    <row r="736" spans="2:15" x14ac:dyDescent="0.2">
      <c r="B736" s="30"/>
      <c r="C736" s="25"/>
      <c r="D736" s="72"/>
      <c r="E736" s="72"/>
      <c r="F736" s="72"/>
      <c r="G736" s="83"/>
      <c r="H736" s="116"/>
      <c r="I736" s="109"/>
      <c r="J736" s="91"/>
      <c r="K736" s="98"/>
      <c r="L736" s="177"/>
      <c r="M736" s="177"/>
      <c r="N736" s="177"/>
      <c r="O736" s="137" t="str">
        <f t="shared" si="20"/>
        <v>-</v>
      </c>
    </row>
    <row r="737" spans="2:15" x14ac:dyDescent="0.2">
      <c r="B737" s="30"/>
      <c r="C737" s="25"/>
      <c r="D737" s="72"/>
      <c r="E737" s="72"/>
      <c r="F737" s="72"/>
      <c r="G737" s="83"/>
      <c r="H737" s="116"/>
      <c r="I737" s="109"/>
      <c r="J737" s="91"/>
      <c r="K737" s="98"/>
      <c r="L737" s="177"/>
      <c r="M737" s="177"/>
      <c r="N737" s="177"/>
      <c r="O737" s="137" t="str">
        <f t="shared" si="20"/>
        <v>-</v>
      </c>
    </row>
    <row r="738" spans="2:15" x14ac:dyDescent="0.2">
      <c r="B738" s="30"/>
      <c r="C738" s="25"/>
      <c r="D738" s="72"/>
      <c r="E738" s="72"/>
      <c r="F738" s="72"/>
      <c r="G738" s="83"/>
      <c r="H738" s="116"/>
      <c r="I738" s="109"/>
      <c r="J738" s="91"/>
      <c r="K738" s="98"/>
      <c r="L738" s="177"/>
      <c r="M738" s="177"/>
      <c r="N738" s="177"/>
      <c r="O738" s="137" t="str">
        <f t="shared" si="20"/>
        <v>-</v>
      </c>
    </row>
    <row r="739" spans="2:15" x14ac:dyDescent="0.2">
      <c r="B739" s="30"/>
      <c r="C739" s="25"/>
      <c r="D739" s="72"/>
      <c r="E739" s="72"/>
      <c r="F739" s="72"/>
      <c r="G739" s="83"/>
      <c r="H739" s="116"/>
      <c r="I739" s="109"/>
      <c r="J739" s="91"/>
      <c r="K739" s="98"/>
      <c r="L739" s="177"/>
      <c r="M739" s="177"/>
      <c r="N739" s="177"/>
      <c r="O739" s="137" t="str">
        <f t="shared" si="20"/>
        <v>-</v>
      </c>
    </row>
    <row r="740" spans="2:15" x14ac:dyDescent="0.2">
      <c r="B740" s="30"/>
      <c r="C740" s="25"/>
      <c r="D740" s="72"/>
      <c r="E740" s="72"/>
      <c r="F740" s="72"/>
      <c r="G740" s="83"/>
      <c r="H740" s="116"/>
      <c r="I740" s="109"/>
      <c r="J740" s="91"/>
      <c r="K740" s="98"/>
      <c r="L740" s="177"/>
      <c r="M740" s="177"/>
      <c r="N740" s="177"/>
      <c r="O740" s="137" t="str">
        <f t="shared" si="20"/>
        <v>-</v>
      </c>
    </row>
    <row r="741" spans="2:15" x14ac:dyDescent="0.2">
      <c r="B741" s="30"/>
      <c r="C741" s="25"/>
      <c r="D741" s="72"/>
      <c r="E741" s="72"/>
      <c r="F741" s="72"/>
      <c r="G741" s="83"/>
      <c r="H741" s="116"/>
      <c r="I741" s="109"/>
      <c r="J741" s="91"/>
      <c r="K741" s="98"/>
      <c r="L741" s="177"/>
      <c r="M741" s="177"/>
      <c r="N741" s="177"/>
      <c r="O741" s="137" t="str">
        <f t="shared" si="20"/>
        <v>-</v>
      </c>
    </row>
    <row r="742" spans="2:15" x14ac:dyDescent="0.2">
      <c r="B742" s="30"/>
      <c r="C742" s="25"/>
      <c r="D742" s="72"/>
      <c r="E742" s="72"/>
      <c r="F742" s="72"/>
      <c r="G742" s="83"/>
      <c r="H742" s="116"/>
      <c r="I742" s="109"/>
      <c r="J742" s="91"/>
      <c r="K742" s="98"/>
      <c r="L742" s="177"/>
      <c r="M742" s="177"/>
      <c r="N742" s="177"/>
      <c r="O742" s="137" t="str">
        <f t="shared" si="20"/>
        <v>-</v>
      </c>
    </row>
    <row r="743" spans="2:15" x14ac:dyDescent="0.2">
      <c r="B743" s="30"/>
      <c r="C743" s="25"/>
      <c r="D743" s="72"/>
      <c r="E743" s="72"/>
      <c r="F743" s="72"/>
      <c r="G743" s="83"/>
      <c r="H743" s="116"/>
      <c r="I743" s="109"/>
      <c r="J743" s="91"/>
      <c r="K743" s="98"/>
      <c r="L743" s="177"/>
      <c r="M743" s="177"/>
      <c r="N743" s="177"/>
      <c r="O743" s="137" t="str">
        <f t="shared" si="20"/>
        <v>-</v>
      </c>
    </row>
    <row r="744" spans="2:15" x14ac:dyDescent="0.2">
      <c r="B744" s="30"/>
      <c r="C744" s="25"/>
      <c r="D744" s="72"/>
      <c r="E744" s="72"/>
      <c r="F744" s="72"/>
      <c r="G744" s="83"/>
      <c r="H744" s="116"/>
      <c r="I744" s="109"/>
      <c r="J744" s="91"/>
      <c r="K744" s="98"/>
      <c r="L744" s="177"/>
      <c r="M744" s="177"/>
      <c r="N744" s="177"/>
      <c r="O744" s="137" t="str">
        <f t="shared" si="20"/>
        <v>-</v>
      </c>
    </row>
    <row r="745" spans="2:15" x14ac:dyDescent="0.2">
      <c r="B745" s="30"/>
      <c r="C745" s="25"/>
      <c r="D745" s="72"/>
      <c r="E745" s="72"/>
      <c r="F745" s="72"/>
      <c r="G745" s="83"/>
      <c r="H745" s="116"/>
      <c r="I745" s="109"/>
      <c r="J745" s="91"/>
      <c r="K745" s="98"/>
      <c r="L745" s="177"/>
      <c r="M745" s="177"/>
      <c r="N745" s="177"/>
      <c r="O745" s="137" t="str">
        <f t="shared" si="20"/>
        <v>-</v>
      </c>
    </row>
    <row r="746" spans="2:15" x14ac:dyDescent="0.2">
      <c r="B746" s="30"/>
      <c r="C746" s="25"/>
      <c r="D746" s="72"/>
      <c r="E746" s="72"/>
      <c r="F746" s="72"/>
      <c r="G746" s="83"/>
      <c r="H746" s="116"/>
      <c r="I746" s="109"/>
      <c r="J746" s="91"/>
      <c r="K746" s="98"/>
      <c r="L746" s="177"/>
      <c r="M746" s="177"/>
      <c r="N746" s="177"/>
      <c r="O746" s="137" t="str">
        <f t="shared" si="20"/>
        <v>-</v>
      </c>
    </row>
    <row r="747" spans="2:15" x14ac:dyDescent="0.2">
      <c r="B747" s="30"/>
      <c r="C747" s="25"/>
      <c r="D747" s="72"/>
      <c r="E747" s="72"/>
      <c r="F747" s="72"/>
      <c r="G747" s="83"/>
      <c r="H747" s="116"/>
      <c r="I747" s="109"/>
      <c r="J747" s="91"/>
      <c r="K747" s="98"/>
      <c r="L747" s="177"/>
      <c r="M747" s="177"/>
      <c r="N747" s="177"/>
      <c r="O747" s="137" t="str">
        <f t="shared" si="20"/>
        <v>-</v>
      </c>
    </row>
    <row r="748" spans="2:15" x14ac:dyDescent="0.2">
      <c r="B748" s="30"/>
      <c r="C748" s="25"/>
      <c r="D748" s="72"/>
      <c r="E748" s="72"/>
      <c r="F748" s="72"/>
      <c r="G748" s="83"/>
      <c r="H748" s="116"/>
      <c r="I748" s="109"/>
      <c r="J748" s="91"/>
      <c r="K748" s="98"/>
      <c r="L748" s="177"/>
      <c r="M748" s="177"/>
      <c r="N748" s="177"/>
      <c r="O748" s="137" t="str">
        <f t="shared" si="20"/>
        <v>-</v>
      </c>
    </row>
    <row r="749" spans="2:15" x14ac:dyDescent="0.2">
      <c r="B749" s="30"/>
      <c r="C749" s="25"/>
      <c r="D749" s="72"/>
      <c r="E749" s="72"/>
      <c r="F749" s="72"/>
      <c r="G749" s="83"/>
      <c r="H749" s="116"/>
      <c r="I749" s="109"/>
      <c r="J749" s="91"/>
      <c r="K749" s="98"/>
      <c r="L749" s="177"/>
      <c r="M749" s="177"/>
      <c r="N749" s="177"/>
      <c r="O749" s="137" t="str">
        <f t="shared" si="20"/>
        <v>-</v>
      </c>
    </row>
    <row r="750" spans="2:15" x14ac:dyDescent="0.2">
      <c r="B750" s="30"/>
      <c r="C750" s="25"/>
      <c r="D750" s="72"/>
      <c r="E750" s="72"/>
      <c r="F750" s="72"/>
      <c r="G750" s="83"/>
      <c r="H750" s="116"/>
      <c r="I750" s="109"/>
      <c r="J750" s="91"/>
      <c r="K750" s="98"/>
      <c r="L750" s="177"/>
      <c r="M750" s="177"/>
      <c r="N750" s="177"/>
      <c r="O750" s="137" t="str">
        <f t="shared" si="20"/>
        <v>-</v>
      </c>
    </row>
    <row r="751" spans="2:15" x14ac:dyDescent="0.2">
      <c r="B751" s="30"/>
      <c r="C751" s="25"/>
      <c r="D751" s="72"/>
      <c r="E751" s="72"/>
      <c r="F751" s="72"/>
      <c r="G751" s="83"/>
      <c r="H751" s="116"/>
      <c r="I751" s="109"/>
      <c r="J751" s="91"/>
      <c r="K751" s="98"/>
      <c r="L751" s="177"/>
      <c r="M751" s="177"/>
      <c r="N751" s="177"/>
      <c r="O751" s="137" t="str">
        <f t="shared" si="20"/>
        <v>-</v>
      </c>
    </row>
    <row r="752" spans="2:15" x14ac:dyDescent="0.2">
      <c r="B752" s="30"/>
      <c r="C752" s="25"/>
      <c r="D752" s="72"/>
      <c r="E752" s="72"/>
      <c r="F752" s="72"/>
      <c r="G752" s="83"/>
      <c r="H752" s="116"/>
      <c r="I752" s="109"/>
      <c r="J752" s="91"/>
      <c r="K752" s="98"/>
      <c r="L752" s="177"/>
      <c r="M752" s="177"/>
      <c r="N752" s="177"/>
      <c r="O752" s="137" t="str">
        <f t="shared" si="20"/>
        <v>-</v>
      </c>
    </row>
    <row r="753" spans="2:15" x14ac:dyDescent="0.2">
      <c r="B753" s="30"/>
      <c r="C753" s="25"/>
      <c r="D753" s="72"/>
      <c r="E753" s="72"/>
      <c r="F753" s="72"/>
      <c r="G753" s="83"/>
      <c r="H753" s="116"/>
      <c r="I753" s="109"/>
      <c r="J753" s="91"/>
      <c r="K753" s="98"/>
      <c r="L753" s="177"/>
      <c r="M753" s="177"/>
      <c r="N753" s="177"/>
      <c r="O753" s="137" t="str">
        <f t="shared" si="20"/>
        <v>-</v>
      </c>
    </row>
    <row r="754" spans="2:15" x14ac:dyDescent="0.2">
      <c r="B754" s="30"/>
      <c r="C754" s="25"/>
      <c r="D754" s="72"/>
      <c r="E754" s="72"/>
      <c r="F754" s="72"/>
      <c r="G754" s="83"/>
      <c r="H754" s="116"/>
      <c r="I754" s="109"/>
      <c r="J754" s="91"/>
      <c r="K754" s="98"/>
      <c r="L754" s="177"/>
      <c r="M754" s="177"/>
      <c r="N754" s="177"/>
      <c r="O754" s="137" t="str">
        <f t="shared" si="20"/>
        <v>-</v>
      </c>
    </row>
    <row r="755" spans="2:15" x14ac:dyDescent="0.2">
      <c r="B755" s="30"/>
      <c r="C755" s="25"/>
      <c r="D755" s="72"/>
      <c r="E755" s="72"/>
      <c r="F755" s="72"/>
      <c r="G755" s="83"/>
      <c r="H755" s="116"/>
      <c r="I755" s="109"/>
      <c r="J755" s="91"/>
      <c r="K755" s="98"/>
      <c r="L755" s="177"/>
      <c r="M755" s="177"/>
      <c r="N755" s="177"/>
      <c r="O755" s="137" t="str">
        <f t="shared" si="20"/>
        <v>-</v>
      </c>
    </row>
    <row r="756" spans="2:15" x14ac:dyDescent="0.2">
      <c r="B756" s="30"/>
      <c r="C756" s="25"/>
      <c r="D756" s="72"/>
      <c r="E756" s="72"/>
      <c r="F756" s="72"/>
      <c r="G756" s="83"/>
      <c r="H756" s="116"/>
      <c r="I756" s="109"/>
      <c r="J756" s="91"/>
      <c r="K756" s="98"/>
      <c r="L756" s="177"/>
      <c r="M756" s="177"/>
      <c r="N756" s="177"/>
      <c r="O756" s="137" t="str">
        <f t="shared" si="20"/>
        <v>-</v>
      </c>
    </row>
    <row r="757" spans="2:15" x14ac:dyDescent="0.2">
      <c r="B757" s="30"/>
      <c r="C757" s="25"/>
      <c r="D757" s="72"/>
      <c r="E757" s="72"/>
      <c r="F757" s="72"/>
      <c r="G757" s="83"/>
      <c r="H757" s="116"/>
      <c r="I757" s="109"/>
      <c r="J757" s="91"/>
      <c r="K757" s="98"/>
      <c r="L757" s="177"/>
      <c r="M757" s="177"/>
      <c r="N757" s="177"/>
      <c r="O757" s="137" t="str">
        <f t="shared" si="20"/>
        <v>-</v>
      </c>
    </row>
    <row r="758" spans="2:15" x14ac:dyDescent="0.2">
      <c r="B758" s="30"/>
      <c r="C758" s="25"/>
      <c r="D758" s="72"/>
      <c r="E758" s="72"/>
      <c r="F758" s="72"/>
      <c r="G758" s="83"/>
      <c r="H758" s="116"/>
      <c r="I758" s="109"/>
      <c r="J758" s="91"/>
      <c r="K758" s="98"/>
      <c r="L758" s="177"/>
      <c r="M758" s="177"/>
      <c r="N758" s="177"/>
      <c r="O758" s="137" t="str">
        <f t="shared" si="20"/>
        <v>-</v>
      </c>
    </row>
    <row r="759" spans="2:15" x14ac:dyDescent="0.2">
      <c r="B759" s="30"/>
      <c r="C759" s="25"/>
      <c r="D759" s="72"/>
      <c r="E759" s="72"/>
      <c r="F759" s="72"/>
      <c r="G759" s="83"/>
      <c r="H759" s="116"/>
      <c r="I759" s="109"/>
      <c r="J759" s="91"/>
      <c r="K759" s="98"/>
      <c r="L759" s="177"/>
      <c r="M759" s="177"/>
      <c r="N759" s="177"/>
      <c r="O759" s="137" t="str">
        <f t="shared" si="20"/>
        <v>-</v>
      </c>
    </row>
    <row r="760" spans="2:15" x14ac:dyDescent="0.2">
      <c r="B760" s="30"/>
      <c r="C760" s="25"/>
      <c r="D760" s="72"/>
      <c r="E760" s="72"/>
      <c r="F760" s="72"/>
      <c r="G760" s="83"/>
      <c r="H760" s="116"/>
      <c r="I760" s="109"/>
      <c r="J760" s="91"/>
      <c r="K760" s="98"/>
      <c r="L760" s="177"/>
      <c r="M760" s="177"/>
      <c r="N760" s="177"/>
      <c r="O760" s="137" t="str">
        <f t="shared" si="20"/>
        <v>-</v>
      </c>
    </row>
    <row r="761" spans="2:15" x14ac:dyDescent="0.2">
      <c r="B761" s="30"/>
      <c r="C761" s="25"/>
      <c r="D761" s="72"/>
      <c r="E761" s="72"/>
      <c r="F761" s="72"/>
      <c r="G761" s="83"/>
      <c r="H761" s="116"/>
      <c r="I761" s="109"/>
      <c r="J761" s="91"/>
      <c r="K761" s="98"/>
      <c r="L761" s="177"/>
      <c r="M761" s="177"/>
      <c r="N761" s="177"/>
      <c r="O761" s="137" t="str">
        <f t="shared" si="20"/>
        <v>-</v>
      </c>
    </row>
    <row r="762" spans="2:15" x14ac:dyDescent="0.2">
      <c r="B762" s="30"/>
      <c r="C762" s="25"/>
      <c r="D762" s="72"/>
      <c r="E762" s="72"/>
      <c r="F762" s="72"/>
      <c r="G762" s="83"/>
      <c r="H762" s="116"/>
      <c r="I762" s="109"/>
      <c r="J762" s="91"/>
      <c r="K762" s="98"/>
      <c r="L762" s="177"/>
      <c r="M762" s="177"/>
      <c r="N762" s="177"/>
      <c r="O762" s="137" t="str">
        <f t="shared" si="20"/>
        <v>-</v>
      </c>
    </row>
    <row r="763" spans="2:15" ht="13.5" thickBot="1" x14ac:dyDescent="0.25">
      <c r="B763" s="31"/>
      <c r="C763" s="26"/>
      <c r="D763" s="73"/>
      <c r="E763" s="73"/>
      <c r="F763" s="73"/>
      <c r="G763" s="84"/>
      <c r="H763" s="120"/>
      <c r="I763" s="121"/>
      <c r="J763" s="122"/>
      <c r="K763" s="123"/>
      <c r="L763" s="178"/>
      <c r="M763" s="178"/>
      <c r="N763" s="178"/>
      <c r="O763" s="137" t="str">
        <f t="shared" si="20"/>
        <v>-</v>
      </c>
    </row>
    <row r="764" spans="2:15" x14ac:dyDescent="0.2">
      <c r="B764" s="74"/>
      <c r="C764"/>
      <c r="D764" s="74"/>
      <c r="E764" s="74"/>
      <c r="F764" s="74"/>
      <c r="G764" s="74"/>
      <c r="I764" s="110"/>
      <c r="J764" s="119"/>
      <c r="K764"/>
      <c r="L764"/>
      <c r="M764"/>
      <c r="N764"/>
      <c r="O764" s="137" t="str">
        <f t="shared" si="20"/>
        <v>-</v>
      </c>
    </row>
    <row r="765" spans="2:15" x14ac:dyDescent="0.2">
      <c r="B765" s="74"/>
      <c r="C765"/>
      <c r="D765" s="74"/>
      <c r="E765" s="74"/>
      <c r="F765" s="74"/>
      <c r="G765" s="74"/>
      <c r="I765" s="110"/>
      <c r="J765" s="111"/>
      <c r="K765"/>
      <c r="L765"/>
      <c r="M765"/>
      <c r="N765"/>
    </row>
    <row r="766" spans="2:15" x14ac:dyDescent="0.2">
      <c r="B766" s="74"/>
      <c r="C766"/>
      <c r="D766" s="74"/>
      <c r="E766" s="74"/>
      <c r="F766" s="74"/>
      <c r="G766" s="74"/>
      <c r="I766" s="110"/>
      <c r="J766" s="111"/>
      <c r="K766"/>
      <c r="L766"/>
      <c r="M766"/>
      <c r="N766"/>
    </row>
    <row r="767" spans="2:15" x14ac:dyDescent="0.2">
      <c r="B767" s="74"/>
      <c r="C767"/>
      <c r="D767" s="74"/>
      <c r="E767" s="74"/>
      <c r="F767" s="74"/>
      <c r="G767" s="74"/>
      <c r="I767" s="110"/>
      <c r="J767" s="111"/>
      <c r="K767"/>
      <c r="L767"/>
      <c r="M767"/>
      <c r="N767"/>
    </row>
    <row r="768" spans="2:15" x14ac:dyDescent="0.2">
      <c r="B768" s="74"/>
      <c r="C768"/>
      <c r="D768" s="74"/>
      <c r="E768" s="74"/>
      <c r="F768" s="74"/>
      <c r="G768" s="74"/>
      <c r="I768" s="110"/>
      <c r="J768" s="111"/>
      <c r="K768"/>
      <c r="L768"/>
      <c r="M768"/>
      <c r="N768"/>
    </row>
    <row r="769" spans="2:14" x14ac:dyDescent="0.2">
      <c r="B769" s="74"/>
      <c r="C769"/>
      <c r="D769" s="74"/>
      <c r="E769" s="74"/>
      <c r="F769" s="74"/>
      <c r="G769" s="74"/>
      <c r="I769" s="110"/>
      <c r="J769" s="111"/>
      <c r="K769"/>
      <c r="L769"/>
      <c r="M769"/>
      <c r="N769"/>
    </row>
    <row r="770" spans="2:14" x14ac:dyDescent="0.2">
      <c r="B770" s="74"/>
      <c r="C770"/>
      <c r="D770" s="74"/>
      <c r="E770" s="74"/>
      <c r="F770" s="74"/>
      <c r="G770" s="74"/>
      <c r="I770" s="110"/>
      <c r="J770" s="111"/>
      <c r="K770"/>
      <c r="L770"/>
      <c r="M770"/>
      <c r="N770"/>
    </row>
    <row r="771" spans="2:14" x14ac:dyDescent="0.2">
      <c r="B771" s="74"/>
      <c r="C771"/>
      <c r="D771" s="74"/>
      <c r="E771" s="74"/>
      <c r="F771" s="74"/>
      <c r="G771" s="74"/>
      <c r="I771" s="110"/>
      <c r="J771" s="111"/>
      <c r="K771"/>
      <c r="L771"/>
      <c r="M771"/>
      <c r="N771"/>
    </row>
    <row r="772" spans="2:14" x14ac:dyDescent="0.2">
      <c r="B772" s="74"/>
      <c r="C772"/>
      <c r="D772" s="74"/>
      <c r="E772" s="74"/>
      <c r="F772" s="74"/>
      <c r="G772" s="74"/>
      <c r="I772" s="110"/>
      <c r="J772" s="111"/>
      <c r="K772"/>
      <c r="L772"/>
      <c r="M772"/>
      <c r="N772"/>
    </row>
    <row r="773" spans="2:14" x14ac:dyDescent="0.2">
      <c r="B773" s="74"/>
      <c r="C773"/>
      <c r="D773" s="74"/>
      <c r="E773" s="74"/>
      <c r="F773" s="74"/>
      <c r="G773" s="74"/>
      <c r="I773" s="110"/>
      <c r="J773" s="111"/>
      <c r="K773"/>
      <c r="L773"/>
      <c r="M773"/>
      <c r="N773"/>
    </row>
    <row r="774" spans="2:14" x14ac:dyDescent="0.2">
      <c r="B774" s="74"/>
      <c r="C774"/>
      <c r="D774" s="74"/>
      <c r="E774" s="74"/>
      <c r="F774" s="74"/>
      <c r="G774" s="74"/>
      <c r="I774" s="110"/>
      <c r="J774" s="111"/>
      <c r="K774"/>
      <c r="L774"/>
      <c r="M774"/>
      <c r="N774"/>
    </row>
    <row r="775" spans="2:14" x14ac:dyDescent="0.2">
      <c r="B775" s="74"/>
      <c r="C775"/>
      <c r="D775" s="74"/>
      <c r="E775" s="74"/>
      <c r="F775" s="74"/>
      <c r="G775" s="74"/>
      <c r="I775" s="110"/>
      <c r="J775" s="111"/>
      <c r="K775"/>
      <c r="L775"/>
      <c r="M775"/>
      <c r="N775"/>
    </row>
    <row r="776" spans="2:14" x14ac:dyDescent="0.2">
      <c r="B776" s="74"/>
      <c r="C776"/>
      <c r="D776" s="74"/>
      <c r="E776" s="74"/>
      <c r="F776" s="74"/>
      <c r="G776" s="74"/>
      <c r="I776" s="110"/>
      <c r="J776" s="111"/>
      <c r="K776"/>
      <c r="L776"/>
      <c r="M776"/>
      <c r="N776"/>
    </row>
    <row r="777" spans="2:14" x14ac:dyDescent="0.2">
      <c r="B777" s="74"/>
      <c r="C777"/>
      <c r="D777" s="74"/>
      <c r="E777" s="74"/>
      <c r="F777" s="74"/>
      <c r="G777" s="74"/>
      <c r="I777" s="110"/>
      <c r="J777" s="111"/>
      <c r="K777"/>
      <c r="L777"/>
      <c r="M777"/>
      <c r="N777"/>
    </row>
    <row r="778" spans="2:14" x14ac:dyDescent="0.2">
      <c r="B778" s="74"/>
      <c r="C778"/>
      <c r="D778" s="74"/>
      <c r="E778" s="74"/>
      <c r="F778" s="74"/>
      <c r="G778" s="74"/>
      <c r="I778" s="110"/>
      <c r="J778" s="111"/>
      <c r="K778"/>
      <c r="L778"/>
      <c r="M778"/>
      <c r="N778"/>
    </row>
    <row r="779" spans="2:14" x14ac:dyDescent="0.2">
      <c r="B779" s="74"/>
      <c r="C779"/>
      <c r="D779" s="74"/>
      <c r="E779" s="74"/>
      <c r="F779" s="74"/>
      <c r="G779" s="74"/>
      <c r="I779" s="110"/>
      <c r="J779" s="111"/>
      <c r="K779"/>
      <c r="L779"/>
      <c r="M779"/>
      <c r="N779"/>
    </row>
    <row r="780" spans="2:14" x14ac:dyDescent="0.2">
      <c r="B780" s="74"/>
      <c r="C780"/>
      <c r="D780" s="74"/>
      <c r="E780" s="74"/>
      <c r="F780" s="74"/>
      <c r="G780" s="74"/>
      <c r="I780" s="110"/>
      <c r="J780" s="111"/>
      <c r="K780"/>
      <c r="L780"/>
      <c r="M780"/>
      <c r="N780"/>
    </row>
    <row r="781" spans="2:14" x14ac:dyDescent="0.2">
      <c r="B781" s="74"/>
      <c r="C781"/>
      <c r="D781" s="74"/>
      <c r="E781" s="74"/>
      <c r="F781" s="74"/>
      <c r="G781" s="74"/>
      <c r="I781" s="110"/>
      <c r="J781" s="111"/>
      <c r="K781"/>
      <c r="L781"/>
      <c r="M781"/>
      <c r="N781"/>
    </row>
    <row r="782" spans="2:14" x14ac:dyDescent="0.2">
      <c r="B782" s="74"/>
      <c r="C782"/>
      <c r="D782" s="74"/>
      <c r="E782" s="74"/>
      <c r="F782" s="74"/>
      <c r="G782" s="74"/>
      <c r="I782" s="110"/>
      <c r="J782" s="111"/>
      <c r="K782"/>
      <c r="L782"/>
      <c r="M782"/>
      <c r="N782"/>
    </row>
    <row r="783" spans="2:14" x14ac:dyDescent="0.2">
      <c r="B783" s="74"/>
      <c r="C783"/>
      <c r="D783" s="74"/>
      <c r="E783" s="74"/>
      <c r="F783" s="74"/>
      <c r="G783" s="74"/>
      <c r="I783" s="110"/>
      <c r="J783" s="111"/>
      <c r="K783"/>
      <c r="L783"/>
      <c r="M783"/>
      <c r="N783"/>
    </row>
    <row r="784" spans="2:14" x14ac:dyDescent="0.2">
      <c r="B784" s="74"/>
      <c r="C784"/>
      <c r="D784" s="74"/>
      <c r="E784" s="74"/>
      <c r="F784" s="74"/>
      <c r="G784" s="74"/>
      <c r="I784" s="110"/>
      <c r="J784" s="111"/>
      <c r="K784"/>
      <c r="L784"/>
      <c r="M784"/>
      <c r="N784"/>
    </row>
    <row r="785" spans="2:14" x14ac:dyDescent="0.2">
      <c r="B785" s="74"/>
      <c r="C785"/>
      <c r="D785" s="74"/>
      <c r="E785" s="74"/>
      <c r="F785" s="74"/>
      <c r="G785" s="74"/>
      <c r="I785" s="110"/>
      <c r="J785" s="111"/>
      <c r="K785"/>
      <c r="L785"/>
      <c r="M785"/>
      <c r="N785"/>
    </row>
    <row r="786" spans="2:14" x14ac:dyDescent="0.2">
      <c r="B786" s="74"/>
      <c r="C786"/>
      <c r="D786" s="74"/>
      <c r="E786" s="74"/>
      <c r="F786" s="74"/>
      <c r="G786" s="74"/>
      <c r="I786" s="110"/>
      <c r="J786" s="111"/>
      <c r="K786"/>
      <c r="L786"/>
      <c r="M786"/>
      <c r="N786"/>
    </row>
    <row r="787" spans="2:14" x14ac:dyDescent="0.2">
      <c r="B787" s="74"/>
      <c r="C787"/>
      <c r="D787" s="74"/>
      <c r="E787" s="74"/>
      <c r="F787" s="74"/>
      <c r="G787" s="74"/>
      <c r="I787" s="110"/>
      <c r="J787" s="111"/>
      <c r="K787"/>
      <c r="L787"/>
      <c r="M787"/>
      <c r="N787"/>
    </row>
    <row r="788" spans="2:14" x14ac:dyDescent="0.2">
      <c r="B788" s="74"/>
      <c r="C788"/>
      <c r="D788" s="74"/>
      <c r="E788" s="74"/>
      <c r="F788" s="74"/>
      <c r="G788" s="74"/>
      <c r="I788" s="110"/>
      <c r="J788" s="111"/>
      <c r="K788"/>
      <c r="L788"/>
      <c r="M788"/>
      <c r="N788"/>
    </row>
    <row r="789" spans="2:14" x14ac:dyDescent="0.2">
      <c r="B789" s="74"/>
      <c r="C789"/>
      <c r="D789" s="74"/>
      <c r="E789" s="74"/>
      <c r="F789" s="74"/>
      <c r="G789" s="74"/>
      <c r="I789" s="110"/>
      <c r="J789" s="111"/>
      <c r="K789"/>
      <c r="L789"/>
      <c r="M789"/>
      <c r="N789"/>
    </row>
    <row r="790" spans="2:14" x14ac:dyDescent="0.2">
      <c r="B790" s="74"/>
      <c r="C790"/>
      <c r="D790" s="74"/>
      <c r="E790" s="74"/>
      <c r="F790" s="74"/>
      <c r="G790" s="74"/>
      <c r="I790" s="110"/>
      <c r="J790" s="111"/>
      <c r="K790"/>
      <c r="L790"/>
      <c r="M790"/>
      <c r="N790"/>
    </row>
    <row r="791" spans="2:14" x14ac:dyDescent="0.2">
      <c r="B791" s="74"/>
      <c r="C791"/>
      <c r="D791" s="74"/>
      <c r="E791" s="74"/>
      <c r="F791" s="74"/>
      <c r="G791" s="74"/>
      <c r="I791" s="110"/>
      <c r="J791" s="111"/>
      <c r="K791"/>
      <c r="L791"/>
      <c r="M791"/>
      <c r="N791"/>
    </row>
    <row r="792" spans="2:14" x14ac:dyDescent="0.2">
      <c r="B792" s="74"/>
      <c r="C792"/>
      <c r="D792" s="74"/>
      <c r="E792" s="74"/>
      <c r="F792" s="74"/>
      <c r="G792" s="74"/>
      <c r="I792" s="110"/>
      <c r="J792" s="111"/>
      <c r="K792"/>
      <c r="L792"/>
      <c r="M792"/>
      <c r="N792"/>
    </row>
    <row r="793" spans="2:14" x14ac:dyDescent="0.2">
      <c r="B793" s="74"/>
      <c r="C793"/>
      <c r="D793" s="74"/>
      <c r="E793" s="74"/>
      <c r="F793" s="74"/>
      <c r="G793" s="74"/>
      <c r="I793" s="110"/>
      <c r="J793" s="111"/>
      <c r="K793"/>
      <c r="L793"/>
      <c r="M793"/>
      <c r="N793"/>
    </row>
    <row r="794" spans="2:14" x14ac:dyDescent="0.2">
      <c r="B794" s="74"/>
      <c r="C794"/>
      <c r="D794" s="74"/>
      <c r="E794" s="74"/>
      <c r="F794" s="74"/>
      <c r="G794" s="74"/>
      <c r="I794" s="110"/>
      <c r="J794" s="111"/>
      <c r="K794"/>
      <c r="L794"/>
      <c r="M794"/>
      <c r="N794"/>
    </row>
    <row r="795" spans="2:14" x14ac:dyDescent="0.2">
      <c r="B795" s="74"/>
      <c r="C795"/>
      <c r="D795" s="74"/>
      <c r="E795" s="74"/>
      <c r="F795" s="74"/>
      <c r="G795" s="74"/>
      <c r="I795" s="110"/>
      <c r="J795" s="111"/>
      <c r="K795"/>
      <c r="L795"/>
      <c r="M795"/>
      <c r="N795"/>
    </row>
    <row r="796" spans="2:14" x14ac:dyDescent="0.2">
      <c r="B796" s="74"/>
      <c r="C796"/>
      <c r="D796" s="74"/>
      <c r="E796" s="74"/>
      <c r="F796" s="74"/>
      <c r="G796" s="74"/>
      <c r="I796" s="110"/>
      <c r="J796" s="111"/>
      <c r="K796"/>
      <c r="L796"/>
      <c r="M796"/>
      <c r="N796"/>
    </row>
    <row r="797" spans="2:14" x14ac:dyDescent="0.2">
      <c r="B797" s="74"/>
      <c r="C797"/>
      <c r="D797" s="74"/>
      <c r="E797" s="74"/>
      <c r="F797" s="74"/>
      <c r="G797" s="74"/>
      <c r="I797" s="110"/>
      <c r="J797" s="111"/>
      <c r="K797"/>
      <c r="L797"/>
      <c r="M797"/>
      <c r="N797"/>
    </row>
    <row r="798" spans="2:14" x14ac:dyDescent="0.2">
      <c r="B798" s="74"/>
      <c r="C798"/>
      <c r="D798" s="74"/>
      <c r="E798" s="74"/>
      <c r="F798" s="74"/>
      <c r="G798" s="74"/>
      <c r="I798" s="110"/>
      <c r="J798" s="111"/>
      <c r="K798"/>
      <c r="L798"/>
      <c r="M798"/>
      <c r="N798"/>
    </row>
    <row r="799" spans="2:14" x14ac:dyDescent="0.2">
      <c r="B799" s="74"/>
      <c r="C799"/>
      <c r="D799" s="74"/>
      <c r="E799" s="74"/>
      <c r="F799" s="74"/>
      <c r="G799" s="74"/>
      <c r="I799" s="110"/>
      <c r="J799" s="111"/>
      <c r="K799"/>
      <c r="L799"/>
      <c r="M799"/>
      <c r="N799"/>
    </row>
    <row r="800" spans="2:14" x14ac:dyDescent="0.2">
      <c r="B800" s="74"/>
      <c r="C800"/>
      <c r="D800" s="74"/>
      <c r="E800" s="74"/>
      <c r="F800" s="74"/>
      <c r="G800" s="74"/>
      <c r="I800" s="110"/>
      <c r="J800" s="111"/>
      <c r="K800"/>
      <c r="L800"/>
      <c r="M800"/>
      <c r="N800"/>
    </row>
    <row r="801" spans="2:14" x14ac:dyDescent="0.2">
      <c r="B801" s="74"/>
      <c r="C801"/>
      <c r="D801" s="74"/>
      <c r="E801" s="74"/>
      <c r="F801" s="74"/>
      <c r="G801" s="74"/>
      <c r="I801" s="110"/>
      <c r="J801" s="111"/>
      <c r="K801"/>
      <c r="L801"/>
      <c r="M801"/>
      <c r="N801"/>
    </row>
    <row r="802" spans="2:14" x14ac:dyDescent="0.2">
      <c r="B802" s="74"/>
      <c r="C802"/>
      <c r="D802" s="74"/>
      <c r="E802" s="74"/>
      <c r="F802" s="74"/>
      <c r="G802" s="74"/>
      <c r="I802" s="110"/>
      <c r="J802" s="111"/>
      <c r="K802"/>
      <c r="L802"/>
      <c r="M802"/>
      <c r="N802"/>
    </row>
    <row r="803" spans="2:14" x14ac:dyDescent="0.2">
      <c r="B803" s="74"/>
      <c r="C803"/>
      <c r="D803" s="74"/>
      <c r="E803" s="74"/>
      <c r="F803" s="74"/>
      <c r="G803" s="74"/>
      <c r="I803" s="110"/>
      <c r="J803" s="111"/>
      <c r="K803"/>
      <c r="L803"/>
      <c r="M803"/>
      <c r="N803"/>
    </row>
    <row r="804" spans="2:14" x14ac:dyDescent="0.2">
      <c r="B804" s="74"/>
      <c r="C804"/>
      <c r="D804" s="74"/>
      <c r="E804" s="74"/>
      <c r="F804" s="74"/>
      <c r="G804" s="74"/>
      <c r="I804" s="110"/>
      <c r="J804" s="111"/>
      <c r="K804"/>
      <c r="L804"/>
      <c r="M804"/>
      <c r="N804"/>
    </row>
    <row r="805" spans="2:14" x14ac:dyDescent="0.2">
      <c r="B805" s="74"/>
      <c r="C805"/>
      <c r="D805" s="74"/>
      <c r="E805" s="74"/>
      <c r="F805" s="74"/>
      <c r="G805" s="74"/>
      <c r="I805" s="110"/>
      <c r="J805" s="111"/>
      <c r="K805"/>
      <c r="L805"/>
      <c r="M805"/>
      <c r="N805"/>
    </row>
    <row r="806" spans="2:14" x14ac:dyDescent="0.2">
      <c r="B806" s="74"/>
      <c r="C806"/>
      <c r="D806" s="74"/>
      <c r="E806" s="74"/>
      <c r="F806" s="74"/>
      <c r="G806" s="74"/>
      <c r="I806" s="110"/>
      <c r="J806" s="111"/>
      <c r="K806"/>
      <c r="L806"/>
      <c r="M806"/>
      <c r="N806"/>
    </row>
    <row r="807" spans="2:14" x14ac:dyDescent="0.2">
      <c r="B807" s="74"/>
      <c r="C807"/>
      <c r="D807" s="74"/>
      <c r="E807" s="74"/>
      <c r="F807" s="74"/>
      <c r="G807" s="74"/>
      <c r="I807" s="110"/>
      <c r="J807" s="111"/>
      <c r="K807"/>
      <c r="L807"/>
      <c r="M807"/>
      <c r="N807"/>
    </row>
    <row r="808" spans="2:14" x14ac:dyDescent="0.2">
      <c r="B808" s="74"/>
      <c r="C808"/>
      <c r="D808" s="74"/>
      <c r="E808" s="74"/>
      <c r="F808" s="74"/>
      <c r="G808" s="74"/>
      <c r="I808" s="110"/>
      <c r="J808" s="111"/>
      <c r="K808"/>
      <c r="L808"/>
      <c r="M808"/>
      <c r="N808"/>
    </row>
    <row r="809" spans="2:14" x14ac:dyDescent="0.2">
      <c r="B809" s="74"/>
      <c r="C809"/>
      <c r="D809" s="74"/>
      <c r="E809" s="74"/>
      <c r="F809" s="74"/>
      <c r="G809" s="74"/>
      <c r="I809" s="110"/>
      <c r="J809" s="111"/>
      <c r="K809"/>
      <c r="L809"/>
      <c r="M809"/>
      <c r="N809"/>
    </row>
    <row r="810" spans="2:14" x14ac:dyDescent="0.2">
      <c r="B810" s="74"/>
      <c r="C810"/>
      <c r="D810" s="74"/>
      <c r="E810" s="74"/>
      <c r="F810" s="74"/>
      <c r="G810" s="74"/>
      <c r="I810" s="110"/>
      <c r="J810" s="111"/>
      <c r="K810"/>
      <c r="L810"/>
      <c r="M810"/>
      <c r="N810"/>
    </row>
    <row r="811" spans="2:14" x14ac:dyDescent="0.2">
      <c r="B811" s="74"/>
      <c r="C811"/>
      <c r="D811" s="74"/>
      <c r="E811" s="74"/>
      <c r="F811" s="74"/>
      <c r="G811" s="74"/>
      <c r="I811" s="110"/>
      <c r="J811" s="111"/>
      <c r="K811"/>
      <c r="L811"/>
      <c r="M811"/>
      <c r="N811"/>
    </row>
    <row r="812" spans="2:14" x14ac:dyDescent="0.2">
      <c r="B812" s="74"/>
      <c r="C812"/>
      <c r="D812" s="74"/>
      <c r="E812" s="74"/>
      <c r="F812" s="74"/>
      <c r="G812" s="74"/>
      <c r="I812" s="110"/>
      <c r="J812" s="111"/>
      <c r="K812"/>
      <c r="L812"/>
      <c r="M812"/>
      <c r="N812"/>
    </row>
    <row r="813" spans="2:14" x14ac:dyDescent="0.2">
      <c r="B813" s="74"/>
      <c r="C813"/>
      <c r="D813" s="74"/>
      <c r="E813" s="74"/>
      <c r="F813" s="74"/>
      <c r="G813" s="74"/>
      <c r="I813" s="110"/>
      <c r="J813" s="111"/>
      <c r="K813"/>
      <c r="L813"/>
      <c r="M813"/>
      <c r="N813"/>
    </row>
    <row r="814" spans="2:14" x14ac:dyDescent="0.2">
      <c r="B814" s="74"/>
      <c r="C814"/>
      <c r="D814" s="74"/>
      <c r="E814" s="74"/>
      <c r="F814" s="74"/>
      <c r="G814" s="74"/>
      <c r="I814" s="110"/>
      <c r="J814" s="111"/>
      <c r="K814"/>
      <c r="L814"/>
      <c r="M814"/>
      <c r="N814"/>
    </row>
    <row r="815" spans="2:14" x14ac:dyDescent="0.2">
      <c r="B815" s="74"/>
      <c r="C815"/>
      <c r="D815" s="74"/>
      <c r="E815" s="74"/>
      <c r="F815" s="74"/>
      <c r="G815" s="74"/>
      <c r="I815" s="110"/>
      <c r="J815" s="111"/>
      <c r="K815"/>
      <c r="L815"/>
      <c r="M815"/>
      <c r="N815"/>
    </row>
    <row r="816" spans="2:14" x14ac:dyDescent="0.2">
      <c r="B816" s="74"/>
      <c r="C816"/>
      <c r="D816" s="74"/>
      <c r="E816" s="74"/>
      <c r="F816" s="74"/>
      <c r="G816" s="74"/>
      <c r="I816" s="110"/>
      <c r="J816" s="111"/>
      <c r="K816"/>
      <c r="L816"/>
      <c r="M816"/>
      <c r="N816"/>
    </row>
    <row r="817" spans="2:14" x14ac:dyDescent="0.2">
      <c r="B817" s="74"/>
      <c r="C817"/>
      <c r="D817" s="74"/>
      <c r="E817" s="74"/>
      <c r="F817" s="74"/>
      <c r="G817" s="74"/>
      <c r="I817" s="110"/>
      <c r="J817" s="111"/>
      <c r="K817"/>
      <c r="L817"/>
      <c r="M817"/>
      <c r="N817"/>
    </row>
    <row r="818" spans="2:14" x14ac:dyDescent="0.2">
      <c r="B818" s="74"/>
      <c r="C818"/>
      <c r="D818" s="74"/>
      <c r="E818" s="74"/>
      <c r="F818" s="74"/>
      <c r="G818" s="74"/>
      <c r="I818" s="110"/>
      <c r="J818" s="111"/>
      <c r="K818"/>
      <c r="L818"/>
      <c r="M818"/>
      <c r="N818"/>
    </row>
    <row r="819" spans="2:14" x14ac:dyDescent="0.2">
      <c r="B819" s="74"/>
      <c r="C819"/>
      <c r="D819" s="74"/>
      <c r="E819" s="74"/>
      <c r="F819" s="74"/>
      <c r="G819" s="74"/>
      <c r="I819" s="110"/>
      <c r="J819" s="111"/>
      <c r="K819"/>
      <c r="L819"/>
      <c r="M819"/>
      <c r="N819"/>
    </row>
    <row r="820" spans="2:14" x14ac:dyDescent="0.2">
      <c r="B820" s="74"/>
      <c r="C820"/>
      <c r="D820" s="74"/>
      <c r="E820" s="74"/>
      <c r="F820" s="74"/>
      <c r="G820" s="74"/>
      <c r="I820" s="110"/>
      <c r="J820" s="111"/>
      <c r="K820"/>
      <c r="L820"/>
      <c r="M820"/>
      <c r="N820"/>
    </row>
    <row r="821" spans="2:14" x14ac:dyDescent="0.2">
      <c r="B821" s="74"/>
      <c r="C821"/>
      <c r="D821" s="74"/>
      <c r="E821" s="74"/>
      <c r="F821" s="74"/>
      <c r="G821" s="74"/>
      <c r="I821" s="110"/>
      <c r="J821" s="111"/>
      <c r="K821"/>
      <c r="L821"/>
      <c r="M821"/>
      <c r="N821"/>
    </row>
    <row r="822" spans="2:14" x14ac:dyDescent="0.2">
      <c r="B822" s="74"/>
      <c r="C822"/>
      <c r="D822" s="74"/>
      <c r="E822" s="74"/>
      <c r="F822" s="74"/>
      <c r="G822" s="74"/>
      <c r="I822" s="110"/>
      <c r="J822" s="111"/>
      <c r="K822"/>
      <c r="L822"/>
      <c r="M822"/>
      <c r="N822"/>
    </row>
    <row r="823" spans="2:14" x14ac:dyDescent="0.2">
      <c r="B823" s="74"/>
      <c r="C823"/>
      <c r="D823" s="74"/>
      <c r="E823" s="74"/>
      <c r="F823" s="74"/>
      <c r="G823" s="74"/>
      <c r="I823" s="110"/>
      <c r="J823" s="111"/>
      <c r="K823"/>
      <c r="L823"/>
      <c r="M823"/>
      <c r="N823"/>
    </row>
    <row r="824" spans="2:14" x14ac:dyDescent="0.2">
      <c r="B824" s="74"/>
      <c r="C824"/>
      <c r="D824" s="74"/>
      <c r="E824" s="74"/>
      <c r="F824" s="74"/>
      <c r="G824" s="74"/>
      <c r="I824" s="110"/>
      <c r="J824" s="111"/>
      <c r="K824"/>
      <c r="L824"/>
      <c r="M824"/>
      <c r="N824"/>
    </row>
    <row r="825" spans="2:14" x14ac:dyDescent="0.2">
      <c r="B825" s="74"/>
      <c r="C825"/>
      <c r="D825" s="74"/>
      <c r="E825" s="74"/>
      <c r="F825" s="74"/>
      <c r="G825" s="74"/>
      <c r="I825" s="110"/>
      <c r="J825" s="111"/>
      <c r="K825"/>
      <c r="L825"/>
      <c r="M825"/>
      <c r="N825"/>
    </row>
    <row r="826" spans="2:14" x14ac:dyDescent="0.2">
      <c r="B826" s="74"/>
      <c r="C826"/>
      <c r="D826" s="74"/>
      <c r="E826" s="74"/>
      <c r="F826" s="74"/>
      <c r="G826" s="74"/>
      <c r="I826" s="110"/>
      <c r="J826" s="111"/>
      <c r="K826"/>
      <c r="L826"/>
      <c r="M826"/>
      <c r="N826"/>
    </row>
    <row r="827" spans="2:14" x14ac:dyDescent="0.2">
      <c r="B827" s="74"/>
      <c r="C827"/>
      <c r="D827" s="74"/>
      <c r="E827" s="74"/>
      <c r="F827" s="74"/>
      <c r="G827" s="74"/>
      <c r="I827" s="110"/>
      <c r="J827" s="111"/>
      <c r="K827"/>
      <c r="L827"/>
      <c r="M827"/>
      <c r="N827"/>
    </row>
    <row r="828" spans="2:14" x14ac:dyDescent="0.2">
      <c r="B828" s="74"/>
      <c r="C828"/>
      <c r="D828" s="74"/>
      <c r="E828" s="74"/>
      <c r="F828" s="74"/>
      <c r="G828" s="74"/>
      <c r="I828" s="110"/>
      <c r="J828" s="111"/>
      <c r="K828"/>
      <c r="L828"/>
      <c r="M828"/>
      <c r="N828"/>
    </row>
    <row r="829" spans="2:14" x14ac:dyDescent="0.2">
      <c r="B829" s="74"/>
      <c r="C829"/>
      <c r="D829" s="74"/>
      <c r="E829" s="74"/>
      <c r="F829" s="74"/>
      <c r="G829" s="74"/>
      <c r="I829" s="110"/>
      <c r="J829" s="111"/>
      <c r="K829"/>
      <c r="L829"/>
      <c r="M829"/>
      <c r="N829"/>
    </row>
    <row r="830" spans="2:14" x14ac:dyDescent="0.2">
      <c r="B830" s="74"/>
      <c r="C830"/>
      <c r="D830" s="74"/>
      <c r="E830" s="74"/>
      <c r="F830" s="74"/>
      <c r="G830" s="74"/>
      <c r="I830" s="110"/>
      <c r="J830" s="111"/>
      <c r="K830"/>
      <c r="L830"/>
      <c r="M830"/>
      <c r="N830"/>
    </row>
    <row r="831" spans="2:14" x14ac:dyDescent="0.2">
      <c r="B831" s="74"/>
      <c r="C831"/>
      <c r="D831" s="74"/>
      <c r="E831" s="74"/>
      <c r="F831" s="74"/>
      <c r="G831" s="74"/>
      <c r="I831" s="110"/>
      <c r="J831" s="111"/>
      <c r="K831"/>
      <c r="L831"/>
      <c r="M831"/>
      <c r="N831"/>
    </row>
    <row r="832" spans="2:14" x14ac:dyDescent="0.2">
      <c r="B832" s="74"/>
      <c r="C832"/>
      <c r="D832" s="74"/>
      <c r="E832" s="74"/>
      <c r="F832" s="74"/>
      <c r="G832" s="74"/>
      <c r="I832" s="110"/>
      <c r="J832" s="111"/>
      <c r="K832"/>
      <c r="L832"/>
      <c r="M832"/>
      <c r="N832"/>
    </row>
    <row r="833" spans="2:14" x14ac:dyDescent="0.2">
      <c r="B833" s="74"/>
      <c r="C833"/>
      <c r="D833" s="74"/>
      <c r="E833" s="74"/>
      <c r="F833" s="74"/>
      <c r="G833" s="74"/>
      <c r="I833" s="110"/>
      <c r="J833" s="111"/>
      <c r="K833"/>
      <c r="L833"/>
      <c r="M833"/>
      <c r="N833"/>
    </row>
    <row r="834" spans="2:14" x14ac:dyDescent="0.2">
      <c r="B834" s="74"/>
      <c r="C834"/>
      <c r="D834" s="74"/>
      <c r="E834" s="74"/>
      <c r="F834" s="74"/>
      <c r="G834" s="74"/>
      <c r="I834" s="110"/>
      <c r="J834" s="111"/>
      <c r="K834"/>
      <c r="L834"/>
      <c r="M834"/>
      <c r="N834"/>
    </row>
    <row r="835" spans="2:14" x14ac:dyDescent="0.2">
      <c r="B835" s="74"/>
      <c r="C835"/>
      <c r="D835" s="74"/>
      <c r="E835" s="74"/>
      <c r="F835" s="74"/>
      <c r="G835" s="74"/>
      <c r="I835" s="110"/>
      <c r="J835" s="111"/>
      <c r="K835"/>
      <c r="L835"/>
      <c r="M835"/>
      <c r="N835"/>
    </row>
    <row r="836" spans="2:14" x14ac:dyDescent="0.2">
      <c r="B836" s="74"/>
      <c r="C836"/>
      <c r="D836" s="74"/>
      <c r="E836" s="74"/>
      <c r="F836" s="74"/>
      <c r="G836" s="74"/>
      <c r="I836" s="110"/>
      <c r="J836" s="111"/>
      <c r="K836"/>
      <c r="L836"/>
      <c r="M836"/>
      <c r="N836"/>
    </row>
    <row r="837" spans="2:14" x14ac:dyDescent="0.2">
      <c r="B837" s="74"/>
      <c r="C837"/>
      <c r="D837" s="74"/>
      <c r="E837" s="74"/>
      <c r="F837" s="74"/>
      <c r="G837" s="74"/>
      <c r="I837" s="110"/>
      <c r="J837" s="111"/>
      <c r="K837"/>
      <c r="L837"/>
      <c r="M837"/>
      <c r="N837"/>
    </row>
    <row r="838" spans="2:14" x14ac:dyDescent="0.2">
      <c r="B838" s="74"/>
      <c r="C838"/>
      <c r="D838" s="74"/>
      <c r="E838" s="74"/>
      <c r="F838" s="74"/>
      <c r="G838" s="74"/>
      <c r="I838" s="110"/>
      <c r="J838" s="111"/>
      <c r="K838"/>
      <c r="L838"/>
      <c r="M838"/>
      <c r="N838"/>
    </row>
    <row r="839" spans="2:14" x14ac:dyDescent="0.2">
      <c r="B839" s="74"/>
      <c r="C839"/>
      <c r="D839" s="74"/>
      <c r="E839" s="74"/>
      <c r="F839" s="74"/>
      <c r="G839" s="74"/>
      <c r="I839" s="110"/>
      <c r="J839" s="111"/>
      <c r="K839"/>
      <c r="L839"/>
      <c r="M839"/>
      <c r="N839"/>
    </row>
    <row r="840" spans="2:14" x14ac:dyDescent="0.2">
      <c r="B840" s="74"/>
      <c r="C840"/>
      <c r="D840" s="74"/>
      <c r="E840" s="74"/>
      <c r="F840" s="74"/>
      <c r="G840" s="74"/>
      <c r="I840" s="110"/>
      <c r="J840" s="111"/>
      <c r="K840"/>
      <c r="L840"/>
      <c r="M840"/>
      <c r="N840"/>
    </row>
    <row r="841" spans="2:14" x14ac:dyDescent="0.2">
      <c r="B841" s="74"/>
      <c r="C841"/>
      <c r="D841" s="74"/>
      <c r="E841" s="74"/>
      <c r="F841" s="74"/>
      <c r="G841" s="74"/>
      <c r="I841" s="110"/>
      <c r="J841" s="111"/>
      <c r="K841"/>
      <c r="L841"/>
      <c r="M841"/>
      <c r="N841"/>
    </row>
    <row r="842" spans="2:14" x14ac:dyDescent="0.2">
      <c r="B842" s="74"/>
      <c r="C842"/>
      <c r="D842" s="74"/>
      <c r="E842" s="74"/>
      <c r="F842" s="74"/>
      <c r="G842" s="74"/>
      <c r="I842" s="110"/>
      <c r="J842" s="111"/>
      <c r="K842"/>
      <c r="L842"/>
      <c r="M842"/>
      <c r="N842"/>
    </row>
    <row r="843" spans="2:14" x14ac:dyDescent="0.2">
      <c r="B843" s="74"/>
      <c r="C843"/>
      <c r="D843" s="74"/>
      <c r="E843" s="74"/>
      <c r="F843" s="74"/>
      <c r="G843" s="74"/>
      <c r="I843" s="110"/>
      <c r="J843" s="111"/>
      <c r="K843"/>
      <c r="L843"/>
      <c r="M843"/>
      <c r="N843"/>
    </row>
    <row r="844" spans="2:14" x14ac:dyDescent="0.2">
      <c r="B844" s="74"/>
      <c r="C844"/>
      <c r="D844" s="74"/>
      <c r="E844" s="74"/>
      <c r="F844" s="74"/>
      <c r="G844" s="74"/>
      <c r="I844" s="110"/>
      <c r="J844" s="111"/>
      <c r="K844"/>
      <c r="L844"/>
      <c r="M844"/>
      <c r="N844"/>
    </row>
    <row r="845" spans="2:14" x14ac:dyDescent="0.2">
      <c r="B845" s="74"/>
      <c r="C845"/>
      <c r="D845" s="74"/>
      <c r="E845" s="74"/>
      <c r="F845" s="74"/>
      <c r="G845" s="74"/>
      <c r="I845" s="110"/>
      <c r="J845" s="111"/>
      <c r="K845"/>
      <c r="L845"/>
      <c r="M845"/>
      <c r="N845"/>
    </row>
    <row r="846" spans="2:14" x14ac:dyDescent="0.2">
      <c r="B846" s="74"/>
      <c r="C846"/>
      <c r="D846" s="74"/>
      <c r="E846" s="74"/>
      <c r="F846" s="74"/>
      <c r="G846" s="74"/>
      <c r="I846" s="110"/>
      <c r="J846" s="111"/>
      <c r="K846"/>
      <c r="L846"/>
      <c r="M846"/>
      <c r="N846"/>
    </row>
    <row r="847" spans="2:14" x14ac:dyDescent="0.2">
      <c r="B847" s="74"/>
      <c r="C847"/>
      <c r="D847" s="74"/>
      <c r="E847" s="74"/>
      <c r="F847" s="74"/>
      <c r="G847" s="74"/>
      <c r="I847" s="110"/>
      <c r="J847" s="111"/>
      <c r="K847"/>
      <c r="L847"/>
      <c r="M847"/>
      <c r="N847"/>
    </row>
    <row r="848" spans="2:14" x14ac:dyDescent="0.2">
      <c r="B848" s="74"/>
      <c r="C848"/>
      <c r="D848" s="74"/>
      <c r="E848" s="74"/>
      <c r="F848" s="74"/>
      <c r="G848" s="74"/>
      <c r="I848" s="110"/>
      <c r="J848" s="111"/>
      <c r="K848"/>
      <c r="L848"/>
      <c r="M848"/>
      <c r="N848"/>
    </row>
    <row r="849" spans="2:14" x14ac:dyDescent="0.2">
      <c r="B849" s="74"/>
      <c r="C849"/>
      <c r="D849" s="74"/>
      <c r="E849" s="74"/>
      <c r="F849" s="74"/>
      <c r="G849" s="74"/>
      <c r="I849" s="110"/>
      <c r="J849" s="111"/>
      <c r="K849"/>
      <c r="L849"/>
      <c r="M849"/>
      <c r="N849"/>
    </row>
    <row r="850" spans="2:14" x14ac:dyDescent="0.2">
      <c r="B850" s="74"/>
      <c r="C850"/>
      <c r="D850" s="74"/>
      <c r="E850" s="74"/>
      <c r="F850" s="74"/>
      <c r="G850" s="74"/>
      <c r="I850" s="110"/>
      <c r="J850" s="111"/>
      <c r="K850"/>
      <c r="L850"/>
      <c r="M850"/>
      <c r="N850"/>
    </row>
    <row r="851" spans="2:14" x14ac:dyDescent="0.2">
      <c r="B851" s="74"/>
      <c r="C851"/>
      <c r="D851" s="74"/>
      <c r="E851" s="74"/>
      <c r="F851" s="74"/>
      <c r="G851" s="74"/>
      <c r="I851" s="110"/>
      <c r="J851" s="111"/>
      <c r="K851"/>
      <c r="L851"/>
      <c r="M851"/>
      <c r="N851"/>
    </row>
    <row r="852" spans="2:14" x14ac:dyDescent="0.2">
      <c r="B852" s="74"/>
      <c r="C852"/>
      <c r="D852" s="74"/>
      <c r="E852" s="74"/>
      <c r="F852" s="74"/>
      <c r="G852" s="74"/>
      <c r="I852" s="110"/>
      <c r="J852" s="111"/>
      <c r="K852"/>
      <c r="L852"/>
      <c r="M852"/>
      <c r="N852"/>
    </row>
    <row r="853" spans="2:14" x14ac:dyDescent="0.2">
      <c r="B853" s="74"/>
      <c r="C853"/>
      <c r="D853" s="74"/>
      <c r="E853" s="74"/>
      <c r="F853" s="74"/>
      <c r="G853" s="74"/>
      <c r="I853" s="110"/>
      <c r="J853" s="111"/>
      <c r="K853"/>
      <c r="L853"/>
      <c r="M853"/>
      <c r="N853"/>
    </row>
    <row r="854" spans="2:14" x14ac:dyDescent="0.2">
      <c r="B854" s="74"/>
      <c r="C854"/>
      <c r="D854" s="74"/>
      <c r="E854" s="74"/>
      <c r="F854" s="74"/>
      <c r="G854" s="74"/>
      <c r="I854" s="110"/>
      <c r="J854" s="111"/>
      <c r="K854"/>
      <c r="L854"/>
      <c r="M854"/>
      <c r="N854"/>
    </row>
    <row r="855" spans="2:14" x14ac:dyDescent="0.2">
      <c r="B855" s="74"/>
      <c r="C855"/>
      <c r="D855" s="74"/>
      <c r="E855" s="74"/>
      <c r="F855" s="74"/>
      <c r="G855" s="74"/>
      <c r="I855" s="110"/>
      <c r="J855" s="111"/>
      <c r="K855"/>
      <c r="L855"/>
      <c r="M855"/>
      <c r="N855"/>
    </row>
    <row r="856" spans="2:14" x14ac:dyDescent="0.2">
      <c r="B856" s="74"/>
      <c r="C856"/>
      <c r="D856" s="74"/>
      <c r="E856" s="74"/>
      <c r="F856" s="74"/>
      <c r="G856" s="74"/>
      <c r="I856" s="110"/>
      <c r="J856" s="111"/>
      <c r="K856"/>
      <c r="L856"/>
      <c r="M856"/>
      <c r="N856"/>
    </row>
    <row r="857" spans="2:14" x14ac:dyDescent="0.2">
      <c r="B857" s="74"/>
      <c r="C857"/>
      <c r="D857" s="74"/>
      <c r="E857" s="74"/>
      <c r="F857" s="74"/>
      <c r="G857" s="74"/>
      <c r="I857" s="110"/>
      <c r="J857" s="111"/>
      <c r="K857"/>
      <c r="L857"/>
      <c r="M857"/>
      <c r="N857"/>
    </row>
    <row r="858" spans="2:14" x14ac:dyDescent="0.2">
      <c r="B858" s="74"/>
      <c r="C858"/>
      <c r="D858" s="74"/>
      <c r="E858" s="74"/>
      <c r="F858" s="74"/>
      <c r="G858" s="74"/>
      <c r="I858" s="110"/>
      <c r="J858" s="111"/>
      <c r="K858"/>
      <c r="L858"/>
      <c r="M858"/>
      <c r="N858"/>
    </row>
    <row r="859" spans="2:14" x14ac:dyDescent="0.2">
      <c r="B859" s="74"/>
      <c r="C859"/>
      <c r="D859" s="74"/>
      <c r="E859" s="74"/>
      <c r="F859" s="74"/>
      <c r="G859" s="74"/>
      <c r="I859" s="110"/>
      <c r="J859" s="111"/>
      <c r="K859"/>
      <c r="L859"/>
      <c r="M859"/>
      <c r="N859"/>
    </row>
    <row r="860" spans="2:14" x14ac:dyDescent="0.2">
      <c r="B860" s="74"/>
      <c r="C860"/>
      <c r="D860" s="74"/>
      <c r="E860" s="74"/>
      <c r="F860" s="74"/>
      <c r="G860" s="74"/>
      <c r="I860" s="110"/>
      <c r="J860" s="111"/>
      <c r="K860"/>
      <c r="L860"/>
      <c r="M860"/>
      <c r="N860"/>
    </row>
    <row r="861" spans="2:14" x14ac:dyDescent="0.2">
      <c r="B861" s="74"/>
      <c r="C861"/>
      <c r="D861" s="74"/>
      <c r="E861" s="74"/>
      <c r="F861" s="74"/>
      <c r="G861" s="74"/>
      <c r="I861" s="110"/>
      <c r="J861" s="111"/>
      <c r="K861"/>
      <c r="L861"/>
      <c r="M861"/>
      <c r="N861"/>
    </row>
    <row r="862" spans="2:14" x14ac:dyDescent="0.2">
      <c r="B862" s="74"/>
      <c r="C862"/>
      <c r="D862" s="74"/>
      <c r="E862" s="74"/>
      <c r="F862" s="74"/>
      <c r="G862" s="74"/>
      <c r="I862" s="110"/>
      <c r="J862" s="111"/>
      <c r="K862"/>
      <c r="L862"/>
      <c r="M862"/>
      <c r="N862"/>
    </row>
    <row r="863" spans="2:14" x14ac:dyDescent="0.2">
      <c r="B863" s="74"/>
      <c r="C863"/>
      <c r="D863" s="74"/>
      <c r="E863" s="74"/>
      <c r="F863" s="74"/>
      <c r="G863" s="74"/>
      <c r="I863" s="110"/>
      <c r="J863" s="111"/>
      <c r="K863"/>
      <c r="L863"/>
      <c r="M863"/>
      <c r="N863"/>
    </row>
    <row r="864" spans="2:14" x14ac:dyDescent="0.2">
      <c r="B864" s="74"/>
      <c r="C864"/>
      <c r="D864" s="74"/>
      <c r="E864" s="74"/>
      <c r="F864" s="74"/>
      <c r="G864" s="74"/>
      <c r="I864" s="110"/>
      <c r="J864" s="111"/>
      <c r="K864"/>
      <c r="L864"/>
      <c r="M864"/>
      <c r="N864"/>
    </row>
    <row r="865" spans="2:14" x14ac:dyDescent="0.2">
      <c r="B865" s="74"/>
      <c r="C865"/>
      <c r="D865" s="74"/>
      <c r="E865" s="74"/>
      <c r="F865" s="74"/>
      <c r="G865" s="74"/>
      <c r="I865" s="110"/>
      <c r="J865" s="111"/>
      <c r="K865"/>
      <c r="L865"/>
      <c r="M865"/>
      <c r="N865"/>
    </row>
    <row r="866" spans="2:14" x14ac:dyDescent="0.2">
      <c r="B866" s="74"/>
      <c r="C866"/>
      <c r="D866" s="74"/>
      <c r="E866" s="74"/>
      <c r="F866" s="74"/>
      <c r="G866" s="74"/>
      <c r="I866" s="110"/>
      <c r="J866" s="111"/>
      <c r="K866"/>
      <c r="L866"/>
      <c r="M866"/>
      <c r="N866"/>
    </row>
    <row r="867" spans="2:14" x14ac:dyDescent="0.2">
      <c r="B867" s="74"/>
      <c r="C867"/>
      <c r="D867" s="74"/>
      <c r="E867" s="74"/>
      <c r="F867" s="74"/>
      <c r="G867" s="74"/>
      <c r="I867" s="110"/>
      <c r="J867" s="111"/>
      <c r="K867"/>
      <c r="L867"/>
      <c r="M867"/>
      <c r="N867"/>
    </row>
    <row r="868" spans="2:14" x14ac:dyDescent="0.2">
      <c r="B868" s="74"/>
      <c r="C868"/>
      <c r="D868" s="74"/>
      <c r="E868" s="74"/>
      <c r="F868" s="74"/>
      <c r="G868" s="74"/>
      <c r="I868" s="110"/>
      <c r="J868" s="111"/>
      <c r="K868"/>
      <c r="L868"/>
      <c r="M868"/>
      <c r="N868"/>
    </row>
    <row r="869" spans="2:14" x14ac:dyDescent="0.2">
      <c r="B869" s="74"/>
      <c r="C869"/>
      <c r="D869" s="74"/>
      <c r="E869" s="74"/>
      <c r="F869" s="74"/>
      <c r="G869" s="74"/>
      <c r="I869" s="110"/>
      <c r="J869" s="111"/>
      <c r="K869"/>
      <c r="L869"/>
      <c r="M869"/>
      <c r="N869"/>
    </row>
    <row r="870" spans="2:14" x14ac:dyDescent="0.2">
      <c r="B870" s="74"/>
      <c r="C870"/>
      <c r="D870" s="74"/>
      <c r="E870" s="74"/>
      <c r="F870" s="74"/>
      <c r="G870" s="74"/>
      <c r="I870" s="110"/>
      <c r="J870" s="111"/>
      <c r="K870"/>
      <c r="L870"/>
      <c r="M870"/>
      <c r="N870"/>
    </row>
    <row r="871" spans="2:14" x14ac:dyDescent="0.2">
      <c r="B871" s="74"/>
      <c r="C871"/>
      <c r="D871" s="74"/>
      <c r="E871" s="74"/>
      <c r="F871" s="74"/>
      <c r="G871" s="74"/>
      <c r="I871" s="110"/>
      <c r="J871" s="111"/>
      <c r="K871"/>
      <c r="L871"/>
      <c r="M871"/>
      <c r="N871"/>
    </row>
    <row r="872" spans="2:14" x14ac:dyDescent="0.2">
      <c r="B872" s="74"/>
      <c r="C872"/>
      <c r="D872" s="74"/>
      <c r="E872" s="74"/>
      <c r="F872" s="74"/>
      <c r="G872" s="74"/>
      <c r="I872" s="110"/>
      <c r="J872" s="111"/>
      <c r="K872"/>
      <c r="L872"/>
      <c r="M872"/>
      <c r="N872"/>
    </row>
    <row r="873" spans="2:14" x14ac:dyDescent="0.2">
      <c r="B873" s="74"/>
      <c r="C873"/>
      <c r="D873" s="74"/>
      <c r="E873" s="74"/>
      <c r="F873" s="74"/>
      <c r="G873" s="74"/>
      <c r="I873" s="110"/>
      <c r="J873" s="111"/>
      <c r="K873"/>
      <c r="L873"/>
      <c r="M873"/>
      <c r="N873"/>
    </row>
    <row r="874" spans="2:14" x14ac:dyDescent="0.2">
      <c r="B874" s="74"/>
      <c r="C874"/>
      <c r="D874" s="74"/>
      <c r="E874" s="74"/>
      <c r="F874" s="74"/>
      <c r="G874" s="74"/>
      <c r="I874" s="110"/>
      <c r="J874" s="111"/>
      <c r="K874"/>
      <c r="L874"/>
      <c r="M874"/>
      <c r="N874"/>
    </row>
    <row r="875" spans="2:14" x14ac:dyDescent="0.2">
      <c r="B875" s="74"/>
      <c r="C875"/>
      <c r="D875" s="74"/>
      <c r="E875" s="74"/>
      <c r="F875" s="74"/>
      <c r="G875" s="74"/>
      <c r="I875" s="110"/>
      <c r="J875" s="111"/>
      <c r="K875"/>
      <c r="L875"/>
      <c r="M875"/>
      <c r="N875"/>
    </row>
    <row r="876" spans="2:14" x14ac:dyDescent="0.2">
      <c r="B876" s="74"/>
      <c r="C876"/>
      <c r="D876" s="74"/>
      <c r="E876" s="74"/>
      <c r="F876" s="74"/>
      <c r="G876" s="74"/>
      <c r="I876" s="110"/>
      <c r="J876" s="111"/>
      <c r="K876"/>
      <c r="L876"/>
      <c r="M876"/>
      <c r="N876"/>
    </row>
    <row r="877" spans="2:14" x14ac:dyDescent="0.2">
      <c r="B877" s="74"/>
      <c r="C877"/>
      <c r="D877" s="74"/>
      <c r="E877" s="74"/>
      <c r="F877" s="74"/>
      <c r="G877" s="74"/>
      <c r="I877" s="110"/>
      <c r="J877" s="111"/>
      <c r="K877"/>
      <c r="L877"/>
      <c r="M877"/>
      <c r="N877"/>
    </row>
    <row r="878" spans="2:14" x14ac:dyDescent="0.2">
      <c r="B878" s="74"/>
      <c r="C878"/>
      <c r="D878" s="74"/>
      <c r="E878" s="74"/>
      <c r="F878" s="74"/>
      <c r="G878" s="74"/>
      <c r="I878" s="110"/>
      <c r="J878" s="111"/>
      <c r="K878"/>
      <c r="L878"/>
      <c r="M878"/>
      <c r="N878"/>
    </row>
    <row r="879" spans="2:14" x14ac:dyDescent="0.2">
      <c r="B879" s="74"/>
      <c r="C879"/>
      <c r="D879" s="74"/>
      <c r="E879" s="74"/>
      <c r="F879" s="74"/>
      <c r="G879" s="74"/>
      <c r="I879" s="110"/>
      <c r="J879" s="111"/>
      <c r="K879"/>
      <c r="L879"/>
      <c r="M879"/>
      <c r="N879"/>
    </row>
    <row r="880" spans="2:14" x14ac:dyDescent="0.2">
      <c r="B880" s="74"/>
      <c r="C880"/>
      <c r="D880" s="74"/>
      <c r="E880" s="74"/>
      <c r="F880" s="74"/>
      <c r="G880" s="74"/>
      <c r="I880" s="110"/>
      <c r="J880" s="111"/>
      <c r="K880"/>
      <c r="L880"/>
      <c r="M880"/>
      <c r="N880"/>
    </row>
    <row r="881" spans="2:14" x14ac:dyDescent="0.2">
      <c r="B881" s="74"/>
      <c r="C881"/>
      <c r="D881" s="74"/>
      <c r="E881" s="74"/>
      <c r="F881" s="74"/>
      <c r="G881" s="74"/>
      <c r="I881" s="110"/>
      <c r="J881" s="111"/>
      <c r="K881"/>
      <c r="L881"/>
      <c r="M881"/>
      <c r="N881"/>
    </row>
    <row r="882" spans="2:14" x14ac:dyDescent="0.2">
      <c r="B882" s="74"/>
      <c r="C882"/>
      <c r="D882" s="74"/>
      <c r="E882" s="74"/>
      <c r="F882" s="74"/>
      <c r="G882" s="74"/>
      <c r="I882" s="110"/>
      <c r="J882" s="111"/>
      <c r="K882"/>
      <c r="L882"/>
      <c r="M882"/>
      <c r="N882"/>
    </row>
    <row r="883" spans="2:14" x14ac:dyDescent="0.2">
      <c r="B883" s="74"/>
      <c r="C883"/>
      <c r="D883" s="74"/>
      <c r="E883" s="74"/>
      <c r="F883" s="74"/>
      <c r="G883" s="74"/>
      <c r="I883" s="110"/>
      <c r="J883" s="111"/>
      <c r="K883"/>
      <c r="L883"/>
      <c r="M883"/>
      <c r="N883"/>
    </row>
    <row r="884" spans="2:14" x14ac:dyDescent="0.2">
      <c r="B884" s="74"/>
      <c r="C884"/>
      <c r="D884" s="74"/>
      <c r="E884" s="74"/>
      <c r="F884" s="74"/>
      <c r="G884" s="74"/>
      <c r="I884" s="110"/>
      <c r="J884" s="111"/>
      <c r="K884"/>
      <c r="L884"/>
      <c r="M884"/>
      <c r="N884"/>
    </row>
    <row r="885" spans="2:14" x14ac:dyDescent="0.2">
      <c r="B885" s="74"/>
      <c r="C885"/>
      <c r="D885" s="74"/>
      <c r="E885" s="74"/>
      <c r="F885" s="74"/>
      <c r="G885" s="74"/>
      <c r="I885" s="110"/>
      <c r="J885" s="111"/>
      <c r="K885"/>
      <c r="L885"/>
      <c r="M885"/>
      <c r="N885"/>
    </row>
    <row r="886" spans="2:14" x14ac:dyDescent="0.2">
      <c r="B886" s="74"/>
      <c r="C886"/>
      <c r="D886" s="74"/>
      <c r="E886" s="74"/>
      <c r="F886" s="74"/>
      <c r="G886" s="74"/>
      <c r="I886" s="110"/>
      <c r="J886" s="111"/>
      <c r="K886"/>
      <c r="L886"/>
      <c r="M886"/>
      <c r="N886"/>
    </row>
    <row r="887" spans="2:14" x14ac:dyDescent="0.2">
      <c r="B887" s="74"/>
      <c r="C887"/>
      <c r="D887" s="74"/>
      <c r="E887" s="74"/>
      <c r="F887" s="74"/>
      <c r="G887" s="74"/>
      <c r="I887" s="110"/>
      <c r="J887" s="111"/>
      <c r="K887"/>
      <c r="L887"/>
      <c r="M887"/>
      <c r="N887"/>
    </row>
    <row r="888" spans="2:14" x14ac:dyDescent="0.2">
      <c r="B888" s="74"/>
      <c r="C888"/>
      <c r="D888" s="74"/>
      <c r="E888" s="74"/>
      <c r="F888" s="74"/>
      <c r="G888" s="74"/>
      <c r="I888" s="110"/>
      <c r="J888" s="111"/>
      <c r="K888"/>
      <c r="L888"/>
      <c r="M888"/>
      <c r="N888"/>
    </row>
    <row r="889" spans="2:14" x14ac:dyDescent="0.2">
      <c r="B889" s="74"/>
      <c r="C889"/>
      <c r="D889" s="74"/>
      <c r="E889" s="74"/>
      <c r="F889" s="74"/>
      <c r="G889" s="74"/>
      <c r="I889" s="110"/>
      <c r="J889" s="111"/>
      <c r="K889"/>
      <c r="L889"/>
      <c r="M889"/>
      <c r="N889"/>
    </row>
    <row r="890" spans="2:14" x14ac:dyDescent="0.2">
      <c r="B890" s="74"/>
      <c r="C890"/>
      <c r="D890" s="74"/>
      <c r="E890" s="74"/>
      <c r="F890" s="74"/>
      <c r="G890" s="74"/>
      <c r="I890" s="110"/>
      <c r="J890" s="111"/>
      <c r="K890"/>
      <c r="L890"/>
      <c r="M890"/>
      <c r="N890"/>
    </row>
    <row r="891" spans="2:14" x14ac:dyDescent="0.2">
      <c r="B891" s="74"/>
      <c r="C891"/>
      <c r="D891" s="74"/>
      <c r="E891" s="74"/>
      <c r="F891" s="74"/>
      <c r="G891" s="74"/>
      <c r="I891" s="110"/>
      <c r="J891" s="111"/>
      <c r="K891"/>
      <c r="L891"/>
      <c r="M891"/>
      <c r="N891"/>
    </row>
    <row r="892" spans="2:14" x14ac:dyDescent="0.2">
      <c r="B892" s="74"/>
      <c r="C892"/>
      <c r="D892" s="74"/>
      <c r="E892" s="74"/>
      <c r="F892" s="74"/>
      <c r="G892" s="74"/>
      <c r="I892" s="110"/>
      <c r="J892" s="111"/>
      <c r="K892"/>
      <c r="L892"/>
      <c r="M892"/>
      <c r="N892"/>
    </row>
    <row r="893" spans="2:14" x14ac:dyDescent="0.2">
      <c r="B893" s="74"/>
      <c r="C893"/>
      <c r="D893" s="74"/>
      <c r="E893" s="74"/>
      <c r="F893" s="74"/>
      <c r="G893" s="74"/>
      <c r="I893" s="110"/>
      <c r="J893" s="111"/>
      <c r="K893"/>
      <c r="L893"/>
      <c r="M893"/>
      <c r="N893"/>
    </row>
    <row r="894" spans="2:14" x14ac:dyDescent="0.2">
      <c r="B894" s="74"/>
      <c r="C894"/>
      <c r="D894" s="74"/>
      <c r="E894" s="74"/>
      <c r="F894" s="74"/>
      <c r="G894" s="74"/>
      <c r="I894" s="110"/>
      <c r="J894" s="111"/>
      <c r="K894"/>
      <c r="L894"/>
      <c r="M894"/>
      <c r="N894"/>
    </row>
    <row r="895" spans="2:14" x14ac:dyDescent="0.2">
      <c r="B895" s="74"/>
      <c r="C895"/>
      <c r="D895" s="74"/>
      <c r="E895" s="74"/>
      <c r="F895" s="74"/>
      <c r="G895" s="74"/>
      <c r="I895" s="110"/>
      <c r="J895" s="111"/>
      <c r="K895"/>
      <c r="L895"/>
      <c r="M895"/>
      <c r="N895"/>
    </row>
    <row r="896" spans="2:14" x14ac:dyDescent="0.2">
      <c r="B896" s="74"/>
      <c r="C896"/>
      <c r="D896" s="74"/>
      <c r="E896" s="74"/>
      <c r="F896" s="74"/>
      <c r="G896" s="74"/>
      <c r="I896" s="110"/>
      <c r="J896" s="111"/>
      <c r="K896"/>
      <c r="L896"/>
      <c r="M896"/>
      <c r="N896"/>
    </row>
    <row r="897" spans="2:14" x14ac:dyDescent="0.2">
      <c r="B897" s="74"/>
      <c r="C897"/>
      <c r="D897" s="74"/>
      <c r="E897" s="74"/>
      <c r="F897" s="74"/>
      <c r="G897" s="74"/>
      <c r="I897" s="110"/>
      <c r="J897" s="111"/>
      <c r="K897"/>
      <c r="L897"/>
      <c r="M897"/>
      <c r="N897"/>
    </row>
    <row r="898" spans="2:14" x14ac:dyDescent="0.2">
      <c r="B898" s="74"/>
      <c r="C898"/>
      <c r="D898" s="74"/>
      <c r="E898" s="74"/>
      <c r="F898" s="74"/>
      <c r="G898" s="74"/>
      <c r="I898" s="110"/>
      <c r="J898" s="111"/>
      <c r="K898"/>
      <c r="L898"/>
      <c r="M898"/>
      <c r="N898"/>
    </row>
    <row r="899" spans="2:14" x14ac:dyDescent="0.2">
      <c r="B899" s="74"/>
      <c r="C899"/>
      <c r="D899" s="74"/>
      <c r="E899" s="74"/>
      <c r="F899" s="74"/>
      <c r="G899" s="74"/>
      <c r="I899" s="110"/>
      <c r="J899" s="111"/>
      <c r="K899"/>
      <c r="L899"/>
      <c r="M899"/>
      <c r="N899"/>
    </row>
    <row r="900" spans="2:14" x14ac:dyDescent="0.2">
      <c r="B900" s="74"/>
      <c r="C900"/>
      <c r="D900" s="74"/>
      <c r="E900" s="74"/>
      <c r="F900" s="74"/>
      <c r="G900" s="74"/>
      <c r="I900" s="110"/>
      <c r="J900" s="111"/>
      <c r="K900"/>
      <c r="L900"/>
      <c r="M900"/>
      <c r="N900"/>
    </row>
    <row r="901" spans="2:14" x14ac:dyDescent="0.2">
      <c r="B901" s="74"/>
      <c r="C901"/>
      <c r="D901" s="74"/>
      <c r="E901" s="74"/>
      <c r="F901" s="74"/>
      <c r="G901" s="74"/>
      <c r="I901" s="110"/>
      <c r="J901" s="111"/>
      <c r="K901"/>
      <c r="L901"/>
      <c r="M901"/>
      <c r="N901"/>
    </row>
    <row r="902" spans="2:14" x14ac:dyDescent="0.2">
      <c r="B902" s="74"/>
      <c r="C902"/>
      <c r="D902" s="74"/>
      <c r="E902" s="74"/>
      <c r="F902" s="74"/>
      <c r="G902" s="74"/>
      <c r="I902" s="110"/>
      <c r="J902" s="111"/>
      <c r="K902"/>
      <c r="L902"/>
      <c r="M902"/>
      <c r="N902"/>
    </row>
    <row r="903" spans="2:14" x14ac:dyDescent="0.2">
      <c r="B903" s="74"/>
      <c r="C903"/>
      <c r="D903" s="74"/>
      <c r="E903" s="74"/>
      <c r="F903" s="74"/>
      <c r="G903" s="74"/>
      <c r="I903" s="110"/>
      <c r="J903" s="111"/>
      <c r="K903"/>
      <c r="L903"/>
      <c r="M903"/>
      <c r="N903"/>
    </row>
    <row r="904" spans="2:14" x14ac:dyDescent="0.2">
      <c r="B904" s="74"/>
      <c r="C904"/>
      <c r="D904" s="74"/>
      <c r="E904" s="74"/>
      <c r="F904" s="74"/>
      <c r="G904" s="74"/>
      <c r="I904" s="110"/>
      <c r="J904" s="111"/>
      <c r="K904"/>
      <c r="L904"/>
      <c r="M904"/>
      <c r="N904"/>
    </row>
    <row r="905" spans="2:14" x14ac:dyDescent="0.2">
      <c r="B905" s="74"/>
      <c r="C905"/>
      <c r="D905" s="74"/>
      <c r="E905" s="74"/>
      <c r="F905" s="74"/>
      <c r="G905" s="74"/>
      <c r="I905" s="110"/>
      <c r="J905" s="111"/>
      <c r="K905"/>
      <c r="L905"/>
      <c r="M905"/>
      <c r="N905"/>
    </row>
    <row r="906" spans="2:14" x14ac:dyDescent="0.2">
      <c r="B906" s="74"/>
      <c r="C906"/>
      <c r="D906" s="74"/>
      <c r="E906" s="74"/>
      <c r="F906" s="74"/>
      <c r="G906" s="74"/>
      <c r="I906" s="110"/>
      <c r="J906" s="111"/>
      <c r="K906"/>
      <c r="L906"/>
      <c r="M906"/>
      <c r="N906"/>
    </row>
    <row r="907" spans="2:14" x14ac:dyDescent="0.2">
      <c r="B907" s="74"/>
      <c r="C907"/>
      <c r="D907" s="74"/>
      <c r="E907" s="74"/>
      <c r="F907" s="74"/>
      <c r="G907" s="74"/>
      <c r="I907" s="110"/>
      <c r="J907" s="111"/>
      <c r="K907"/>
      <c r="L907"/>
      <c r="M907"/>
      <c r="N907"/>
    </row>
    <row r="908" spans="2:14" x14ac:dyDescent="0.2">
      <c r="B908" s="74"/>
      <c r="C908"/>
      <c r="D908" s="74"/>
      <c r="E908" s="74"/>
      <c r="F908" s="74"/>
      <c r="G908" s="74"/>
      <c r="I908" s="110"/>
      <c r="J908" s="111"/>
      <c r="K908"/>
      <c r="L908"/>
      <c r="M908"/>
      <c r="N908"/>
    </row>
    <row r="909" spans="2:14" x14ac:dyDescent="0.2">
      <c r="B909" s="74"/>
      <c r="C909"/>
      <c r="D909" s="74"/>
      <c r="E909" s="74"/>
      <c r="F909" s="74"/>
      <c r="G909" s="74"/>
      <c r="I909" s="110"/>
      <c r="J909" s="111"/>
      <c r="K909"/>
      <c r="L909"/>
      <c r="M909"/>
      <c r="N909"/>
    </row>
    <row r="910" spans="2:14" x14ac:dyDescent="0.2">
      <c r="B910" s="74"/>
      <c r="C910"/>
      <c r="D910" s="74"/>
      <c r="E910" s="74"/>
      <c r="F910" s="74"/>
      <c r="G910" s="74"/>
      <c r="I910" s="110"/>
      <c r="J910" s="111"/>
      <c r="K910"/>
      <c r="L910"/>
      <c r="M910"/>
      <c r="N910"/>
    </row>
    <row r="911" spans="2:14" x14ac:dyDescent="0.2">
      <c r="B911" s="74"/>
      <c r="C911"/>
      <c r="D911" s="74"/>
      <c r="E911" s="74"/>
      <c r="F911" s="74"/>
      <c r="G911" s="74"/>
      <c r="I911" s="110"/>
      <c r="J911" s="111"/>
      <c r="K911"/>
      <c r="L911"/>
      <c r="M911"/>
      <c r="N911"/>
    </row>
    <row r="912" spans="2:14" x14ac:dyDescent="0.2">
      <c r="B912" s="74"/>
      <c r="C912"/>
      <c r="D912" s="74"/>
      <c r="E912" s="74"/>
      <c r="F912" s="74"/>
      <c r="G912" s="74"/>
      <c r="I912" s="110"/>
      <c r="J912" s="111"/>
      <c r="K912"/>
      <c r="L912"/>
      <c r="M912"/>
      <c r="N912"/>
    </row>
    <row r="913" spans="2:14" x14ac:dyDescent="0.2">
      <c r="B913" s="74"/>
      <c r="C913"/>
      <c r="D913" s="74"/>
      <c r="E913" s="74"/>
      <c r="F913" s="74"/>
      <c r="G913" s="74"/>
      <c r="I913" s="110"/>
      <c r="J913" s="111"/>
      <c r="K913"/>
      <c r="L913"/>
      <c r="M913"/>
      <c r="N913"/>
    </row>
    <row r="914" spans="2:14" x14ac:dyDescent="0.2">
      <c r="B914" s="74"/>
      <c r="C914"/>
      <c r="D914" s="74"/>
      <c r="E914" s="74"/>
      <c r="F914" s="74"/>
      <c r="G914" s="74"/>
      <c r="I914" s="110"/>
      <c r="J914" s="111"/>
      <c r="K914"/>
      <c r="L914"/>
      <c r="M914"/>
      <c r="N914"/>
    </row>
    <row r="915" spans="2:14" x14ac:dyDescent="0.2">
      <c r="B915" s="74"/>
      <c r="C915"/>
      <c r="D915" s="74"/>
      <c r="E915" s="74"/>
      <c r="F915" s="74"/>
      <c r="G915" s="74"/>
      <c r="I915" s="110"/>
      <c r="J915" s="111"/>
      <c r="K915"/>
      <c r="L915"/>
      <c r="M915"/>
      <c r="N915"/>
    </row>
    <row r="916" spans="2:14" x14ac:dyDescent="0.2">
      <c r="B916" s="74"/>
      <c r="C916"/>
      <c r="D916" s="74"/>
      <c r="E916" s="74"/>
      <c r="F916" s="74"/>
      <c r="G916" s="74"/>
      <c r="I916" s="110"/>
      <c r="J916" s="111"/>
      <c r="K916"/>
      <c r="L916"/>
      <c r="M916"/>
      <c r="N916"/>
    </row>
    <row r="917" spans="2:14" x14ac:dyDescent="0.2">
      <c r="B917" s="74"/>
      <c r="C917"/>
      <c r="D917" s="74"/>
      <c r="E917" s="74"/>
      <c r="F917" s="74"/>
      <c r="G917" s="74"/>
      <c r="I917" s="110"/>
      <c r="J917" s="111"/>
      <c r="K917"/>
      <c r="L917"/>
      <c r="M917"/>
      <c r="N917"/>
    </row>
    <row r="918" spans="2:14" x14ac:dyDescent="0.2">
      <c r="B918" s="74"/>
      <c r="C918"/>
      <c r="D918" s="74"/>
      <c r="E918" s="74"/>
      <c r="F918" s="74"/>
      <c r="G918" s="74"/>
      <c r="I918" s="110"/>
      <c r="J918" s="111"/>
      <c r="K918"/>
      <c r="L918"/>
      <c r="M918"/>
      <c r="N918"/>
    </row>
    <row r="919" spans="2:14" x14ac:dyDescent="0.2">
      <c r="B919" s="74"/>
      <c r="C919"/>
      <c r="D919" s="74"/>
      <c r="E919" s="74"/>
      <c r="F919" s="74"/>
      <c r="G919" s="74"/>
      <c r="I919" s="110"/>
      <c r="J919" s="111"/>
      <c r="K919"/>
      <c r="L919"/>
      <c r="M919"/>
      <c r="N919"/>
    </row>
    <row r="920" spans="2:14" x14ac:dyDescent="0.2">
      <c r="B920" s="74"/>
      <c r="C920"/>
      <c r="D920" s="74"/>
      <c r="E920" s="74"/>
      <c r="F920" s="74"/>
      <c r="G920" s="74"/>
      <c r="I920" s="110"/>
      <c r="J920" s="111"/>
      <c r="K920"/>
      <c r="L920"/>
      <c r="M920"/>
      <c r="N920"/>
    </row>
    <row r="921" spans="2:14" x14ac:dyDescent="0.2">
      <c r="B921" s="74"/>
      <c r="C921"/>
      <c r="D921" s="74"/>
      <c r="E921" s="74"/>
      <c r="F921" s="74"/>
      <c r="G921" s="74"/>
      <c r="I921" s="110"/>
      <c r="J921" s="111"/>
      <c r="K921"/>
      <c r="L921"/>
      <c r="M921"/>
      <c r="N921"/>
    </row>
    <row r="922" spans="2:14" x14ac:dyDescent="0.2">
      <c r="B922" s="74"/>
      <c r="C922"/>
      <c r="D922" s="74"/>
      <c r="E922" s="74"/>
      <c r="F922" s="74"/>
      <c r="G922" s="74"/>
      <c r="I922" s="110"/>
      <c r="J922" s="111"/>
      <c r="K922"/>
      <c r="L922"/>
      <c r="M922"/>
      <c r="N922"/>
    </row>
    <row r="923" spans="2:14" x14ac:dyDescent="0.2">
      <c r="B923" s="74"/>
      <c r="C923"/>
      <c r="D923" s="74"/>
      <c r="E923" s="74"/>
      <c r="F923" s="74"/>
      <c r="G923" s="74"/>
      <c r="I923" s="110"/>
      <c r="J923" s="111"/>
      <c r="K923"/>
      <c r="L923"/>
      <c r="M923"/>
      <c r="N923"/>
    </row>
    <row r="924" spans="2:14" x14ac:dyDescent="0.2">
      <c r="B924" s="74"/>
      <c r="C924"/>
      <c r="D924" s="74"/>
      <c r="E924" s="74"/>
      <c r="F924" s="74"/>
      <c r="G924" s="74"/>
      <c r="I924" s="110"/>
      <c r="J924" s="111"/>
      <c r="K924"/>
      <c r="L924"/>
      <c r="M924"/>
      <c r="N924"/>
    </row>
    <row r="925" spans="2:14" x14ac:dyDescent="0.2">
      <c r="B925" s="74"/>
      <c r="C925"/>
      <c r="D925" s="74"/>
      <c r="E925" s="74"/>
      <c r="F925" s="74"/>
      <c r="G925" s="74"/>
      <c r="I925" s="110"/>
      <c r="J925" s="111"/>
      <c r="K925"/>
      <c r="L925"/>
      <c r="M925"/>
      <c r="N925"/>
    </row>
    <row r="926" spans="2:14" x14ac:dyDescent="0.2">
      <c r="B926" s="74"/>
      <c r="C926"/>
      <c r="D926" s="74"/>
      <c r="E926" s="74"/>
      <c r="F926" s="74"/>
      <c r="G926" s="74"/>
      <c r="I926" s="110"/>
      <c r="J926" s="111"/>
      <c r="K926"/>
      <c r="L926"/>
      <c r="M926"/>
      <c r="N926"/>
    </row>
    <row r="927" spans="2:14" x14ac:dyDescent="0.2">
      <c r="B927" s="74"/>
      <c r="C927"/>
      <c r="D927" s="74"/>
      <c r="E927" s="74"/>
      <c r="F927" s="74"/>
      <c r="G927" s="74"/>
      <c r="I927" s="110"/>
      <c r="J927" s="111"/>
      <c r="K927"/>
      <c r="L927"/>
      <c r="M927"/>
      <c r="N927"/>
    </row>
    <row r="928" spans="2:14" x14ac:dyDescent="0.2">
      <c r="B928" s="74"/>
      <c r="C928"/>
      <c r="D928" s="74"/>
      <c r="E928" s="74"/>
      <c r="F928" s="74"/>
      <c r="G928" s="74"/>
      <c r="I928" s="110"/>
      <c r="J928" s="111"/>
      <c r="K928"/>
      <c r="L928"/>
      <c r="M928"/>
      <c r="N928"/>
    </row>
    <row r="929" spans="2:14" x14ac:dyDescent="0.2">
      <c r="B929" s="74"/>
      <c r="C929"/>
      <c r="D929" s="74"/>
      <c r="E929" s="74"/>
      <c r="F929" s="74"/>
      <c r="G929" s="74"/>
      <c r="I929" s="110"/>
      <c r="J929" s="111"/>
      <c r="K929"/>
      <c r="L929"/>
      <c r="M929"/>
      <c r="N929"/>
    </row>
    <row r="930" spans="2:14" x14ac:dyDescent="0.2">
      <c r="B930" s="74"/>
      <c r="C930"/>
      <c r="D930" s="74"/>
      <c r="E930" s="74"/>
      <c r="F930" s="74"/>
      <c r="G930" s="74"/>
      <c r="I930" s="110"/>
      <c r="J930" s="111"/>
      <c r="K930"/>
      <c r="L930"/>
      <c r="M930"/>
      <c r="N930"/>
    </row>
    <row r="931" spans="2:14" x14ac:dyDescent="0.2">
      <c r="B931" s="74"/>
      <c r="C931"/>
      <c r="D931" s="74"/>
      <c r="E931" s="74"/>
      <c r="F931" s="74"/>
      <c r="G931" s="74"/>
      <c r="I931" s="110"/>
      <c r="J931" s="111"/>
      <c r="K931"/>
      <c r="L931"/>
      <c r="M931"/>
      <c r="N931"/>
    </row>
    <row r="932" spans="2:14" x14ac:dyDescent="0.2">
      <c r="B932" s="74"/>
      <c r="C932"/>
      <c r="D932" s="74"/>
      <c r="E932" s="74"/>
      <c r="F932" s="74"/>
      <c r="G932" s="74"/>
      <c r="I932" s="110"/>
      <c r="J932" s="111"/>
      <c r="K932"/>
      <c r="L932"/>
      <c r="M932"/>
      <c r="N932"/>
    </row>
    <row r="933" spans="2:14" x14ac:dyDescent="0.2">
      <c r="B933" s="74"/>
      <c r="C933"/>
      <c r="D933" s="74"/>
      <c r="E933" s="74"/>
      <c r="F933" s="74"/>
      <c r="G933" s="74"/>
      <c r="I933" s="110"/>
      <c r="J933" s="111"/>
      <c r="K933"/>
      <c r="L933"/>
      <c r="M933"/>
      <c r="N933"/>
    </row>
    <row r="934" spans="2:14" x14ac:dyDescent="0.2">
      <c r="B934" s="74"/>
      <c r="C934"/>
      <c r="D934" s="74"/>
      <c r="E934" s="74"/>
      <c r="F934" s="74"/>
      <c r="G934" s="74"/>
      <c r="I934" s="110"/>
      <c r="J934" s="111"/>
      <c r="K934"/>
      <c r="L934"/>
      <c r="M934"/>
      <c r="N934"/>
    </row>
    <row r="935" spans="2:14" x14ac:dyDescent="0.2">
      <c r="B935" s="74"/>
      <c r="C935"/>
      <c r="D935" s="74"/>
      <c r="E935" s="74"/>
      <c r="F935" s="74"/>
      <c r="G935" s="74"/>
      <c r="I935" s="110"/>
      <c r="J935" s="111"/>
      <c r="K935"/>
      <c r="L935"/>
      <c r="M935"/>
      <c r="N935"/>
    </row>
    <row r="936" spans="2:14" x14ac:dyDescent="0.2">
      <c r="B936" s="74"/>
      <c r="C936"/>
      <c r="D936" s="74"/>
      <c r="E936" s="74"/>
      <c r="F936" s="74"/>
      <c r="G936" s="74"/>
      <c r="I936" s="110"/>
      <c r="J936" s="111"/>
      <c r="K936"/>
      <c r="L936"/>
      <c r="M936"/>
      <c r="N936"/>
    </row>
    <row r="937" spans="2:14" x14ac:dyDescent="0.2">
      <c r="B937" s="74"/>
      <c r="C937"/>
      <c r="D937" s="74"/>
      <c r="E937" s="74"/>
      <c r="F937" s="74"/>
      <c r="G937" s="74"/>
      <c r="I937" s="110"/>
      <c r="J937" s="111"/>
      <c r="K937"/>
      <c r="L937"/>
      <c r="M937"/>
      <c r="N937"/>
    </row>
    <row r="938" spans="2:14" x14ac:dyDescent="0.2">
      <c r="B938" s="74"/>
      <c r="C938"/>
      <c r="D938" s="74"/>
      <c r="E938" s="74"/>
      <c r="F938" s="74"/>
      <c r="G938" s="74"/>
      <c r="I938" s="110"/>
      <c r="J938" s="111"/>
      <c r="K938"/>
      <c r="L938"/>
      <c r="M938"/>
      <c r="N938"/>
    </row>
    <row r="939" spans="2:14" x14ac:dyDescent="0.2">
      <c r="B939" s="74"/>
      <c r="C939"/>
      <c r="D939" s="74"/>
      <c r="E939" s="74"/>
      <c r="F939" s="74"/>
      <c r="G939" s="74"/>
      <c r="I939" s="110"/>
      <c r="J939" s="111"/>
      <c r="K939"/>
      <c r="L939"/>
      <c r="M939"/>
      <c r="N939"/>
    </row>
    <row r="940" spans="2:14" x14ac:dyDescent="0.2">
      <c r="B940" s="74"/>
      <c r="C940"/>
      <c r="D940" s="74"/>
      <c r="E940" s="74"/>
      <c r="F940" s="74"/>
      <c r="G940" s="74"/>
      <c r="I940" s="110"/>
      <c r="J940" s="111"/>
      <c r="K940"/>
      <c r="L940"/>
      <c r="M940"/>
      <c r="N940"/>
    </row>
    <row r="941" spans="2:14" x14ac:dyDescent="0.2">
      <c r="B941" s="74"/>
      <c r="C941"/>
      <c r="D941" s="74"/>
      <c r="E941" s="74"/>
      <c r="F941" s="74"/>
      <c r="G941" s="74"/>
      <c r="I941" s="110"/>
      <c r="J941" s="111"/>
      <c r="K941"/>
      <c r="L941"/>
      <c r="M941"/>
      <c r="N941"/>
    </row>
    <row r="942" spans="2:14" x14ac:dyDescent="0.2">
      <c r="B942" s="74"/>
      <c r="C942"/>
      <c r="D942" s="74"/>
      <c r="E942" s="74"/>
      <c r="F942" s="74"/>
      <c r="G942" s="74"/>
      <c r="I942" s="110"/>
      <c r="J942" s="111"/>
      <c r="K942"/>
      <c r="L942"/>
      <c r="M942"/>
      <c r="N942"/>
    </row>
    <row r="943" spans="2:14" x14ac:dyDescent="0.2">
      <c r="B943" s="74"/>
      <c r="C943"/>
      <c r="D943" s="74"/>
      <c r="E943" s="74"/>
      <c r="F943" s="74"/>
      <c r="G943" s="74"/>
      <c r="I943" s="110"/>
      <c r="J943" s="111"/>
      <c r="K943"/>
      <c r="L943"/>
      <c r="M943"/>
      <c r="N943"/>
    </row>
    <row r="944" spans="2:14" x14ac:dyDescent="0.2">
      <c r="B944" s="74"/>
      <c r="C944"/>
      <c r="D944" s="74"/>
      <c r="E944" s="74"/>
      <c r="F944" s="74"/>
      <c r="G944" s="74"/>
      <c r="I944" s="110"/>
      <c r="J944" s="111"/>
      <c r="K944"/>
      <c r="L944"/>
      <c r="M944"/>
      <c r="N944"/>
    </row>
    <row r="945" spans="2:14" x14ac:dyDescent="0.2">
      <c r="B945" s="74"/>
      <c r="C945"/>
      <c r="D945" s="74"/>
      <c r="E945" s="74"/>
      <c r="F945" s="74"/>
      <c r="G945" s="74"/>
      <c r="I945" s="110"/>
      <c r="J945" s="111"/>
      <c r="K945"/>
      <c r="L945"/>
      <c r="M945"/>
      <c r="N945"/>
    </row>
    <row r="946" spans="2:14" x14ac:dyDescent="0.2">
      <c r="B946" s="74"/>
      <c r="C946"/>
      <c r="D946" s="74"/>
      <c r="E946" s="74"/>
      <c r="F946" s="74"/>
      <c r="G946" s="74"/>
      <c r="I946" s="110"/>
      <c r="J946" s="111"/>
      <c r="K946"/>
      <c r="L946"/>
      <c r="M946"/>
      <c r="N946"/>
    </row>
    <row r="947" spans="2:14" x14ac:dyDescent="0.2">
      <c r="B947" s="74"/>
      <c r="C947"/>
      <c r="D947" s="74"/>
      <c r="E947" s="74"/>
      <c r="F947" s="74"/>
      <c r="G947" s="74"/>
      <c r="I947" s="110"/>
      <c r="J947" s="111"/>
      <c r="K947"/>
      <c r="L947"/>
      <c r="M947"/>
      <c r="N947"/>
    </row>
    <row r="948" spans="2:14" x14ac:dyDescent="0.2">
      <c r="B948" s="74"/>
      <c r="C948"/>
      <c r="D948" s="74"/>
      <c r="E948" s="74"/>
      <c r="F948" s="74"/>
      <c r="G948" s="74"/>
      <c r="I948" s="110"/>
      <c r="J948" s="111"/>
      <c r="K948"/>
      <c r="L948"/>
      <c r="M948"/>
      <c r="N948"/>
    </row>
    <row r="949" spans="2:14" x14ac:dyDescent="0.2">
      <c r="B949" s="74"/>
      <c r="C949"/>
      <c r="D949" s="74"/>
      <c r="E949" s="74"/>
      <c r="F949" s="74"/>
      <c r="G949" s="74"/>
      <c r="I949" s="110"/>
      <c r="J949" s="111"/>
      <c r="K949"/>
      <c r="L949"/>
      <c r="M949"/>
      <c r="N949"/>
    </row>
    <row r="950" spans="2:14" x14ac:dyDescent="0.2">
      <c r="B950" s="74"/>
      <c r="C950"/>
      <c r="D950" s="74"/>
      <c r="E950" s="74"/>
      <c r="F950" s="74"/>
      <c r="G950" s="74"/>
      <c r="I950" s="110"/>
      <c r="J950" s="111"/>
      <c r="K950"/>
      <c r="L950"/>
      <c r="M950"/>
      <c r="N950"/>
    </row>
    <row r="951" spans="2:14" x14ac:dyDescent="0.2">
      <c r="B951" s="74"/>
      <c r="C951"/>
      <c r="D951" s="74"/>
      <c r="E951" s="74"/>
      <c r="F951" s="74"/>
      <c r="G951" s="74"/>
      <c r="I951" s="110"/>
      <c r="J951" s="111"/>
      <c r="K951"/>
      <c r="L951"/>
      <c r="M951"/>
      <c r="N951"/>
    </row>
    <row r="952" spans="2:14" x14ac:dyDescent="0.2">
      <c r="B952" s="74"/>
      <c r="C952"/>
      <c r="D952" s="74"/>
      <c r="E952" s="74"/>
      <c r="F952" s="74"/>
      <c r="G952" s="74"/>
      <c r="I952" s="110"/>
      <c r="J952" s="111"/>
      <c r="K952"/>
      <c r="L952"/>
      <c r="M952"/>
      <c r="N952"/>
    </row>
    <row r="953" spans="2:14" x14ac:dyDescent="0.2">
      <c r="B953" s="74"/>
      <c r="C953"/>
      <c r="D953" s="74"/>
      <c r="E953" s="74"/>
      <c r="F953" s="74"/>
      <c r="G953" s="74"/>
      <c r="I953" s="110"/>
      <c r="J953" s="111"/>
      <c r="K953"/>
      <c r="L953"/>
      <c r="M953"/>
      <c r="N953"/>
    </row>
    <row r="954" spans="2:14" x14ac:dyDescent="0.2">
      <c r="B954" s="74"/>
      <c r="C954"/>
      <c r="D954" s="74"/>
      <c r="E954" s="74"/>
      <c r="F954" s="74"/>
      <c r="G954" s="74"/>
      <c r="I954" s="110"/>
      <c r="J954" s="111"/>
      <c r="K954"/>
      <c r="L954"/>
      <c r="M954"/>
      <c r="N954"/>
    </row>
    <row r="955" spans="2:14" x14ac:dyDescent="0.2">
      <c r="B955" s="74"/>
      <c r="C955"/>
      <c r="D955" s="74"/>
      <c r="E955" s="74"/>
      <c r="F955" s="74"/>
      <c r="G955" s="74"/>
      <c r="I955" s="110"/>
      <c r="J955" s="111"/>
      <c r="K955"/>
      <c r="L955"/>
      <c r="M955"/>
      <c r="N955"/>
    </row>
    <row r="956" spans="2:14" x14ac:dyDescent="0.2">
      <c r="B956" s="74"/>
      <c r="C956"/>
      <c r="D956" s="74"/>
      <c r="E956" s="74"/>
      <c r="F956" s="74"/>
      <c r="G956" s="74"/>
      <c r="I956" s="110"/>
      <c r="J956" s="111"/>
      <c r="K956"/>
      <c r="L956"/>
      <c r="M956"/>
      <c r="N956"/>
    </row>
    <row r="957" spans="2:14" x14ac:dyDescent="0.2">
      <c r="B957" s="74"/>
      <c r="C957"/>
      <c r="D957" s="74"/>
      <c r="E957" s="74"/>
      <c r="F957" s="74"/>
      <c r="G957" s="74"/>
      <c r="I957" s="110"/>
      <c r="J957" s="111"/>
      <c r="K957"/>
      <c r="L957"/>
      <c r="M957"/>
      <c r="N957"/>
    </row>
    <row r="958" spans="2:14" x14ac:dyDescent="0.2">
      <c r="B958" s="74"/>
      <c r="C958"/>
      <c r="D958" s="74"/>
      <c r="E958" s="74"/>
      <c r="F958" s="74"/>
      <c r="G958" s="74"/>
      <c r="I958" s="110"/>
      <c r="J958" s="111"/>
      <c r="K958"/>
      <c r="L958"/>
      <c r="M958"/>
      <c r="N958"/>
    </row>
    <row r="959" spans="2:14" x14ac:dyDescent="0.2">
      <c r="B959" s="74"/>
      <c r="C959"/>
      <c r="D959" s="74"/>
      <c r="E959" s="74"/>
      <c r="F959" s="74"/>
      <c r="G959" s="74"/>
      <c r="I959" s="110"/>
      <c r="J959" s="111"/>
      <c r="K959"/>
      <c r="L959"/>
      <c r="M959"/>
      <c r="N959"/>
    </row>
    <row r="960" spans="2:14" x14ac:dyDescent="0.2">
      <c r="B960" s="74"/>
      <c r="C960"/>
      <c r="D960" s="74"/>
      <c r="E960" s="74"/>
      <c r="F960" s="74"/>
      <c r="G960" s="74"/>
      <c r="I960" s="110"/>
      <c r="J960" s="111"/>
      <c r="K960"/>
      <c r="L960"/>
      <c r="M960"/>
      <c r="N960"/>
    </row>
    <row r="961" spans="2:14" x14ac:dyDescent="0.2">
      <c r="B961" s="74"/>
      <c r="C961"/>
      <c r="D961" s="74"/>
      <c r="E961" s="74"/>
      <c r="F961" s="74"/>
      <c r="G961" s="74"/>
      <c r="I961" s="110"/>
      <c r="J961" s="111"/>
      <c r="K961"/>
      <c r="L961"/>
      <c r="M961"/>
      <c r="N961"/>
    </row>
    <row r="962" spans="2:14" x14ac:dyDescent="0.2">
      <c r="B962" s="74"/>
      <c r="C962"/>
      <c r="D962" s="74"/>
      <c r="E962" s="74"/>
      <c r="F962" s="74"/>
      <c r="G962" s="74"/>
      <c r="I962" s="110"/>
      <c r="J962" s="111"/>
      <c r="K962"/>
      <c r="L962"/>
      <c r="M962"/>
      <c r="N962"/>
    </row>
    <row r="963" spans="2:14" x14ac:dyDescent="0.2">
      <c r="B963" s="74"/>
      <c r="C963"/>
      <c r="D963" s="74"/>
      <c r="E963" s="74"/>
      <c r="F963" s="74"/>
      <c r="G963" s="74"/>
      <c r="I963" s="110"/>
      <c r="J963" s="111"/>
      <c r="K963"/>
      <c r="L963"/>
      <c r="M963"/>
      <c r="N963"/>
    </row>
    <row r="964" spans="2:14" x14ac:dyDescent="0.2">
      <c r="B964" s="74"/>
      <c r="C964"/>
      <c r="D964" s="74"/>
      <c r="E964" s="74"/>
      <c r="F964" s="74"/>
      <c r="G964" s="74"/>
      <c r="I964" s="110"/>
      <c r="J964" s="111"/>
      <c r="K964"/>
      <c r="L964"/>
      <c r="M964"/>
      <c r="N964"/>
    </row>
    <row r="965" spans="2:14" x14ac:dyDescent="0.2">
      <c r="B965" s="74"/>
      <c r="C965"/>
      <c r="D965" s="74"/>
      <c r="E965" s="74"/>
      <c r="F965" s="74"/>
      <c r="G965" s="74"/>
      <c r="I965" s="110"/>
      <c r="J965" s="111"/>
      <c r="K965"/>
      <c r="L965"/>
      <c r="M965"/>
      <c r="N965"/>
    </row>
    <row r="966" spans="2:14" x14ac:dyDescent="0.2">
      <c r="B966" s="74"/>
      <c r="C966"/>
      <c r="D966" s="74"/>
      <c r="E966" s="74"/>
      <c r="F966" s="74"/>
      <c r="G966" s="74"/>
      <c r="I966" s="110"/>
      <c r="J966" s="111"/>
      <c r="K966"/>
      <c r="L966"/>
      <c r="M966"/>
      <c r="N966"/>
    </row>
    <row r="967" spans="2:14" x14ac:dyDescent="0.2">
      <c r="B967" s="74"/>
      <c r="C967"/>
      <c r="D967" s="74"/>
      <c r="E967" s="74"/>
      <c r="F967" s="74"/>
      <c r="G967" s="74"/>
      <c r="I967" s="110"/>
      <c r="J967" s="111"/>
      <c r="K967"/>
      <c r="L967"/>
      <c r="M967"/>
      <c r="N967"/>
    </row>
    <row r="968" spans="2:14" x14ac:dyDescent="0.2">
      <c r="B968" s="74"/>
      <c r="C968"/>
      <c r="D968" s="74"/>
      <c r="E968" s="74"/>
      <c r="F968" s="74"/>
      <c r="G968" s="74"/>
      <c r="I968" s="110"/>
      <c r="J968" s="111"/>
      <c r="K968"/>
      <c r="L968"/>
      <c r="M968"/>
      <c r="N968"/>
    </row>
    <row r="969" spans="2:14" x14ac:dyDescent="0.2">
      <c r="B969" s="74"/>
      <c r="C969"/>
      <c r="D969" s="74"/>
      <c r="E969" s="74"/>
      <c r="F969" s="74"/>
      <c r="G969" s="74"/>
      <c r="I969" s="110"/>
      <c r="J969" s="111"/>
      <c r="K969"/>
      <c r="L969"/>
      <c r="M969"/>
      <c r="N969"/>
    </row>
    <row r="970" spans="2:14" x14ac:dyDescent="0.2">
      <c r="B970" s="74"/>
      <c r="C970"/>
      <c r="D970" s="74"/>
      <c r="E970" s="74"/>
      <c r="F970" s="74"/>
      <c r="G970" s="74"/>
      <c r="I970" s="110"/>
      <c r="J970" s="111"/>
      <c r="K970"/>
      <c r="L970"/>
      <c r="M970"/>
      <c r="N970"/>
    </row>
    <row r="971" spans="2:14" x14ac:dyDescent="0.2">
      <c r="B971" s="74"/>
      <c r="C971"/>
      <c r="D971" s="74"/>
      <c r="E971" s="74"/>
      <c r="F971" s="74"/>
      <c r="G971" s="74"/>
      <c r="I971" s="110"/>
      <c r="J971" s="111"/>
      <c r="K971"/>
      <c r="L971"/>
      <c r="M971"/>
      <c r="N971"/>
    </row>
    <row r="972" spans="2:14" x14ac:dyDescent="0.2">
      <c r="B972" s="74"/>
      <c r="C972"/>
      <c r="D972" s="74"/>
      <c r="E972" s="74"/>
      <c r="F972" s="74"/>
      <c r="G972" s="74"/>
      <c r="I972" s="110"/>
      <c r="J972" s="111"/>
      <c r="K972"/>
      <c r="L972"/>
      <c r="M972"/>
      <c r="N972"/>
    </row>
    <row r="973" spans="2:14" x14ac:dyDescent="0.2">
      <c r="B973" s="74"/>
      <c r="C973"/>
      <c r="D973" s="74"/>
      <c r="E973" s="74"/>
      <c r="F973" s="74"/>
      <c r="G973" s="74"/>
      <c r="I973" s="110"/>
      <c r="J973" s="111"/>
      <c r="K973"/>
      <c r="L973"/>
      <c r="M973"/>
      <c r="N973"/>
    </row>
    <row r="974" spans="2:14" x14ac:dyDescent="0.2">
      <c r="B974" s="74"/>
      <c r="C974"/>
      <c r="D974" s="74"/>
      <c r="E974" s="74"/>
      <c r="F974" s="74"/>
      <c r="G974" s="74"/>
      <c r="I974" s="110"/>
      <c r="J974" s="111"/>
      <c r="K974"/>
      <c r="L974"/>
      <c r="M974"/>
      <c r="N974"/>
    </row>
    <row r="975" spans="2:14" x14ac:dyDescent="0.2">
      <c r="B975" s="74"/>
      <c r="C975"/>
      <c r="D975" s="74"/>
      <c r="E975" s="74"/>
      <c r="F975" s="74"/>
      <c r="G975" s="74"/>
      <c r="I975" s="110"/>
      <c r="J975" s="111"/>
      <c r="K975"/>
      <c r="L975"/>
      <c r="M975"/>
      <c r="N975"/>
    </row>
    <row r="976" spans="2:14" x14ac:dyDescent="0.2">
      <c r="B976" s="74"/>
      <c r="C976"/>
      <c r="D976" s="74"/>
      <c r="E976" s="74"/>
      <c r="F976" s="74"/>
      <c r="G976" s="74"/>
      <c r="I976" s="110"/>
      <c r="J976" s="111"/>
      <c r="K976"/>
      <c r="L976"/>
      <c r="M976"/>
      <c r="N976"/>
    </row>
    <row r="977" spans="2:14" x14ac:dyDescent="0.2">
      <c r="B977" s="74"/>
      <c r="C977"/>
      <c r="D977" s="74"/>
      <c r="E977" s="74"/>
      <c r="F977" s="74"/>
      <c r="G977" s="74"/>
      <c r="I977" s="110"/>
      <c r="J977" s="111"/>
      <c r="K977"/>
      <c r="L977"/>
      <c r="M977"/>
      <c r="N977"/>
    </row>
    <row r="978" spans="2:14" x14ac:dyDescent="0.2">
      <c r="B978" s="74"/>
      <c r="C978"/>
      <c r="D978" s="74"/>
      <c r="E978" s="74"/>
      <c r="F978" s="74"/>
      <c r="G978" s="74"/>
      <c r="I978" s="110"/>
      <c r="J978" s="111"/>
      <c r="K978"/>
      <c r="L978"/>
      <c r="M978"/>
      <c r="N978"/>
    </row>
    <row r="979" spans="2:14" x14ac:dyDescent="0.2">
      <c r="B979" s="74"/>
      <c r="C979"/>
      <c r="D979" s="74"/>
      <c r="E979" s="74"/>
      <c r="F979" s="74"/>
      <c r="G979" s="74"/>
      <c r="I979" s="110"/>
      <c r="J979" s="111"/>
      <c r="K979"/>
      <c r="L979"/>
      <c r="M979"/>
      <c r="N979"/>
    </row>
    <row r="980" spans="2:14" x14ac:dyDescent="0.2">
      <c r="B980" s="74"/>
      <c r="C980"/>
      <c r="D980" s="74"/>
      <c r="E980" s="74"/>
      <c r="F980" s="74"/>
      <c r="G980" s="74"/>
      <c r="I980" s="110"/>
      <c r="J980" s="111"/>
      <c r="K980"/>
      <c r="L980"/>
      <c r="M980"/>
      <c r="N980"/>
    </row>
    <row r="981" spans="2:14" x14ac:dyDescent="0.2">
      <c r="B981" s="74"/>
      <c r="C981"/>
      <c r="D981" s="74"/>
      <c r="E981" s="74"/>
      <c r="F981" s="74"/>
      <c r="G981" s="74"/>
      <c r="I981" s="110"/>
      <c r="J981" s="111"/>
      <c r="K981"/>
      <c r="L981"/>
      <c r="M981"/>
      <c r="N981"/>
    </row>
    <row r="982" spans="2:14" x14ac:dyDescent="0.2">
      <c r="B982" s="74"/>
      <c r="C982"/>
      <c r="D982" s="74"/>
      <c r="E982" s="74"/>
      <c r="F982" s="74"/>
      <c r="G982" s="74"/>
      <c r="I982" s="110"/>
      <c r="J982" s="111"/>
      <c r="K982"/>
      <c r="L982"/>
      <c r="M982"/>
      <c r="N982"/>
    </row>
    <row r="983" spans="2:14" x14ac:dyDescent="0.2">
      <c r="B983" s="74"/>
      <c r="C983"/>
      <c r="D983" s="74"/>
      <c r="E983" s="74"/>
      <c r="F983" s="74"/>
      <c r="G983" s="74"/>
      <c r="I983" s="110"/>
      <c r="J983" s="111"/>
      <c r="K983"/>
      <c r="L983"/>
      <c r="M983"/>
      <c r="N983"/>
    </row>
    <row r="984" spans="2:14" x14ac:dyDescent="0.2">
      <c r="B984" s="74"/>
      <c r="C984"/>
      <c r="D984" s="74"/>
      <c r="E984" s="74"/>
      <c r="F984" s="74"/>
      <c r="G984" s="74"/>
      <c r="I984" s="110"/>
      <c r="J984" s="111"/>
      <c r="K984"/>
      <c r="L984"/>
      <c r="M984"/>
      <c r="N984"/>
    </row>
    <row r="985" spans="2:14" x14ac:dyDescent="0.2">
      <c r="B985" s="74"/>
      <c r="C985"/>
      <c r="D985" s="74"/>
      <c r="E985" s="74"/>
      <c r="F985" s="74"/>
      <c r="G985" s="74"/>
      <c r="I985" s="110"/>
      <c r="J985" s="111"/>
      <c r="K985"/>
      <c r="L985"/>
      <c r="M985"/>
      <c r="N985"/>
    </row>
    <row r="986" spans="2:14" x14ac:dyDescent="0.2">
      <c r="B986" s="74"/>
      <c r="C986"/>
      <c r="D986" s="74"/>
      <c r="E986" s="74"/>
      <c r="F986" s="74"/>
      <c r="G986" s="74"/>
      <c r="I986" s="110"/>
      <c r="J986" s="111"/>
      <c r="K986"/>
      <c r="L986"/>
      <c r="M986"/>
      <c r="N986"/>
    </row>
    <row r="987" spans="2:14" x14ac:dyDescent="0.2">
      <c r="B987" s="74"/>
      <c r="C987"/>
      <c r="D987" s="74"/>
      <c r="E987" s="74"/>
      <c r="F987" s="74"/>
      <c r="G987" s="74"/>
      <c r="I987" s="110"/>
      <c r="J987" s="111"/>
      <c r="K987"/>
      <c r="L987"/>
      <c r="M987"/>
      <c r="N987"/>
    </row>
    <row r="988" spans="2:14" x14ac:dyDescent="0.2">
      <c r="B988" s="74"/>
      <c r="C988"/>
      <c r="D988" s="74"/>
      <c r="E988" s="74"/>
      <c r="F988" s="74"/>
      <c r="G988" s="74"/>
      <c r="I988" s="110"/>
      <c r="J988" s="111"/>
      <c r="K988"/>
      <c r="L988"/>
      <c r="M988"/>
      <c r="N988"/>
    </row>
    <row r="989" spans="2:14" x14ac:dyDescent="0.2">
      <c r="B989" s="74"/>
      <c r="C989"/>
      <c r="D989" s="74"/>
      <c r="E989" s="74"/>
      <c r="F989" s="74"/>
      <c r="G989" s="74"/>
      <c r="I989" s="110"/>
      <c r="J989" s="111"/>
      <c r="K989"/>
      <c r="L989"/>
      <c r="M989"/>
      <c r="N989"/>
    </row>
    <row r="990" spans="2:14" x14ac:dyDescent="0.2">
      <c r="B990" s="74"/>
      <c r="C990"/>
      <c r="D990" s="74"/>
      <c r="E990" s="74"/>
      <c r="F990" s="74"/>
      <c r="G990" s="74"/>
      <c r="I990" s="110"/>
      <c r="J990" s="111"/>
      <c r="K990"/>
      <c r="L990"/>
      <c r="M990"/>
      <c r="N990"/>
    </row>
    <row r="991" spans="2:14" x14ac:dyDescent="0.2">
      <c r="B991" s="74"/>
      <c r="C991"/>
      <c r="D991" s="74"/>
      <c r="E991" s="74"/>
      <c r="F991" s="74"/>
      <c r="G991" s="74"/>
      <c r="I991" s="110"/>
      <c r="J991" s="111"/>
      <c r="K991"/>
      <c r="L991"/>
      <c r="M991"/>
      <c r="N991"/>
    </row>
    <row r="992" spans="2:14" x14ac:dyDescent="0.2">
      <c r="B992" s="74"/>
      <c r="C992"/>
      <c r="D992" s="74"/>
      <c r="E992" s="74"/>
      <c r="F992" s="74"/>
      <c r="G992" s="74"/>
      <c r="I992" s="110"/>
      <c r="J992" s="111"/>
      <c r="K992"/>
      <c r="L992"/>
      <c r="M992"/>
      <c r="N992"/>
    </row>
    <row r="993" spans="2:14" x14ac:dyDescent="0.2">
      <c r="B993" s="74"/>
      <c r="C993"/>
      <c r="D993" s="74"/>
      <c r="E993" s="74"/>
      <c r="F993" s="74"/>
      <c r="G993" s="74"/>
      <c r="I993" s="110"/>
      <c r="J993" s="111"/>
      <c r="K993"/>
      <c r="L993"/>
      <c r="M993"/>
      <c r="N993"/>
    </row>
    <row r="994" spans="2:14" x14ac:dyDescent="0.2">
      <c r="B994" s="74"/>
      <c r="C994"/>
      <c r="D994" s="74"/>
      <c r="E994" s="74"/>
      <c r="F994" s="74"/>
      <c r="G994" s="74"/>
      <c r="I994" s="110"/>
      <c r="J994" s="111"/>
      <c r="K994"/>
      <c r="L994"/>
      <c r="M994"/>
      <c r="N994"/>
    </row>
    <row r="995" spans="2:14" x14ac:dyDescent="0.2">
      <c r="B995" s="74"/>
      <c r="C995"/>
      <c r="D995" s="74"/>
      <c r="E995" s="74"/>
      <c r="F995" s="74"/>
      <c r="G995" s="74"/>
      <c r="I995" s="110"/>
      <c r="J995" s="111"/>
      <c r="K995"/>
      <c r="L995"/>
      <c r="M995"/>
      <c r="N995"/>
    </row>
    <row r="996" spans="2:14" x14ac:dyDescent="0.2">
      <c r="B996" s="74"/>
      <c r="C996"/>
      <c r="D996" s="74"/>
      <c r="E996" s="74"/>
      <c r="F996" s="74"/>
      <c r="G996" s="74"/>
      <c r="I996" s="110"/>
      <c r="J996" s="111"/>
      <c r="K996"/>
      <c r="L996"/>
      <c r="M996"/>
      <c r="N996"/>
    </row>
    <row r="997" spans="2:14" x14ac:dyDescent="0.2">
      <c r="B997" s="74"/>
      <c r="C997"/>
      <c r="D997" s="74"/>
      <c r="E997" s="74"/>
      <c r="F997" s="74"/>
      <c r="G997" s="74"/>
      <c r="I997" s="110"/>
      <c r="J997" s="111"/>
      <c r="K997"/>
      <c r="L997"/>
      <c r="M997"/>
      <c r="N997"/>
    </row>
    <row r="998" spans="2:14" x14ac:dyDescent="0.2">
      <c r="B998" s="74"/>
      <c r="C998"/>
      <c r="D998" s="74"/>
      <c r="E998" s="74"/>
      <c r="F998" s="74"/>
      <c r="G998" s="74"/>
      <c r="I998" s="110"/>
      <c r="J998" s="111"/>
      <c r="K998"/>
      <c r="L998"/>
      <c r="M998"/>
      <c r="N998"/>
    </row>
    <row r="999" spans="2:14" x14ac:dyDescent="0.2">
      <c r="B999" s="74"/>
      <c r="C999"/>
      <c r="D999" s="74"/>
      <c r="E999" s="74"/>
      <c r="F999" s="74"/>
      <c r="G999" s="74"/>
      <c r="I999" s="110"/>
      <c r="J999" s="111"/>
      <c r="K999"/>
      <c r="L999"/>
      <c r="M999"/>
      <c r="N999"/>
    </row>
    <row r="1000" spans="2:14" x14ac:dyDescent="0.2">
      <c r="B1000" s="74"/>
      <c r="C1000"/>
      <c r="D1000" s="74"/>
      <c r="E1000" s="74"/>
      <c r="F1000" s="74"/>
      <c r="G1000" s="74"/>
      <c r="I1000" s="110"/>
      <c r="J1000" s="111"/>
      <c r="K1000"/>
      <c r="L1000"/>
      <c r="M1000"/>
      <c r="N1000"/>
    </row>
    <row r="1001" spans="2:14" x14ac:dyDescent="0.2">
      <c r="B1001" s="74"/>
      <c r="C1001"/>
      <c r="D1001" s="74"/>
      <c r="E1001" s="74"/>
      <c r="F1001" s="74"/>
      <c r="G1001" s="74"/>
      <c r="I1001" s="110"/>
      <c r="J1001" s="111"/>
      <c r="K1001"/>
      <c r="L1001"/>
      <c r="M1001"/>
      <c r="N1001"/>
    </row>
    <row r="1002" spans="2:14" x14ac:dyDescent="0.2">
      <c r="B1002" s="74"/>
      <c r="C1002"/>
      <c r="D1002" s="74"/>
      <c r="E1002" s="74"/>
      <c r="F1002" s="74"/>
      <c r="G1002" s="74"/>
      <c r="I1002" s="110"/>
      <c r="J1002" s="111"/>
      <c r="K1002"/>
      <c r="L1002"/>
      <c r="M1002"/>
      <c r="N1002"/>
    </row>
    <row r="1003" spans="2:14" x14ac:dyDescent="0.2">
      <c r="B1003" s="74"/>
      <c r="C1003"/>
      <c r="D1003" s="74"/>
      <c r="E1003" s="74"/>
      <c r="F1003" s="74"/>
      <c r="G1003" s="74"/>
      <c r="I1003" s="110"/>
      <c r="J1003" s="111"/>
      <c r="K1003"/>
      <c r="L1003"/>
      <c r="M1003"/>
      <c r="N1003"/>
    </row>
    <row r="1004" spans="2:14" x14ac:dyDescent="0.2">
      <c r="B1004" s="74"/>
      <c r="C1004"/>
      <c r="D1004" s="74"/>
      <c r="E1004" s="74"/>
      <c r="F1004" s="74"/>
      <c r="G1004" s="74"/>
      <c r="I1004" s="110"/>
      <c r="J1004" s="111"/>
      <c r="K1004"/>
      <c r="L1004"/>
      <c r="M1004"/>
      <c r="N1004"/>
    </row>
    <row r="1005" spans="2:14" x14ac:dyDescent="0.2">
      <c r="B1005" s="74"/>
      <c r="C1005"/>
      <c r="D1005" s="74"/>
      <c r="E1005" s="74"/>
      <c r="F1005" s="74"/>
      <c r="G1005" s="74"/>
      <c r="I1005" s="110"/>
      <c r="J1005" s="111"/>
      <c r="K1005"/>
      <c r="L1005"/>
      <c r="M1005"/>
      <c r="N1005"/>
    </row>
    <row r="1006" spans="2:14" x14ac:dyDescent="0.2">
      <c r="B1006" s="74"/>
      <c r="C1006"/>
      <c r="D1006" s="74"/>
      <c r="E1006" s="74"/>
      <c r="F1006" s="74"/>
      <c r="G1006" s="74"/>
      <c r="I1006" s="110"/>
      <c r="J1006" s="111"/>
      <c r="K1006"/>
      <c r="L1006"/>
      <c r="M1006"/>
      <c r="N1006"/>
    </row>
    <row r="1007" spans="2:14" x14ac:dyDescent="0.2">
      <c r="B1007" s="74"/>
      <c r="C1007"/>
      <c r="D1007" s="74"/>
      <c r="E1007" s="74"/>
      <c r="F1007" s="74"/>
      <c r="G1007" s="74"/>
      <c r="I1007" s="110"/>
      <c r="J1007" s="111"/>
      <c r="K1007"/>
      <c r="L1007"/>
      <c r="M1007"/>
      <c r="N1007"/>
    </row>
    <row r="1008" spans="2:14" x14ac:dyDescent="0.2">
      <c r="B1008" s="74"/>
      <c r="C1008"/>
      <c r="D1008" s="74"/>
      <c r="E1008" s="74"/>
      <c r="F1008" s="74"/>
      <c r="G1008" s="74"/>
      <c r="I1008" s="110"/>
      <c r="J1008" s="111"/>
      <c r="K1008"/>
      <c r="L1008"/>
      <c r="M1008"/>
      <c r="N1008"/>
    </row>
    <row r="1009" spans="2:14" x14ac:dyDescent="0.2">
      <c r="B1009" s="74"/>
      <c r="C1009"/>
      <c r="D1009" s="74"/>
      <c r="E1009" s="74"/>
      <c r="F1009" s="74"/>
      <c r="G1009" s="74"/>
      <c r="I1009" s="110"/>
      <c r="J1009" s="111"/>
      <c r="K1009"/>
      <c r="L1009"/>
      <c r="M1009"/>
      <c r="N1009"/>
    </row>
    <row r="1010" spans="2:14" x14ac:dyDescent="0.2">
      <c r="B1010" s="74"/>
      <c r="C1010"/>
      <c r="D1010" s="74"/>
      <c r="E1010" s="74"/>
      <c r="F1010" s="74"/>
      <c r="G1010" s="74"/>
      <c r="I1010" s="110"/>
      <c r="J1010" s="111"/>
      <c r="K1010"/>
      <c r="L1010"/>
      <c r="M1010"/>
      <c r="N1010"/>
    </row>
    <row r="1011" spans="2:14" x14ac:dyDescent="0.2">
      <c r="B1011" s="74"/>
      <c r="C1011"/>
      <c r="D1011" s="74"/>
      <c r="E1011" s="74"/>
      <c r="F1011" s="74"/>
      <c r="G1011" s="74"/>
      <c r="I1011" s="110"/>
      <c r="J1011" s="111"/>
      <c r="K1011"/>
      <c r="L1011"/>
      <c r="M1011"/>
      <c r="N1011"/>
    </row>
    <row r="1012" spans="2:14" x14ac:dyDescent="0.2">
      <c r="B1012" s="74"/>
      <c r="C1012"/>
      <c r="D1012" s="74"/>
      <c r="E1012" s="74"/>
      <c r="F1012" s="74"/>
      <c r="G1012" s="74"/>
      <c r="I1012" s="110"/>
      <c r="J1012" s="111"/>
      <c r="K1012"/>
      <c r="L1012"/>
      <c r="M1012"/>
      <c r="N1012"/>
    </row>
    <row r="1013" spans="2:14" x14ac:dyDescent="0.2">
      <c r="B1013" s="74"/>
      <c r="C1013"/>
      <c r="D1013" s="74"/>
      <c r="E1013" s="74"/>
      <c r="F1013" s="74"/>
      <c r="G1013" s="74"/>
      <c r="I1013" s="110"/>
      <c r="J1013" s="111"/>
      <c r="K1013"/>
      <c r="L1013"/>
      <c r="M1013"/>
      <c r="N1013"/>
    </row>
    <row r="1014" spans="2:14" x14ac:dyDescent="0.2">
      <c r="B1014" s="74"/>
      <c r="C1014"/>
      <c r="D1014" s="74"/>
      <c r="E1014" s="74"/>
      <c r="F1014" s="74"/>
      <c r="G1014" s="74"/>
      <c r="I1014" s="110"/>
      <c r="J1014" s="111"/>
      <c r="K1014"/>
      <c r="L1014"/>
      <c r="M1014"/>
      <c r="N1014"/>
    </row>
    <row r="1015" spans="2:14" x14ac:dyDescent="0.2">
      <c r="B1015" s="74"/>
      <c r="C1015"/>
      <c r="D1015" s="74"/>
      <c r="E1015" s="74"/>
      <c r="F1015" s="74"/>
      <c r="G1015" s="74"/>
      <c r="I1015" s="110"/>
      <c r="J1015" s="111"/>
      <c r="K1015"/>
      <c r="L1015"/>
      <c r="M1015"/>
      <c r="N1015"/>
    </row>
    <row r="1016" spans="2:14" x14ac:dyDescent="0.2">
      <c r="B1016" s="74"/>
      <c r="C1016"/>
      <c r="D1016" s="74"/>
      <c r="E1016" s="74"/>
      <c r="F1016" s="74"/>
      <c r="G1016" s="74"/>
      <c r="I1016" s="110"/>
      <c r="J1016" s="111"/>
      <c r="K1016"/>
      <c r="L1016"/>
      <c r="M1016"/>
      <c r="N1016"/>
    </row>
    <row r="1017" spans="2:14" x14ac:dyDescent="0.2">
      <c r="B1017" s="74"/>
      <c r="C1017"/>
      <c r="D1017" s="74"/>
      <c r="E1017" s="74"/>
      <c r="F1017" s="74"/>
      <c r="G1017" s="74"/>
      <c r="I1017" s="110"/>
      <c r="J1017" s="111"/>
      <c r="K1017"/>
      <c r="L1017"/>
      <c r="M1017"/>
      <c r="N1017"/>
    </row>
    <row r="1018" spans="2:14" x14ac:dyDescent="0.2">
      <c r="B1018" s="74"/>
      <c r="C1018"/>
      <c r="D1018" s="74"/>
      <c r="E1018" s="74"/>
      <c r="F1018" s="74"/>
      <c r="G1018" s="74"/>
      <c r="I1018" s="110"/>
      <c r="J1018" s="111"/>
      <c r="K1018"/>
      <c r="L1018"/>
      <c r="M1018"/>
      <c r="N1018"/>
    </row>
    <row r="1019" spans="2:14" x14ac:dyDescent="0.2">
      <c r="B1019" s="74"/>
      <c r="C1019"/>
      <c r="D1019" s="74"/>
      <c r="E1019" s="74"/>
      <c r="F1019" s="74"/>
      <c r="G1019" s="74"/>
      <c r="I1019" s="110"/>
      <c r="J1019" s="111"/>
      <c r="K1019"/>
      <c r="L1019"/>
      <c r="M1019"/>
      <c r="N1019"/>
    </row>
    <row r="1020" spans="2:14" x14ac:dyDescent="0.2">
      <c r="B1020" s="74"/>
      <c r="C1020"/>
      <c r="D1020" s="74"/>
      <c r="E1020" s="74"/>
      <c r="F1020" s="74"/>
      <c r="G1020" s="74"/>
      <c r="I1020" s="110"/>
      <c r="J1020" s="111"/>
      <c r="K1020"/>
      <c r="L1020"/>
      <c r="M1020"/>
      <c r="N1020"/>
    </row>
    <row r="1021" spans="2:14" x14ac:dyDescent="0.2">
      <c r="B1021" s="74"/>
      <c r="C1021"/>
      <c r="D1021" s="74"/>
      <c r="E1021" s="74"/>
      <c r="F1021" s="74"/>
      <c r="G1021" s="74"/>
      <c r="I1021" s="110"/>
      <c r="J1021" s="111"/>
      <c r="K1021"/>
      <c r="L1021"/>
      <c r="M1021"/>
      <c r="N1021"/>
    </row>
    <row r="1022" spans="2:14" x14ac:dyDescent="0.2">
      <c r="B1022" s="74"/>
      <c r="C1022"/>
      <c r="D1022" s="74"/>
      <c r="E1022" s="74"/>
      <c r="F1022" s="74"/>
      <c r="G1022" s="74"/>
      <c r="I1022" s="110"/>
      <c r="J1022" s="111"/>
      <c r="K1022"/>
      <c r="L1022"/>
      <c r="M1022"/>
      <c r="N1022"/>
    </row>
    <row r="1023" spans="2:14" x14ac:dyDescent="0.2">
      <c r="B1023" s="74"/>
      <c r="C1023"/>
      <c r="D1023" s="74"/>
      <c r="E1023" s="74"/>
      <c r="F1023" s="74"/>
      <c r="G1023" s="74"/>
      <c r="I1023" s="110"/>
      <c r="J1023" s="111"/>
      <c r="K1023"/>
      <c r="L1023"/>
      <c r="M1023"/>
      <c r="N1023"/>
    </row>
    <row r="1024" spans="2:14" x14ac:dyDescent="0.2">
      <c r="B1024" s="74"/>
      <c r="C1024"/>
      <c r="D1024" s="74"/>
      <c r="E1024" s="74"/>
      <c r="F1024" s="74"/>
      <c r="G1024" s="74"/>
      <c r="I1024" s="110"/>
      <c r="J1024" s="111"/>
      <c r="K1024"/>
      <c r="L1024"/>
      <c r="M1024"/>
      <c r="N1024"/>
    </row>
    <row r="1025" spans="2:14" x14ac:dyDescent="0.2">
      <c r="B1025" s="74"/>
      <c r="C1025"/>
      <c r="D1025" s="74"/>
      <c r="E1025" s="74"/>
      <c r="F1025" s="74"/>
      <c r="G1025" s="74"/>
      <c r="I1025" s="110"/>
      <c r="J1025" s="111"/>
      <c r="K1025"/>
      <c r="L1025"/>
      <c r="M1025"/>
      <c r="N1025"/>
    </row>
    <row r="1026" spans="2:14" x14ac:dyDescent="0.2">
      <c r="B1026" s="74"/>
      <c r="C1026"/>
      <c r="D1026" s="74"/>
      <c r="E1026" s="74"/>
      <c r="F1026" s="74"/>
      <c r="G1026" s="74"/>
      <c r="I1026" s="110"/>
      <c r="J1026" s="111"/>
      <c r="K1026"/>
      <c r="L1026"/>
      <c r="M1026"/>
      <c r="N1026"/>
    </row>
    <row r="1027" spans="2:14" x14ac:dyDescent="0.2">
      <c r="B1027" s="74"/>
      <c r="C1027"/>
      <c r="D1027" s="74"/>
      <c r="E1027" s="74"/>
      <c r="F1027" s="74"/>
      <c r="G1027" s="74"/>
      <c r="I1027" s="110"/>
      <c r="J1027" s="111"/>
      <c r="K1027"/>
      <c r="L1027"/>
      <c r="M1027"/>
      <c r="N1027"/>
    </row>
    <row r="1028" spans="2:14" x14ac:dyDescent="0.2">
      <c r="B1028" s="74"/>
      <c r="C1028"/>
      <c r="D1028" s="74"/>
      <c r="E1028" s="74"/>
      <c r="F1028" s="74"/>
      <c r="G1028" s="74"/>
      <c r="I1028" s="110"/>
      <c r="J1028" s="111"/>
      <c r="K1028"/>
      <c r="L1028"/>
      <c r="M1028"/>
      <c r="N1028"/>
    </row>
    <row r="1029" spans="2:14" x14ac:dyDescent="0.2">
      <c r="B1029" s="74"/>
      <c r="C1029"/>
      <c r="D1029" s="74"/>
      <c r="E1029" s="74"/>
      <c r="F1029" s="74"/>
      <c r="G1029" s="74"/>
      <c r="I1029" s="110"/>
      <c r="J1029" s="111"/>
      <c r="K1029"/>
      <c r="L1029"/>
      <c r="M1029"/>
      <c r="N1029"/>
    </row>
    <row r="1030" spans="2:14" x14ac:dyDescent="0.2">
      <c r="B1030" s="74"/>
      <c r="C1030"/>
      <c r="D1030" s="74"/>
      <c r="E1030" s="74"/>
      <c r="F1030" s="74"/>
      <c r="G1030" s="74"/>
      <c r="I1030" s="110"/>
      <c r="J1030" s="111"/>
      <c r="K1030"/>
      <c r="L1030"/>
      <c r="M1030"/>
      <c r="N1030"/>
    </row>
    <row r="1031" spans="2:14" x14ac:dyDescent="0.2">
      <c r="B1031" s="74"/>
      <c r="C1031"/>
      <c r="D1031" s="74"/>
      <c r="E1031" s="74"/>
      <c r="F1031" s="74"/>
      <c r="G1031" s="74"/>
      <c r="I1031" s="110"/>
      <c r="J1031" s="111"/>
      <c r="K1031"/>
      <c r="L1031"/>
      <c r="M1031"/>
      <c r="N1031"/>
    </row>
    <row r="1032" spans="2:14" x14ac:dyDescent="0.2">
      <c r="B1032" s="74"/>
      <c r="C1032"/>
      <c r="D1032" s="74"/>
      <c r="E1032" s="74"/>
      <c r="F1032" s="74"/>
      <c r="G1032" s="74"/>
      <c r="I1032" s="110"/>
      <c r="J1032" s="111"/>
      <c r="K1032"/>
      <c r="L1032"/>
      <c r="M1032"/>
      <c r="N1032"/>
    </row>
    <row r="1033" spans="2:14" x14ac:dyDescent="0.2">
      <c r="B1033" s="74"/>
      <c r="C1033"/>
      <c r="D1033" s="74"/>
      <c r="E1033" s="74"/>
      <c r="F1033" s="74"/>
      <c r="G1033" s="74"/>
      <c r="I1033" s="110"/>
      <c r="J1033" s="111"/>
      <c r="K1033"/>
      <c r="L1033"/>
      <c r="M1033"/>
      <c r="N1033"/>
    </row>
    <row r="1034" spans="2:14" x14ac:dyDescent="0.2">
      <c r="B1034" s="74"/>
      <c r="C1034"/>
      <c r="D1034" s="74"/>
      <c r="E1034" s="74"/>
      <c r="F1034" s="74"/>
      <c r="G1034" s="74"/>
      <c r="I1034" s="110"/>
      <c r="J1034" s="111"/>
      <c r="K1034"/>
      <c r="L1034"/>
      <c r="M1034"/>
      <c r="N1034"/>
    </row>
    <row r="1035" spans="2:14" x14ac:dyDescent="0.2">
      <c r="B1035" s="74"/>
      <c r="C1035"/>
      <c r="D1035" s="74"/>
      <c r="E1035" s="74"/>
      <c r="F1035" s="74"/>
      <c r="G1035" s="74"/>
      <c r="I1035" s="110"/>
      <c r="J1035" s="111"/>
      <c r="K1035"/>
      <c r="L1035"/>
      <c r="M1035"/>
      <c r="N1035"/>
    </row>
    <row r="1036" spans="2:14" x14ac:dyDescent="0.2">
      <c r="B1036" s="74"/>
      <c r="C1036"/>
      <c r="D1036" s="74"/>
      <c r="E1036" s="74"/>
      <c r="F1036" s="74"/>
      <c r="G1036" s="74"/>
      <c r="I1036" s="110"/>
      <c r="J1036" s="111"/>
      <c r="K1036"/>
      <c r="L1036"/>
      <c r="M1036"/>
      <c r="N1036"/>
    </row>
    <row r="1037" spans="2:14" x14ac:dyDescent="0.2">
      <c r="B1037" s="74"/>
      <c r="C1037"/>
      <c r="D1037" s="74"/>
      <c r="E1037" s="74"/>
      <c r="F1037" s="74"/>
      <c r="G1037" s="74"/>
      <c r="I1037" s="110"/>
      <c r="J1037" s="111"/>
      <c r="K1037"/>
      <c r="L1037"/>
      <c r="M1037"/>
      <c r="N1037"/>
    </row>
    <row r="1038" spans="2:14" x14ac:dyDescent="0.2">
      <c r="B1038" s="74"/>
      <c r="C1038"/>
      <c r="D1038" s="74"/>
      <c r="E1038" s="74"/>
      <c r="F1038" s="74"/>
      <c r="G1038" s="74"/>
      <c r="I1038" s="110"/>
      <c r="J1038" s="111"/>
      <c r="K1038"/>
      <c r="L1038"/>
      <c r="M1038"/>
      <c r="N1038"/>
    </row>
    <row r="1039" spans="2:14" x14ac:dyDescent="0.2">
      <c r="B1039" s="74"/>
      <c r="C1039"/>
      <c r="D1039" s="74"/>
      <c r="E1039" s="74"/>
      <c r="F1039" s="74"/>
      <c r="G1039" s="74"/>
      <c r="I1039" s="110"/>
      <c r="J1039" s="111"/>
      <c r="K1039"/>
      <c r="L1039"/>
      <c r="M1039"/>
      <c r="N1039"/>
    </row>
    <row r="1040" spans="2:14" x14ac:dyDescent="0.2">
      <c r="B1040" s="74"/>
      <c r="C1040"/>
      <c r="D1040" s="74"/>
      <c r="E1040" s="74"/>
      <c r="F1040" s="74"/>
      <c r="G1040" s="74"/>
      <c r="I1040" s="110"/>
      <c r="J1040" s="111"/>
      <c r="K1040"/>
      <c r="L1040"/>
      <c r="M1040"/>
      <c r="N1040"/>
    </row>
    <row r="1041" spans="2:14" x14ac:dyDescent="0.2">
      <c r="B1041" s="74"/>
      <c r="C1041"/>
      <c r="D1041" s="74"/>
      <c r="E1041" s="74"/>
      <c r="F1041" s="74"/>
      <c r="G1041" s="74"/>
      <c r="I1041" s="110"/>
      <c r="J1041" s="111"/>
      <c r="K1041"/>
      <c r="L1041"/>
      <c r="M1041"/>
      <c r="N1041"/>
    </row>
    <row r="1042" spans="2:14" x14ac:dyDescent="0.2">
      <c r="B1042" s="74"/>
      <c r="C1042"/>
      <c r="D1042" s="74"/>
      <c r="E1042" s="74"/>
      <c r="F1042" s="74"/>
      <c r="G1042" s="74"/>
      <c r="I1042" s="110"/>
      <c r="J1042" s="111"/>
      <c r="K1042"/>
      <c r="L1042"/>
      <c r="M1042"/>
      <c r="N1042"/>
    </row>
    <row r="1043" spans="2:14" x14ac:dyDescent="0.2">
      <c r="B1043" s="74"/>
      <c r="C1043"/>
      <c r="D1043" s="74"/>
      <c r="E1043" s="74"/>
      <c r="F1043" s="74"/>
      <c r="G1043" s="74"/>
      <c r="I1043" s="110"/>
      <c r="J1043" s="111"/>
      <c r="K1043"/>
      <c r="L1043"/>
      <c r="M1043"/>
      <c r="N1043"/>
    </row>
    <row r="1044" spans="2:14" x14ac:dyDescent="0.2">
      <c r="B1044" s="74"/>
      <c r="C1044"/>
      <c r="D1044" s="74"/>
      <c r="E1044" s="74"/>
      <c r="F1044" s="74"/>
      <c r="G1044" s="74"/>
      <c r="I1044" s="110"/>
      <c r="J1044" s="111"/>
      <c r="K1044"/>
      <c r="L1044"/>
      <c r="M1044"/>
      <c r="N1044"/>
    </row>
    <row r="1045" spans="2:14" x14ac:dyDescent="0.2">
      <c r="B1045" s="74"/>
      <c r="C1045"/>
      <c r="D1045" s="74"/>
      <c r="E1045" s="74"/>
      <c r="F1045" s="74"/>
      <c r="G1045" s="74"/>
      <c r="I1045" s="110"/>
      <c r="J1045" s="111"/>
      <c r="K1045"/>
      <c r="L1045"/>
      <c r="M1045"/>
      <c r="N1045"/>
    </row>
    <row r="1046" spans="2:14" x14ac:dyDescent="0.2">
      <c r="B1046" s="74"/>
      <c r="C1046"/>
      <c r="D1046" s="74"/>
      <c r="E1046" s="74"/>
      <c r="F1046" s="74"/>
      <c r="G1046" s="74"/>
      <c r="I1046" s="110"/>
      <c r="J1046" s="111"/>
      <c r="K1046"/>
      <c r="L1046"/>
      <c r="M1046"/>
      <c r="N1046"/>
    </row>
    <row r="1047" spans="2:14" x14ac:dyDescent="0.2">
      <c r="B1047" s="74"/>
      <c r="C1047"/>
      <c r="D1047" s="74"/>
      <c r="E1047" s="74"/>
      <c r="F1047" s="74"/>
      <c r="G1047" s="74"/>
      <c r="I1047" s="110"/>
      <c r="J1047" s="111"/>
      <c r="K1047"/>
      <c r="L1047"/>
      <c r="M1047"/>
      <c r="N1047"/>
    </row>
    <row r="1048" spans="2:14" x14ac:dyDescent="0.2">
      <c r="B1048" s="74"/>
      <c r="C1048"/>
      <c r="D1048" s="74"/>
      <c r="E1048" s="74"/>
      <c r="F1048" s="74"/>
      <c r="G1048" s="74"/>
      <c r="I1048" s="110"/>
      <c r="J1048" s="111"/>
      <c r="K1048"/>
      <c r="L1048"/>
      <c r="M1048"/>
      <c r="N1048"/>
    </row>
    <row r="1049" spans="2:14" x14ac:dyDescent="0.2">
      <c r="B1049" s="74"/>
      <c r="C1049"/>
      <c r="D1049" s="74"/>
      <c r="E1049" s="74"/>
      <c r="F1049" s="74"/>
      <c r="G1049" s="74"/>
      <c r="I1049" s="110"/>
      <c r="J1049" s="111"/>
      <c r="K1049"/>
      <c r="L1049"/>
      <c r="M1049"/>
      <c r="N1049"/>
    </row>
    <row r="1050" spans="2:14" x14ac:dyDescent="0.2">
      <c r="B1050" s="74"/>
      <c r="C1050"/>
      <c r="D1050" s="74"/>
      <c r="E1050" s="74"/>
      <c r="F1050" s="74"/>
      <c r="G1050" s="74"/>
      <c r="I1050" s="110"/>
      <c r="J1050" s="111"/>
      <c r="K1050"/>
      <c r="L1050"/>
      <c r="M1050"/>
      <c r="N1050"/>
    </row>
    <row r="1051" spans="2:14" x14ac:dyDescent="0.2">
      <c r="B1051" s="74"/>
      <c r="C1051"/>
      <c r="D1051" s="74"/>
      <c r="E1051" s="74"/>
      <c r="F1051" s="74"/>
      <c r="G1051" s="74"/>
      <c r="I1051" s="110"/>
      <c r="J1051" s="111"/>
      <c r="K1051"/>
      <c r="L1051"/>
      <c r="M1051"/>
      <c r="N1051"/>
    </row>
    <row r="1052" spans="2:14" x14ac:dyDescent="0.2">
      <c r="B1052" s="74"/>
      <c r="C1052"/>
      <c r="D1052" s="74"/>
      <c r="E1052" s="74"/>
      <c r="F1052" s="74"/>
      <c r="G1052" s="74"/>
      <c r="I1052" s="110"/>
      <c r="J1052" s="111"/>
      <c r="K1052"/>
      <c r="L1052"/>
      <c r="M1052"/>
      <c r="N1052"/>
    </row>
    <row r="1053" spans="2:14" x14ac:dyDescent="0.2">
      <c r="B1053" s="74"/>
      <c r="C1053"/>
      <c r="D1053" s="74"/>
      <c r="E1053" s="74"/>
      <c r="F1053" s="74"/>
      <c r="G1053" s="74"/>
      <c r="I1053" s="110"/>
      <c r="J1053" s="111"/>
      <c r="K1053"/>
      <c r="L1053"/>
      <c r="M1053"/>
      <c r="N1053"/>
    </row>
    <row r="1054" spans="2:14" x14ac:dyDescent="0.2">
      <c r="B1054" s="74"/>
      <c r="C1054"/>
      <c r="D1054" s="74"/>
      <c r="E1054" s="74"/>
      <c r="F1054" s="74"/>
      <c r="G1054" s="74"/>
      <c r="I1054" s="110"/>
      <c r="J1054" s="111"/>
      <c r="K1054"/>
      <c r="L1054"/>
      <c r="M1054"/>
      <c r="N1054"/>
    </row>
    <row r="1055" spans="2:14" x14ac:dyDescent="0.2">
      <c r="B1055" s="74"/>
      <c r="C1055"/>
      <c r="D1055" s="74"/>
      <c r="E1055" s="74"/>
      <c r="F1055" s="74"/>
      <c r="G1055" s="74"/>
      <c r="I1055" s="110"/>
      <c r="J1055" s="111"/>
      <c r="K1055"/>
      <c r="L1055"/>
      <c r="M1055"/>
      <c r="N1055"/>
    </row>
    <row r="1056" spans="2:14" x14ac:dyDescent="0.2">
      <c r="B1056" s="74"/>
      <c r="C1056"/>
      <c r="D1056" s="74"/>
      <c r="E1056" s="74"/>
      <c r="F1056" s="74"/>
      <c r="G1056" s="74"/>
      <c r="I1056" s="110"/>
      <c r="J1056" s="111"/>
      <c r="K1056"/>
      <c r="L1056"/>
      <c r="M1056"/>
      <c r="N1056"/>
    </row>
    <row r="1057" spans="2:14" x14ac:dyDescent="0.2">
      <c r="B1057" s="74"/>
      <c r="C1057"/>
      <c r="D1057" s="74"/>
      <c r="E1057" s="74"/>
      <c r="F1057" s="74"/>
      <c r="G1057" s="74"/>
      <c r="I1057" s="110"/>
      <c r="J1057" s="111"/>
      <c r="K1057"/>
      <c r="L1057"/>
      <c r="M1057"/>
      <c r="N1057"/>
    </row>
    <row r="1058" spans="2:14" x14ac:dyDescent="0.2">
      <c r="B1058" s="74"/>
      <c r="C1058"/>
      <c r="D1058" s="74"/>
      <c r="E1058" s="74"/>
      <c r="F1058" s="74"/>
      <c r="G1058" s="74"/>
      <c r="I1058" s="110"/>
      <c r="J1058" s="111"/>
      <c r="K1058"/>
      <c r="L1058"/>
      <c r="M1058"/>
      <c r="N1058"/>
    </row>
    <row r="1059" spans="2:14" x14ac:dyDescent="0.2">
      <c r="B1059" s="74"/>
      <c r="C1059"/>
      <c r="D1059" s="74"/>
      <c r="E1059" s="74"/>
      <c r="F1059" s="74"/>
      <c r="G1059" s="74"/>
      <c r="I1059" s="110"/>
      <c r="J1059" s="111"/>
      <c r="K1059"/>
      <c r="L1059"/>
      <c r="M1059"/>
      <c r="N1059"/>
    </row>
    <row r="1060" spans="2:14" x14ac:dyDescent="0.2">
      <c r="B1060" s="74"/>
      <c r="C1060"/>
      <c r="D1060" s="74"/>
      <c r="E1060" s="74"/>
      <c r="F1060" s="74"/>
      <c r="G1060" s="74"/>
      <c r="I1060" s="110"/>
      <c r="J1060" s="111"/>
      <c r="K1060"/>
      <c r="L1060"/>
      <c r="M1060"/>
      <c r="N1060"/>
    </row>
    <row r="1061" spans="2:14" x14ac:dyDescent="0.2">
      <c r="B1061" s="74"/>
      <c r="C1061"/>
      <c r="D1061" s="74"/>
      <c r="E1061" s="74"/>
      <c r="F1061" s="74"/>
      <c r="G1061" s="74"/>
      <c r="I1061" s="110"/>
      <c r="J1061" s="111"/>
      <c r="K1061"/>
      <c r="L1061"/>
      <c r="M1061"/>
      <c r="N1061"/>
    </row>
    <row r="1062" spans="2:14" x14ac:dyDescent="0.2">
      <c r="B1062" s="74"/>
      <c r="C1062"/>
      <c r="D1062" s="74"/>
      <c r="E1062" s="74"/>
      <c r="F1062" s="74"/>
      <c r="G1062" s="74"/>
      <c r="I1062" s="110"/>
      <c r="J1062" s="111"/>
      <c r="K1062"/>
      <c r="L1062"/>
      <c r="M1062"/>
      <c r="N1062"/>
    </row>
    <row r="1063" spans="2:14" x14ac:dyDescent="0.2">
      <c r="B1063" s="74"/>
      <c r="C1063"/>
      <c r="D1063" s="74"/>
      <c r="E1063" s="74"/>
      <c r="F1063" s="74"/>
      <c r="G1063" s="74"/>
      <c r="I1063" s="110"/>
      <c r="J1063" s="111"/>
      <c r="K1063"/>
      <c r="L1063"/>
      <c r="M1063"/>
      <c r="N1063"/>
    </row>
    <row r="1064" spans="2:14" x14ac:dyDescent="0.2">
      <c r="B1064" s="74"/>
      <c r="C1064"/>
      <c r="D1064" s="74"/>
      <c r="E1064" s="74"/>
      <c r="F1064" s="74"/>
      <c r="G1064" s="74"/>
      <c r="I1064" s="110"/>
      <c r="J1064" s="111"/>
      <c r="K1064"/>
      <c r="L1064"/>
      <c r="M1064"/>
      <c r="N1064"/>
    </row>
    <row r="1065" spans="2:14" x14ac:dyDescent="0.2">
      <c r="B1065" s="74"/>
      <c r="C1065"/>
      <c r="D1065" s="74"/>
      <c r="E1065" s="74"/>
      <c r="F1065" s="74"/>
      <c r="G1065" s="74"/>
      <c r="I1065" s="110"/>
      <c r="J1065" s="111"/>
      <c r="K1065"/>
      <c r="L1065"/>
      <c r="M1065"/>
      <c r="N1065"/>
    </row>
    <row r="1066" spans="2:14" x14ac:dyDescent="0.2">
      <c r="B1066" s="74"/>
      <c r="C1066"/>
      <c r="D1066" s="74"/>
      <c r="E1066" s="74"/>
      <c r="F1066" s="74"/>
      <c r="G1066" s="74"/>
      <c r="I1066" s="110"/>
      <c r="J1066" s="111"/>
      <c r="K1066"/>
      <c r="L1066"/>
      <c r="M1066"/>
      <c r="N1066"/>
    </row>
    <row r="1067" spans="2:14" x14ac:dyDescent="0.2">
      <c r="B1067" s="74"/>
      <c r="C1067"/>
      <c r="D1067" s="74"/>
      <c r="E1067" s="74"/>
      <c r="F1067" s="74"/>
      <c r="G1067" s="74"/>
      <c r="I1067" s="110"/>
      <c r="J1067" s="111"/>
      <c r="K1067"/>
      <c r="L1067"/>
      <c r="M1067"/>
      <c r="N1067"/>
    </row>
    <row r="1068" spans="2:14" x14ac:dyDescent="0.2">
      <c r="B1068" s="74"/>
      <c r="C1068"/>
      <c r="D1068" s="74"/>
      <c r="E1068" s="74"/>
      <c r="F1068" s="74"/>
      <c r="G1068" s="74"/>
      <c r="I1068" s="110"/>
      <c r="J1068" s="111"/>
      <c r="K1068"/>
      <c r="L1068"/>
      <c r="M1068"/>
      <c r="N1068"/>
    </row>
    <row r="1069" spans="2:14" x14ac:dyDescent="0.2">
      <c r="B1069" s="74"/>
      <c r="C1069"/>
      <c r="D1069" s="74"/>
      <c r="E1069" s="74"/>
      <c r="F1069" s="74"/>
      <c r="G1069" s="74"/>
      <c r="I1069" s="110"/>
      <c r="J1069" s="111"/>
      <c r="K1069"/>
      <c r="L1069"/>
      <c r="M1069"/>
      <c r="N1069"/>
    </row>
    <row r="1070" spans="2:14" x14ac:dyDescent="0.2">
      <c r="B1070" s="74"/>
      <c r="C1070"/>
      <c r="D1070" s="74"/>
      <c r="E1070" s="74"/>
      <c r="F1070" s="74"/>
      <c r="G1070" s="74"/>
      <c r="I1070" s="110"/>
      <c r="J1070" s="111"/>
      <c r="K1070"/>
      <c r="L1070"/>
      <c r="M1070"/>
      <c r="N1070"/>
    </row>
    <row r="1071" spans="2:14" x14ac:dyDescent="0.2">
      <c r="B1071" s="74"/>
      <c r="C1071"/>
      <c r="D1071" s="74"/>
      <c r="E1071" s="74"/>
      <c r="F1071" s="74"/>
      <c r="G1071" s="74"/>
      <c r="I1071" s="110"/>
      <c r="J1071" s="111"/>
      <c r="K1071"/>
      <c r="L1071"/>
      <c r="M1071"/>
      <c r="N1071"/>
    </row>
    <row r="1072" spans="2:14" x14ac:dyDescent="0.2">
      <c r="B1072" s="74"/>
      <c r="C1072"/>
      <c r="D1072" s="74"/>
      <c r="E1072" s="74"/>
      <c r="F1072" s="74"/>
      <c r="G1072" s="74"/>
      <c r="I1072" s="110"/>
      <c r="J1072" s="111"/>
      <c r="K1072"/>
      <c r="L1072"/>
      <c r="M1072"/>
      <c r="N1072"/>
    </row>
    <row r="1073" spans="2:14" x14ac:dyDescent="0.2">
      <c r="B1073" s="74"/>
      <c r="C1073"/>
      <c r="D1073" s="74"/>
      <c r="E1073" s="74"/>
      <c r="F1073" s="74"/>
      <c r="G1073" s="74"/>
      <c r="I1073" s="110"/>
      <c r="J1073" s="111"/>
      <c r="K1073"/>
      <c r="L1073"/>
      <c r="M1073"/>
      <c r="N1073"/>
    </row>
    <row r="1074" spans="2:14" x14ac:dyDescent="0.2">
      <c r="B1074" s="74"/>
      <c r="C1074"/>
      <c r="D1074" s="74"/>
      <c r="E1074" s="74"/>
      <c r="F1074" s="74"/>
      <c r="G1074" s="74"/>
      <c r="I1074" s="110"/>
      <c r="J1074" s="111"/>
      <c r="K1074"/>
      <c r="L1074"/>
      <c r="M1074"/>
      <c r="N1074"/>
    </row>
    <row r="1075" spans="2:14" x14ac:dyDescent="0.2">
      <c r="B1075" s="74"/>
      <c r="C1075"/>
      <c r="D1075" s="74"/>
      <c r="E1075" s="74"/>
      <c r="F1075" s="74"/>
      <c r="G1075" s="74"/>
      <c r="I1075" s="110"/>
      <c r="J1075" s="111"/>
      <c r="K1075"/>
      <c r="L1075"/>
      <c r="M1075"/>
      <c r="N1075"/>
    </row>
    <row r="1076" spans="2:14" x14ac:dyDescent="0.2">
      <c r="B1076" s="74"/>
      <c r="C1076"/>
      <c r="D1076" s="74"/>
      <c r="E1076" s="74"/>
      <c r="F1076" s="74"/>
      <c r="G1076" s="74"/>
      <c r="I1076" s="110"/>
      <c r="J1076" s="111"/>
      <c r="K1076"/>
      <c r="L1076"/>
      <c r="M1076"/>
      <c r="N1076"/>
    </row>
    <row r="1077" spans="2:14" x14ac:dyDescent="0.2">
      <c r="B1077" s="74"/>
      <c r="C1077"/>
      <c r="D1077" s="74"/>
      <c r="E1077" s="74"/>
      <c r="F1077" s="74"/>
      <c r="G1077" s="74"/>
      <c r="I1077" s="110"/>
      <c r="J1077" s="111"/>
      <c r="K1077"/>
      <c r="L1077"/>
      <c r="M1077"/>
      <c r="N1077"/>
    </row>
    <row r="1078" spans="2:14" x14ac:dyDescent="0.2">
      <c r="B1078" s="74"/>
      <c r="C1078"/>
      <c r="D1078" s="74"/>
      <c r="E1078" s="74"/>
      <c r="F1078" s="74"/>
      <c r="G1078" s="74"/>
      <c r="I1078" s="110"/>
      <c r="J1078" s="111"/>
      <c r="K1078"/>
      <c r="L1078"/>
      <c r="M1078"/>
      <c r="N1078"/>
    </row>
    <row r="1079" spans="2:14" x14ac:dyDescent="0.2">
      <c r="B1079" s="74"/>
      <c r="C1079"/>
      <c r="D1079" s="74"/>
      <c r="E1079" s="74"/>
      <c r="F1079" s="74"/>
      <c r="G1079" s="74"/>
      <c r="I1079" s="110"/>
      <c r="J1079" s="111"/>
      <c r="K1079"/>
      <c r="L1079"/>
      <c r="M1079"/>
      <c r="N1079"/>
    </row>
    <row r="1080" spans="2:14" x14ac:dyDescent="0.2">
      <c r="B1080" s="74"/>
      <c r="C1080"/>
      <c r="D1080" s="74"/>
      <c r="E1080" s="74"/>
      <c r="F1080" s="74"/>
      <c r="G1080" s="74"/>
      <c r="I1080" s="110"/>
      <c r="J1080" s="111"/>
      <c r="K1080"/>
      <c r="L1080"/>
      <c r="M1080"/>
      <c r="N1080"/>
    </row>
    <row r="1081" spans="2:14" x14ac:dyDescent="0.2">
      <c r="B1081" s="74"/>
      <c r="C1081"/>
      <c r="D1081" s="74"/>
      <c r="E1081" s="74"/>
      <c r="F1081" s="74"/>
      <c r="G1081" s="74"/>
      <c r="I1081" s="110"/>
      <c r="J1081" s="111"/>
      <c r="K1081"/>
      <c r="L1081"/>
      <c r="M1081"/>
      <c r="N1081"/>
    </row>
    <row r="1082" spans="2:14" x14ac:dyDescent="0.2">
      <c r="B1082" s="74"/>
      <c r="C1082"/>
      <c r="D1082" s="74"/>
      <c r="E1082" s="74"/>
      <c r="F1082" s="74"/>
      <c r="G1082" s="74"/>
      <c r="I1082" s="110"/>
      <c r="J1082" s="111"/>
      <c r="K1082"/>
      <c r="L1082"/>
      <c r="M1082"/>
      <c r="N1082"/>
    </row>
    <row r="1083" spans="2:14" x14ac:dyDescent="0.2">
      <c r="B1083" s="74"/>
      <c r="C1083"/>
      <c r="D1083" s="74"/>
      <c r="E1083" s="74"/>
      <c r="F1083" s="74"/>
      <c r="G1083" s="74"/>
      <c r="I1083" s="110"/>
      <c r="J1083" s="111"/>
      <c r="K1083"/>
      <c r="L1083"/>
      <c r="M1083"/>
      <c r="N1083"/>
    </row>
    <row r="1084" spans="2:14" x14ac:dyDescent="0.2">
      <c r="B1084" s="74"/>
      <c r="C1084"/>
      <c r="D1084" s="74"/>
      <c r="E1084" s="74"/>
      <c r="F1084" s="74"/>
      <c r="G1084" s="74"/>
      <c r="I1084" s="110"/>
      <c r="J1084" s="111"/>
      <c r="K1084"/>
      <c r="L1084"/>
      <c r="M1084"/>
      <c r="N1084"/>
    </row>
    <row r="1085" spans="2:14" x14ac:dyDescent="0.2">
      <c r="B1085" s="74"/>
      <c r="C1085"/>
      <c r="D1085" s="74"/>
      <c r="E1085" s="74"/>
      <c r="F1085" s="74"/>
      <c r="G1085" s="74"/>
      <c r="I1085" s="110"/>
      <c r="J1085" s="111"/>
      <c r="K1085"/>
      <c r="L1085"/>
      <c r="M1085"/>
      <c r="N1085"/>
    </row>
    <row r="1086" spans="2:14" x14ac:dyDescent="0.2">
      <c r="B1086" s="74"/>
      <c r="C1086"/>
      <c r="D1086" s="74"/>
      <c r="E1086" s="74"/>
      <c r="F1086" s="74"/>
      <c r="G1086" s="74"/>
      <c r="I1086" s="110"/>
      <c r="J1086" s="111"/>
      <c r="K1086"/>
      <c r="L1086"/>
      <c r="M1086"/>
      <c r="N1086"/>
    </row>
    <row r="1087" spans="2:14" x14ac:dyDescent="0.2">
      <c r="B1087" s="74"/>
      <c r="C1087"/>
      <c r="D1087" s="74"/>
      <c r="E1087" s="74"/>
      <c r="F1087" s="74"/>
      <c r="G1087" s="74"/>
      <c r="I1087" s="110"/>
      <c r="J1087" s="111"/>
      <c r="K1087"/>
      <c r="L1087"/>
      <c r="M1087"/>
      <c r="N1087"/>
    </row>
    <row r="1088" spans="2:14" x14ac:dyDescent="0.2">
      <c r="B1088" s="74"/>
      <c r="C1088"/>
      <c r="D1088" s="74"/>
      <c r="E1088" s="74"/>
      <c r="F1088" s="74"/>
      <c r="G1088" s="74"/>
      <c r="I1088" s="110"/>
      <c r="J1088" s="111"/>
      <c r="K1088"/>
      <c r="L1088"/>
      <c r="M1088"/>
      <c r="N1088"/>
    </row>
    <row r="1089" spans="2:14" x14ac:dyDescent="0.2">
      <c r="B1089" s="74"/>
      <c r="C1089"/>
      <c r="D1089" s="74"/>
      <c r="E1089" s="74"/>
      <c r="F1089" s="74"/>
      <c r="G1089" s="74"/>
      <c r="I1089" s="110"/>
      <c r="J1089" s="111"/>
      <c r="K1089"/>
      <c r="L1089"/>
      <c r="M1089"/>
      <c r="N1089"/>
    </row>
    <row r="1090" spans="2:14" x14ac:dyDescent="0.2">
      <c r="B1090" s="74"/>
      <c r="C1090"/>
      <c r="D1090" s="74"/>
      <c r="E1090" s="74"/>
      <c r="F1090" s="74"/>
      <c r="G1090" s="74"/>
      <c r="I1090" s="110"/>
      <c r="J1090" s="111"/>
      <c r="K1090"/>
      <c r="L1090"/>
      <c r="M1090"/>
      <c r="N1090"/>
    </row>
    <row r="1091" spans="2:14" x14ac:dyDescent="0.2">
      <c r="B1091" s="74"/>
      <c r="C1091"/>
      <c r="D1091" s="74"/>
      <c r="E1091" s="74"/>
      <c r="F1091" s="74"/>
      <c r="G1091" s="74"/>
      <c r="I1091" s="110"/>
      <c r="J1091" s="111"/>
      <c r="K1091"/>
      <c r="L1091"/>
      <c r="M1091"/>
      <c r="N1091"/>
    </row>
    <row r="1092" spans="2:14" x14ac:dyDescent="0.2">
      <c r="B1092" s="74"/>
      <c r="C1092"/>
      <c r="D1092" s="74"/>
      <c r="E1092" s="74"/>
      <c r="F1092" s="74"/>
      <c r="G1092" s="74"/>
      <c r="I1092" s="110"/>
      <c r="J1092" s="111"/>
      <c r="K1092"/>
      <c r="L1092"/>
      <c r="M1092"/>
      <c r="N1092"/>
    </row>
    <row r="1093" spans="2:14" x14ac:dyDescent="0.2">
      <c r="B1093" s="74"/>
      <c r="C1093"/>
      <c r="D1093" s="74"/>
      <c r="E1093" s="74"/>
      <c r="F1093" s="74"/>
      <c r="G1093" s="74"/>
      <c r="I1093" s="110"/>
      <c r="J1093" s="111"/>
      <c r="K1093"/>
      <c r="L1093"/>
      <c r="M1093"/>
      <c r="N1093"/>
    </row>
    <row r="1094" spans="2:14" x14ac:dyDescent="0.2">
      <c r="B1094" s="74"/>
      <c r="C1094"/>
      <c r="D1094" s="74"/>
      <c r="E1094" s="74"/>
      <c r="F1094" s="74"/>
      <c r="G1094" s="74"/>
      <c r="I1094" s="110"/>
      <c r="J1094" s="111"/>
      <c r="K1094"/>
      <c r="L1094"/>
      <c r="M1094"/>
      <c r="N1094"/>
    </row>
    <row r="1095" spans="2:14" x14ac:dyDescent="0.2">
      <c r="B1095" s="74"/>
      <c r="C1095"/>
      <c r="D1095" s="74"/>
      <c r="E1095" s="74"/>
      <c r="F1095" s="74"/>
      <c r="G1095" s="74"/>
      <c r="I1095" s="110"/>
      <c r="J1095" s="111"/>
      <c r="K1095"/>
      <c r="L1095"/>
      <c r="M1095"/>
      <c r="N1095"/>
    </row>
    <row r="1096" spans="2:14" x14ac:dyDescent="0.2">
      <c r="B1096" s="74"/>
      <c r="C1096"/>
      <c r="D1096" s="74"/>
      <c r="E1096" s="74"/>
      <c r="F1096" s="74"/>
      <c r="G1096" s="74"/>
      <c r="I1096" s="110"/>
      <c r="J1096" s="111"/>
      <c r="K1096"/>
      <c r="L1096"/>
      <c r="M1096"/>
      <c r="N1096"/>
    </row>
    <row r="1097" spans="2:14" x14ac:dyDescent="0.2">
      <c r="B1097" s="74"/>
      <c r="C1097"/>
      <c r="D1097" s="74"/>
      <c r="E1097" s="74"/>
      <c r="F1097" s="74"/>
      <c r="G1097" s="74"/>
      <c r="I1097" s="110"/>
      <c r="J1097" s="111"/>
      <c r="K1097"/>
      <c r="L1097"/>
      <c r="M1097"/>
      <c r="N1097"/>
    </row>
    <row r="1098" spans="2:14" x14ac:dyDescent="0.2">
      <c r="B1098" s="74"/>
      <c r="C1098"/>
      <c r="D1098" s="74"/>
      <c r="E1098" s="74"/>
      <c r="F1098" s="74"/>
      <c r="G1098" s="74"/>
      <c r="I1098" s="110"/>
      <c r="J1098" s="111"/>
      <c r="K1098"/>
      <c r="L1098"/>
      <c r="M1098"/>
      <c r="N1098"/>
    </row>
    <row r="1099" spans="2:14" x14ac:dyDescent="0.2">
      <c r="B1099" s="74"/>
      <c r="C1099"/>
      <c r="D1099" s="74"/>
      <c r="E1099" s="74"/>
      <c r="F1099" s="74"/>
      <c r="G1099" s="74"/>
      <c r="I1099" s="110"/>
      <c r="J1099" s="111"/>
      <c r="K1099"/>
      <c r="L1099"/>
      <c r="M1099"/>
      <c r="N1099"/>
    </row>
    <row r="1100" spans="2:14" x14ac:dyDescent="0.2">
      <c r="B1100" s="74"/>
      <c r="C1100"/>
      <c r="D1100" s="74"/>
      <c r="E1100" s="74"/>
      <c r="F1100" s="74"/>
      <c r="G1100" s="74"/>
      <c r="I1100" s="110"/>
      <c r="J1100" s="111"/>
      <c r="K1100"/>
      <c r="L1100"/>
      <c r="M1100"/>
      <c r="N1100"/>
    </row>
    <row r="1101" spans="2:14" x14ac:dyDescent="0.2">
      <c r="B1101" s="74"/>
      <c r="C1101"/>
      <c r="D1101" s="74"/>
      <c r="E1101" s="74"/>
      <c r="F1101" s="74"/>
      <c r="G1101" s="74"/>
      <c r="I1101" s="110"/>
      <c r="J1101" s="111"/>
      <c r="K1101"/>
      <c r="L1101"/>
      <c r="M1101"/>
      <c r="N1101"/>
    </row>
    <row r="1102" spans="2:14" x14ac:dyDescent="0.2">
      <c r="B1102" s="74"/>
      <c r="C1102"/>
      <c r="D1102" s="74"/>
      <c r="E1102" s="74"/>
      <c r="F1102" s="74"/>
      <c r="G1102" s="74"/>
      <c r="I1102" s="110"/>
      <c r="J1102" s="111"/>
      <c r="K1102"/>
      <c r="L1102"/>
      <c r="M1102"/>
      <c r="N1102"/>
    </row>
    <row r="1103" spans="2:14" x14ac:dyDescent="0.2">
      <c r="B1103" s="74"/>
      <c r="C1103"/>
      <c r="D1103" s="74"/>
      <c r="E1103" s="74"/>
      <c r="F1103" s="74"/>
      <c r="G1103" s="74"/>
      <c r="I1103" s="110"/>
      <c r="J1103" s="111"/>
      <c r="K1103"/>
      <c r="L1103"/>
      <c r="M1103"/>
      <c r="N1103"/>
    </row>
    <row r="1104" spans="2:14" x14ac:dyDescent="0.2">
      <c r="B1104" s="74"/>
      <c r="C1104"/>
      <c r="D1104" s="74"/>
      <c r="E1104" s="74"/>
      <c r="F1104" s="74"/>
      <c r="G1104" s="74"/>
      <c r="I1104" s="110"/>
      <c r="J1104" s="111"/>
      <c r="K1104"/>
      <c r="L1104"/>
      <c r="M1104"/>
      <c r="N1104"/>
    </row>
    <row r="1105" spans="2:14" x14ac:dyDescent="0.2">
      <c r="B1105" s="74"/>
      <c r="C1105"/>
      <c r="D1105" s="74"/>
      <c r="E1105" s="74"/>
      <c r="F1105" s="74"/>
      <c r="G1105" s="74"/>
      <c r="I1105" s="110"/>
      <c r="J1105" s="111"/>
      <c r="K1105"/>
      <c r="L1105"/>
      <c r="M1105"/>
      <c r="N1105"/>
    </row>
    <row r="1106" spans="2:14" x14ac:dyDescent="0.2">
      <c r="B1106" s="74"/>
      <c r="C1106"/>
      <c r="D1106" s="74"/>
      <c r="E1106" s="74"/>
      <c r="F1106" s="74"/>
      <c r="G1106" s="74"/>
      <c r="I1106" s="110"/>
      <c r="J1106" s="111"/>
      <c r="K1106"/>
      <c r="L1106"/>
      <c r="M1106"/>
      <c r="N1106"/>
    </row>
    <row r="1107" spans="2:14" x14ac:dyDescent="0.2">
      <c r="B1107" s="74"/>
      <c r="C1107"/>
      <c r="D1107" s="74"/>
      <c r="E1107" s="74"/>
      <c r="F1107" s="74"/>
      <c r="G1107" s="74"/>
      <c r="I1107" s="110"/>
      <c r="J1107" s="111"/>
      <c r="K1107"/>
      <c r="L1107"/>
      <c r="M1107"/>
      <c r="N1107"/>
    </row>
    <row r="1108" spans="2:14" x14ac:dyDescent="0.2">
      <c r="B1108" s="74"/>
      <c r="C1108"/>
      <c r="D1108" s="74"/>
      <c r="E1108" s="74"/>
      <c r="F1108" s="74"/>
      <c r="G1108" s="74"/>
      <c r="I1108" s="110"/>
      <c r="J1108" s="111"/>
      <c r="K1108"/>
      <c r="L1108"/>
      <c r="M1108"/>
      <c r="N1108"/>
    </row>
    <row r="1109" spans="2:14" x14ac:dyDescent="0.2">
      <c r="B1109" s="74"/>
      <c r="C1109"/>
      <c r="D1109" s="74"/>
      <c r="E1109" s="74"/>
      <c r="F1109" s="74"/>
      <c r="G1109" s="74"/>
      <c r="I1109" s="110"/>
      <c r="J1109" s="111"/>
      <c r="K1109"/>
      <c r="L1109"/>
      <c r="M1109"/>
      <c r="N1109"/>
    </row>
    <row r="1110" spans="2:14" x14ac:dyDescent="0.2">
      <c r="B1110" s="74"/>
      <c r="C1110"/>
      <c r="D1110" s="74"/>
      <c r="E1110" s="74"/>
      <c r="F1110" s="74"/>
      <c r="G1110" s="74"/>
      <c r="I1110" s="110"/>
      <c r="J1110" s="111"/>
      <c r="K1110"/>
      <c r="L1110"/>
      <c r="M1110"/>
      <c r="N1110"/>
    </row>
    <row r="1111" spans="2:14" x14ac:dyDescent="0.2">
      <c r="B1111" s="74"/>
      <c r="C1111"/>
      <c r="D1111" s="74"/>
      <c r="E1111" s="74"/>
      <c r="F1111" s="74"/>
      <c r="G1111" s="74"/>
      <c r="I1111" s="110"/>
      <c r="J1111" s="111"/>
      <c r="K1111"/>
      <c r="L1111"/>
      <c r="M1111"/>
      <c r="N1111"/>
    </row>
    <row r="1112" spans="2:14" x14ac:dyDescent="0.2">
      <c r="B1112" s="74"/>
      <c r="C1112"/>
      <c r="D1112" s="74"/>
      <c r="E1112" s="74"/>
      <c r="F1112" s="74"/>
      <c r="G1112" s="74"/>
      <c r="I1112" s="110"/>
      <c r="J1112" s="111"/>
      <c r="K1112"/>
      <c r="L1112"/>
      <c r="M1112"/>
      <c r="N1112"/>
    </row>
    <row r="1113" spans="2:14" x14ac:dyDescent="0.2">
      <c r="B1113" s="74"/>
      <c r="C1113"/>
      <c r="D1113" s="74"/>
      <c r="E1113" s="74"/>
      <c r="F1113" s="74"/>
      <c r="G1113" s="74"/>
      <c r="I1113" s="110"/>
      <c r="J1113" s="111"/>
      <c r="K1113"/>
      <c r="L1113"/>
      <c r="M1113"/>
      <c r="N1113"/>
    </row>
    <row r="1114" spans="2:14" x14ac:dyDescent="0.2">
      <c r="B1114" s="74"/>
      <c r="C1114"/>
      <c r="D1114" s="74"/>
      <c r="E1114" s="74"/>
      <c r="F1114" s="74"/>
      <c r="G1114" s="74"/>
      <c r="I1114" s="110"/>
      <c r="J1114" s="111"/>
      <c r="K1114"/>
      <c r="L1114"/>
      <c r="M1114"/>
      <c r="N1114"/>
    </row>
    <row r="1115" spans="2:14" x14ac:dyDescent="0.2">
      <c r="B1115" s="74"/>
      <c r="C1115"/>
      <c r="D1115" s="74"/>
      <c r="E1115" s="74"/>
      <c r="F1115" s="74"/>
      <c r="G1115" s="74"/>
      <c r="I1115" s="110"/>
      <c r="J1115" s="111"/>
      <c r="K1115"/>
      <c r="L1115"/>
      <c r="M1115"/>
      <c r="N1115"/>
    </row>
    <row r="1116" spans="2:14" x14ac:dyDescent="0.2">
      <c r="B1116" s="74"/>
      <c r="C1116"/>
      <c r="D1116" s="74"/>
      <c r="E1116" s="74"/>
      <c r="F1116" s="74"/>
      <c r="G1116" s="74"/>
      <c r="I1116" s="110"/>
      <c r="J1116" s="111"/>
      <c r="K1116"/>
      <c r="L1116"/>
      <c r="M1116"/>
      <c r="N1116"/>
    </row>
    <row r="1117" spans="2:14" x14ac:dyDescent="0.2">
      <c r="B1117" s="74"/>
      <c r="C1117"/>
      <c r="D1117" s="74"/>
      <c r="E1117" s="74"/>
      <c r="F1117" s="74"/>
      <c r="G1117" s="74"/>
      <c r="I1117" s="110"/>
      <c r="J1117" s="111"/>
      <c r="K1117"/>
      <c r="L1117"/>
      <c r="M1117"/>
      <c r="N1117"/>
    </row>
    <row r="1118" spans="2:14" x14ac:dyDescent="0.2">
      <c r="B1118" s="74"/>
      <c r="C1118"/>
      <c r="D1118" s="74"/>
      <c r="E1118" s="74"/>
      <c r="F1118" s="74"/>
      <c r="G1118" s="74"/>
      <c r="I1118" s="110"/>
      <c r="J1118" s="111"/>
      <c r="K1118"/>
      <c r="L1118"/>
      <c r="M1118"/>
      <c r="N1118"/>
    </row>
    <row r="1119" spans="2:14" x14ac:dyDescent="0.2">
      <c r="B1119" s="74"/>
      <c r="C1119"/>
      <c r="D1119" s="74"/>
      <c r="E1119" s="74"/>
      <c r="F1119" s="74"/>
      <c r="G1119" s="74"/>
      <c r="I1119" s="110"/>
      <c r="J1119" s="111"/>
      <c r="K1119"/>
      <c r="L1119"/>
      <c r="M1119"/>
      <c r="N1119"/>
    </row>
    <row r="1120" spans="2:14" x14ac:dyDescent="0.2">
      <c r="B1120" s="74"/>
      <c r="C1120"/>
      <c r="D1120" s="74"/>
      <c r="E1120" s="74"/>
      <c r="F1120" s="74"/>
      <c r="G1120" s="74"/>
      <c r="I1120" s="110"/>
      <c r="J1120" s="111"/>
      <c r="K1120"/>
      <c r="L1120"/>
      <c r="M1120"/>
      <c r="N1120"/>
    </row>
    <row r="1121" spans="2:14" x14ac:dyDescent="0.2">
      <c r="B1121" s="74"/>
      <c r="C1121"/>
      <c r="D1121" s="74"/>
      <c r="E1121" s="74"/>
      <c r="F1121" s="74"/>
      <c r="G1121" s="74"/>
      <c r="I1121" s="110"/>
      <c r="J1121" s="111"/>
      <c r="K1121"/>
      <c r="L1121"/>
      <c r="M1121"/>
      <c r="N1121"/>
    </row>
    <row r="1122" spans="2:14" x14ac:dyDescent="0.2">
      <c r="B1122" s="74"/>
      <c r="C1122"/>
      <c r="D1122" s="74"/>
      <c r="E1122" s="74"/>
      <c r="F1122" s="74"/>
      <c r="G1122" s="74"/>
      <c r="I1122" s="110"/>
      <c r="J1122" s="111"/>
      <c r="K1122"/>
      <c r="L1122"/>
      <c r="M1122"/>
      <c r="N1122"/>
    </row>
    <row r="1123" spans="2:14" x14ac:dyDescent="0.2">
      <c r="B1123" s="74"/>
      <c r="C1123"/>
      <c r="D1123" s="74"/>
      <c r="E1123" s="74"/>
      <c r="F1123" s="74"/>
      <c r="G1123" s="74"/>
      <c r="I1123" s="110"/>
      <c r="J1123" s="111"/>
      <c r="K1123"/>
      <c r="L1123"/>
      <c r="M1123"/>
      <c r="N1123"/>
    </row>
    <row r="1124" spans="2:14" x14ac:dyDescent="0.2">
      <c r="B1124" s="74"/>
      <c r="C1124"/>
      <c r="D1124" s="74"/>
      <c r="E1124" s="74"/>
      <c r="F1124" s="74"/>
      <c r="G1124" s="74"/>
      <c r="I1124" s="110"/>
      <c r="J1124" s="111"/>
      <c r="K1124"/>
      <c r="L1124"/>
      <c r="M1124"/>
      <c r="N1124"/>
    </row>
    <row r="1125" spans="2:14" x14ac:dyDescent="0.2">
      <c r="B1125" s="74"/>
      <c r="C1125"/>
      <c r="D1125" s="74"/>
      <c r="E1125" s="74"/>
      <c r="F1125" s="74"/>
      <c r="G1125" s="74"/>
      <c r="I1125" s="110"/>
      <c r="J1125" s="111"/>
      <c r="K1125"/>
      <c r="L1125"/>
      <c r="M1125"/>
      <c r="N1125"/>
    </row>
    <row r="1126" spans="2:14" x14ac:dyDescent="0.2">
      <c r="B1126" s="74"/>
      <c r="C1126"/>
      <c r="D1126" s="74"/>
      <c r="E1126" s="74"/>
      <c r="F1126" s="74"/>
      <c r="G1126" s="74"/>
      <c r="I1126" s="110"/>
      <c r="J1126" s="111"/>
      <c r="K1126"/>
      <c r="L1126"/>
      <c r="M1126"/>
      <c r="N1126"/>
    </row>
    <row r="1127" spans="2:14" x14ac:dyDescent="0.2">
      <c r="B1127" s="74"/>
      <c r="C1127"/>
      <c r="D1127" s="74"/>
      <c r="E1127" s="74"/>
      <c r="F1127" s="74"/>
      <c r="G1127" s="74"/>
      <c r="I1127" s="110"/>
      <c r="J1127" s="111"/>
      <c r="K1127"/>
      <c r="L1127"/>
      <c r="M1127"/>
      <c r="N1127"/>
    </row>
    <row r="1128" spans="2:14" x14ac:dyDescent="0.2">
      <c r="B1128" s="74"/>
      <c r="C1128"/>
      <c r="D1128" s="74"/>
      <c r="E1128" s="74"/>
      <c r="F1128" s="74"/>
      <c r="G1128" s="74"/>
      <c r="I1128" s="110"/>
      <c r="J1128" s="111"/>
      <c r="K1128"/>
      <c r="L1128"/>
      <c r="M1128"/>
      <c r="N1128"/>
    </row>
    <row r="1129" spans="2:14" x14ac:dyDescent="0.2">
      <c r="B1129" s="74"/>
      <c r="C1129"/>
      <c r="D1129" s="74"/>
      <c r="E1129" s="74"/>
      <c r="F1129" s="74"/>
      <c r="G1129" s="74"/>
      <c r="I1129" s="110"/>
      <c r="J1129" s="111"/>
      <c r="K1129"/>
      <c r="L1129"/>
      <c r="M1129"/>
      <c r="N1129"/>
    </row>
    <row r="1130" spans="2:14" x14ac:dyDescent="0.2">
      <c r="B1130" s="74"/>
      <c r="C1130"/>
      <c r="D1130" s="74"/>
      <c r="E1130" s="74"/>
      <c r="F1130" s="74"/>
      <c r="G1130" s="74"/>
      <c r="I1130" s="110"/>
      <c r="J1130" s="111"/>
      <c r="K1130"/>
      <c r="L1130"/>
      <c r="M1130"/>
      <c r="N1130"/>
    </row>
    <row r="1131" spans="2:14" x14ac:dyDescent="0.2">
      <c r="B1131" s="74"/>
      <c r="C1131"/>
      <c r="D1131" s="74"/>
      <c r="E1131" s="74"/>
      <c r="F1131" s="74"/>
      <c r="G1131" s="74"/>
      <c r="I1131" s="110"/>
      <c r="J1131" s="111"/>
      <c r="K1131"/>
      <c r="L1131"/>
      <c r="M1131"/>
      <c r="N1131"/>
    </row>
    <row r="1132" spans="2:14" x14ac:dyDescent="0.2">
      <c r="B1132" s="74"/>
      <c r="C1132"/>
      <c r="D1132" s="74"/>
      <c r="E1132" s="74"/>
      <c r="F1132" s="74"/>
      <c r="G1132" s="74"/>
      <c r="I1132" s="110"/>
      <c r="J1132" s="111"/>
      <c r="K1132"/>
      <c r="L1132"/>
      <c r="M1132"/>
      <c r="N1132"/>
    </row>
    <row r="1133" spans="2:14" x14ac:dyDescent="0.2">
      <c r="B1133" s="74"/>
      <c r="C1133"/>
      <c r="D1133" s="74"/>
      <c r="E1133" s="74"/>
      <c r="F1133" s="74"/>
      <c r="G1133" s="74"/>
      <c r="I1133" s="110"/>
      <c r="J1133" s="111"/>
      <c r="K1133"/>
      <c r="L1133"/>
      <c r="M1133"/>
      <c r="N1133"/>
    </row>
    <row r="1134" spans="2:14" x14ac:dyDescent="0.2">
      <c r="B1134" s="74"/>
      <c r="C1134"/>
      <c r="D1134" s="74"/>
      <c r="E1134" s="74"/>
      <c r="F1134" s="74"/>
      <c r="G1134" s="74"/>
      <c r="I1134" s="110"/>
      <c r="J1134" s="111"/>
      <c r="K1134"/>
      <c r="L1134"/>
      <c r="M1134"/>
      <c r="N1134"/>
    </row>
    <row r="1135" spans="2:14" x14ac:dyDescent="0.2">
      <c r="B1135" s="74"/>
      <c r="C1135"/>
      <c r="D1135" s="74"/>
      <c r="E1135" s="74"/>
      <c r="F1135" s="74"/>
      <c r="G1135" s="74"/>
      <c r="I1135" s="110"/>
      <c r="J1135" s="111"/>
      <c r="K1135"/>
      <c r="L1135"/>
      <c r="M1135"/>
      <c r="N1135"/>
    </row>
    <row r="1136" spans="2:14" x14ac:dyDescent="0.2">
      <c r="B1136" s="74"/>
      <c r="C1136"/>
      <c r="D1136" s="74"/>
      <c r="E1136" s="74"/>
      <c r="F1136" s="74"/>
      <c r="G1136" s="74"/>
      <c r="I1136" s="110"/>
      <c r="J1136" s="111"/>
      <c r="K1136"/>
      <c r="L1136"/>
      <c r="M1136"/>
      <c r="N1136"/>
    </row>
    <row r="1137" spans="2:14" x14ac:dyDescent="0.2">
      <c r="B1137" s="74"/>
      <c r="C1137"/>
      <c r="D1137" s="74"/>
      <c r="E1137" s="74"/>
      <c r="F1137" s="74"/>
      <c r="G1137" s="74"/>
      <c r="I1137" s="110"/>
      <c r="J1137" s="111"/>
      <c r="K1137"/>
      <c r="L1137"/>
      <c r="M1137"/>
      <c r="N1137"/>
    </row>
    <row r="1138" spans="2:14" x14ac:dyDescent="0.2">
      <c r="B1138" s="74"/>
      <c r="C1138"/>
      <c r="D1138" s="74"/>
      <c r="E1138" s="74"/>
      <c r="F1138" s="74"/>
      <c r="G1138" s="74"/>
      <c r="I1138" s="110"/>
      <c r="J1138" s="111"/>
      <c r="K1138"/>
      <c r="L1138"/>
      <c r="M1138"/>
      <c r="N1138"/>
    </row>
    <row r="1139" spans="2:14" x14ac:dyDescent="0.2">
      <c r="B1139" s="74"/>
      <c r="C1139"/>
      <c r="D1139" s="74"/>
      <c r="E1139" s="74"/>
      <c r="F1139" s="74"/>
      <c r="G1139" s="74"/>
      <c r="I1139" s="110"/>
      <c r="J1139" s="111"/>
      <c r="K1139"/>
      <c r="L1139"/>
      <c r="M1139"/>
      <c r="N1139"/>
    </row>
    <row r="1140" spans="2:14" x14ac:dyDescent="0.2">
      <c r="B1140" s="74"/>
      <c r="C1140"/>
      <c r="D1140" s="74"/>
      <c r="E1140" s="74"/>
      <c r="F1140" s="74"/>
      <c r="G1140" s="74"/>
      <c r="I1140" s="110"/>
      <c r="J1140" s="111"/>
      <c r="K1140"/>
      <c r="L1140"/>
      <c r="M1140"/>
      <c r="N1140"/>
    </row>
    <row r="1141" spans="2:14" x14ac:dyDescent="0.2">
      <c r="B1141" s="74"/>
      <c r="C1141"/>
      <c r="D1141" s="74"/>
      <c r="E1141" s="74"/>
      <c r="F1141" s="74"/>
      <c r="G1141" s="74"/>
      <c r="I1141" s="110"/>
      <c r="J1141" s="111"/>
      <c r="K1141"/>
      <c r="L1141"/>
      <c r="M1141"/>
      <c r="N1141"/>
    </row>
    <row r="1142" spans="2:14" x14ac:dyDescent="0.2">
      <c r="B1142" s="74"/>
      <c r="C1142"/>
      <c r="D1142" s="74"/>
      <c r="E1142" s="74"/>
      <c r="F1142" s="74"/>
      <c r="G1142" s="74"/>
      <c r="I1142" s="110"/>
      <c r="J1142" s="111"/>
      <c r="K1142"/>
      <c r="L1142"/>
      <c r="M1142"/>
      <c r="N1142"/>
    </row>
    <row r="1143" spans="2:14" x14ac:dyDescent="0.2">
      <c r="B1143" s="74"/>
      <c r="C1143"/>
      <c r="D1143" s="74"/>
      <c r="E1143" s="74"/>
      <c r="F1143" s="74"/>
      <c r="G1143" s="74"/>
      <c r="I1143" s="110"/>
      <c r="J1143" s="111"/>
      <c r="K1143"/>
      <c r="L1143"/>
      <c r="M1143"/>
      <c r="N1143"/>
    </row>
    <row r="1144" spans="2:14" x14ac:dyDescent="0.2">
      <c r="B1144" s="74"/>
      <c r="C1144"/>
      <c r="D1144" s="74"/>
      <c r="E1144" s="74"/>
      <c r="F1144" s="74"/>
      <c r="G1144" s="74"/>
      <c r="I1144" s="110"/>
      <c r="J1144" s="111"/>
      <c r="K1144"/>
      <c r="L1144"/>
      <c r="M1144"/>
      <c r="N1144"/>
    </row>
    <row r="1145" spans="2:14" x14ac:dyDescent="0.2">
      <c r="B1145" s="74"/>
      <c r="C1145"/>
      <c r="D1145" s="74"/>
      <c r="E1145" s="74"/>
      <c r="F1145" s="74"/>
      <c r="G1145" s="74"/>
      <c r="I1145" s="110"/>
      <c r="J1145" s="111"/>
      <c r="K1145"/>
      <c r="L1145"/>
      <c r="M1145"/>
      <c r="N1145"/>
    </row>
    <row r="1146" spans="2:14" x14ac:dyDescent="0.2">
      <c r="B1146" s="74"/>
      <c r="C1146"/>
      <c r="D1146" s="74"/>
      <c r="E1146" s="74"/>
      <c r="F1146" s="74"/>
      <c r="G1146" s="74"/>
      <c r="I1146" s="110"/>
      <c r="J1146" s="111"/>
      <c r="K1146"/>
      <c r="L1146"/>
      <c r="M1146"/>
      <c r="N1146"/>
    </row>
    <row r="1147" spans="2:14" x14ac:dyDescent="0.2">
      <c r="B1147" s="74"/>
      <c r="C1147"/>
      <c r="D1147" s="74"/>
      <c r="E1147" s="74"/>
      <c r="F1147" s="74"/>
      <c r="G1147" s="74"/>
      <c r="I1147" s="110"/>
      <c r="J1147" s="111"/>
      <c r="K1147"/>
      <c r="L1147"/>
      <c r="M1147"/>
      <c r="N1147"/>
    </row>
    <row r="1148" spans="2:14" x14ac:dyDescent="0.2">
      <c r="B1148" s="74"/>
      <c r="C1148"/>
      <c r="D1148" s="74"/>
      <c r="E1148" s="74"/>
      <c r="F1148" s="74"/>
      <c r="G1148" s="74"/>
      <c r="I1148" s="110"/>
      <c r="J1148" s="111"/>
      <c r="K1148"/>
      <c r="L1148"/>
      <c r="M1148"/>
      <c r="N1148"/>
    </row>
    <row r="1149" spans="2:14" x14ac:dyDescent="0.2">
      <c r="B1149" s="74"/>
      <c r="C1149"/>
      <c r="D1149" s="74"/>
      <c r="E1149" s="74"/>
      <c r="F1149" s="74"/>
      <c r="G1149" s="74"/>
      <c r="I1149" s="110"/>
      <c r="J1149" s="111"/>
      <c r="K1149"/>
      <c r="L1149"/>
      <c r="M1149"/>
      <c r="N1149"/>
    </row>
    <row r="1150" spans="2:14" x14ac:dyDescent="0.2">
      <c r="B1150" s="74"/>
      <c r="C1150"/>
      <c r="D1150" s="74"/>
      <c r="E1150" s="74"/>
      <c r="F1150" s="74"/>
      <c r="G1150" s="74"/>
      <c r="I1150" s="110"/>
      <c r="J1150" s="111"/>
      <c r="K1150"/>
      <c r="L1150"/>
      <c r="M1150"/>
      <c r="N1150"/>
    </row>
    <row r="1151" spans="2:14" x14ac:dyDescent="0.2">
      <c r="B1151" s="74"/>
      <c r="C1151"/>
      <c r="D1151" s="74"/>
      <c r="E1151" s="74"/>
      <c r="F1151" s="74"/>
      <c r="G1151" s="74"/>
      <c r="I1151" s="110"/>
      <c r="J1151" s="111"/>
      <c r="K1151"/>
      <c r="L1151"/>
      <c r="M1151"/>
      <c r="N1151"/>
    </row>
    <row r="1152" spans="2:14" x14ac:dyDescent="0.2">
      <c r="B1152" s="74"/>
      <c r="C1152"/>
      <c r="D1152" s="74"/>
      <c r="E1152" s="74"/>
      <c r="F1152" s="74"/>
      <c r="G1152" s="74"/>
      <c r="I1152" s="110"/>
      <c r="J1152" s="111"/>
      <c r="K1152"/>
      <c r="L1152"/>
      <c r="M1152"/>
      <c r="N1152"/>
    </row>
    <row r="1153" spans="2:14" x14ac:dyDescent="0.2">
      <c r="B1153" s="74"/>
      <c r="C1153"/>
      <c r="D1153" s="74"/>
      <c r="E1153" s="74"/>
      <c r="F1153" s="74"/>
      <c r="G1153" s="74"/>
      <c r="I1153" s="110"/>
      <c r="J1153" s="111"/>
      <c r="K1153"/>
      <c r="L1153"/>
      <c r="M1153"/>
      <c r="N1153"/>
    </row>
    <row r="1154" spans="2:14" x14ac:dyDescent="0.2">
      <c r="B1154" s="74"/>
      <c r="C1154"/>
      <c r="D1154" s="74"/>
      <c r="E1154" s="74"/>
      <c r="F1154" s="74"/>
      <c r="G1154" s="74"/>
      <c r="I1154" s="110"/>
      <c r="J1154" s="111"/>
      <c r="K1154"/>
      <c r="L1154"/>
      <c r="M1154"/>
      <c r="N1154"/>
    </row>
    <row r="1155" spans="2:14" x14ac:dyDescent="0.2">
      <c r="B1155" s="74"/>
      <c r="C1155"/>
      <c r="D1155" s="74"/>
      <c r="E1155" s="74"/>
      <c r="F1155" s="74"/>
      <c r="G1155" s="74"/>
      <c r="I1155" s="110"/>
      <c r="J1155" s="111"/>
      <c r="K1155"/>
      <c r="L1155"/>
      <c r="M1155"/>
      <c r="N1155"/>
    </row>
    <row r="1156" spans="2:14" x14ac:dyDescent="0.2">
      <c r="B1156" s="74"/>
      <c r="C1156"/>
      <c r="D1156" s="74"/>
      <c r="E1156" s="74"/>
      <c r="F1156" s="74"/>
      <c r="G1156" s="74"/>
      <c r="I1156" s="110"/>
      <c r="J1156" s="111"/>
      <c r="K1156"/>
      <c r="L1156"/>
      <c r="M1156"/>
      <c r="N1156"/>
    </row>
    <row r="1157" spans="2:14" x14ac:dyDescent="0.2">
      <c r="B1157" s="74"/>
      <c r="C1157"/>
      <c r="D1157" s="74"/>
      <c r="E1157" s="74"/>
      <c r="F1157" s="74"/>
      <c r="G1157" s="74"/>
      <c r="I1157" s="110"/>
      <c r="J1157" s="111"/>
      <c r="K1157"/>
      <c r="L1157"/>
      <c r="M1157"/>
      <c r="N1157"/>
    </row>
    <row r="1158" spans="2:14" x14ac:dyDescent="0.2">
      <c r="B1158" s="74"/>
      <c r="C1158"/>
      <c r="D1158" s="74"/>
      <c r="E1158" s="74"/>
      <c r="F1158" s="74"/>
      <c r="G1158" s="74"/>
      <c r="I1158" s="110"/>
      <c r="J1158" s="111"/>
      <c r="K1158"/>
      <c r="L1158"/>
      <c r="M1158"/>
      <c r="N1158"/>
    </row>
    <row r="1159" spans="2:14" x14ac:dyDescent="0.2">
      <c r="B1159" s="74"/>
      <c r="C1159"/>
      <c r="D1159" s="74"/>
      <c r="E1159" s="74"/>
      <c r="F1159" s="74"/>
      <c r="G1159" s="74"/>
      <c r="I1159" s="110"/>
      <c r="J1159" s="111"/>
      <c r="K1159"/>
      <c r="L1159"/>
      <c r="M1159"/>
      <c r="N1159"/>
    </row>
    <row r="1160" spans="2:14" x14ac:dyDescent="0.2">
      <c r="B1160" s="74"/>
      <c r="C1160"/>
      <c r="D1160" s="74"/>
      <c r="E1160" s="74"/>
      <c r="F1160" s="74"/>
      <c r="G1160" s="74"/>
      <c r="I1160" s="110"/>
      <c r="J1160" s="111"/>
      <c r="K1160"/>
      <c r="L1160"/>
      <c r="M1160"/>
      <c r="N1160"/>
    </row>
    <row r="1161" spans="2:14" x14ac:dyDescent="0.2">
      <c r="B1161" s="74"/>
      <c r="C1161"/>
      <c r="D1161" s="74"/>
      <c r="E1161" s="74"/>
      <c r="F1161" s="74"/>
      <c r="G1161" s="74"/>
      <c r="I1161" s="110"/>
      <c r="J1161" s="111"/>
      <c r="K1161"/>
      <c r="L1161"/>
      <c r="M1161"/>
      <c r="N1161"/>
    </row>
    <row r="1162" spans="2:14" x14ac:dyDescent="0.2">
      <c r="B1162" s="74"/>
      <c r="C1162"/>
      <c r="D1162" s="74"/>
      <c r="E1162" s="74"/>
      <c r="F1162" s="74"/>
      <c r="G1162" s="74"/>
      <c r="I1162" s="110"/>
      <c r="J1162" s="111"/>
      <c r="K1162"/>
      <c r="L1162"/>
      <c r="M1162"/>
      <c r="N1162"/>
    </row>
    <row r="1163" spans="2:14" x14ac:dyDescent="0.2">
      <c r="B1163" s="74"/>
      <c r="C1163"/>
      <c r="D1163" s="74"/>
      <c r="E1163" s="74"/>
      <c r="F1163" s="74"/>
      <c r="G1163" s="74"/>
      <c r="I1163" s="110"/>
      <c r="J1163" s="111"/>
      <c r="K1163"/>
      <c r="L1163"/>
      <c r="M1163"/>
      <c r="N1163"/>
    </row>
    <row r="1164" spans="2:14" x14ac:dyDescent="0.2">
      <c r="B1164" s="74"/>
      <c r="C1164"/>
      <c r="D1164" s="74"/>
      <c r="E1164" s="74"/>
      <c r="F1164" s="74"/>
      <c r="G1164" s="74"/>
      <c r="I1164" s="110"/>
      <c r="J1164" s="111"/>
      <c r="K1164"/>
      <c r="L1164"/>
      <c r="M1164"/>
      <c r="N1164"/>
    </row>
    <row r="1165" spans="2:14" x14ac:dyDescent="0.2">
      <c r="B1165" s="74"/>
      <c r="C1165"/>
      <c r="D1165" s="74"/>
      <c r="E1165" s="74"/>
      <c r="F1165" s="74"/>
      <c r="G1165" s="74"/>
      <c r="I1165" s="110"/>
      <c r="J1165" s="111"/>
      <c r="K1165"/>
      <c r="L1165"/>
      <c r="M1165"/>
      <c r="N1165"/>
    </row>
    <row r="1166" spans="2:14" x14ac:dyDescent="0.2">
      <c r="B1166" s="74"/>
      <c r="C1166"/>
      <c r="D1166" s="74"/>
      <c r="E1166" s="74"/>
      <c r="F1166" s="74"/>
      <c r="G1166" s="74"/>
      <c r="I1166" s="110"/>
      <c r="J1166" s="111"/>
      <c r="K1166"/>
      <c r="L1166"/>
      <c r="M1166"/>
      <c r="N1166"/>
    </row>
    <row r="1167" spans="2:14" x14ac:dyDescent="0.2">
      <c r="B1167" s="74"/>
      <c r="C1167"/>
      <c r="D1167" s="74"/>
      <c r="E1167" s="74"/>
      <c r="F1167" s="74"/>
      <c r="G1167" s="74"/>
      <c r="I1167" s="110"/>
      <c r="J1167" s="111"/>
      <c r="K1167"/>
      <c r="L1167"/>
      <c r="M1167"/>
      <c r="N1167"/>
    </row>
    <row r="1168" spans="2:14" x14ac:dyDescent="0.2">
      <c r="B1168" s="74"/>
      <c r="C1168"/>
      <c r="D1168" s="74"/>
      <c r="E1168" s="74"/>
      <c r="F1168" s="74"/>
      <c r="G1168" s="74"/>
      <c r="I1168" s="110"/>
      <c r="J1168" s="111"/>
      <c r="K1168"/>
      <c r="L1168"/>
      <c r="M1168"/>
      <c r="N1168"/>
    </row>
    <row r="1169" spans="2:14" x14ac:dyDescent="0.2">
      <c r="B1169" s="74"/>
      <c r="C1169"/>
      <c r="D1169" s="74"/>
      <c r="E1169" s="74"/>
      <c r="F1169" s="74"/>
      <c r="G1169" s="74"/>
      <c r="I1169" s="110"/>
      <c r="J1169" s="111"/>
      <c r="K1169"/>
      <c r="L1169"/>
      <c r="M1169"/>
      <c r="N1169"/>
    </row>
    <row r="1170" spans="2:14" x14ac:dyDescent="0.2">
      <c r="B1170" s="74"/>
      <c r="C1170"/>
      <c r="D1170" s="74"/>
      <c r="E1170" s="74"/>
      <c r="F1170" s="74"/>
      <c r="G1170" s="74"/>
      <c r="I1170" s="110"/>
      <c r="J1170" s="111"/>
      <c r="K1170"/>
      <c r="L1170"/>
      <c r="M1170"/>
      <c r="N1170"/>
    </row>
    <row r="1171" spans="2:14" x14ac:dyDescent="0.2">
      <c r="B1171" s="74"/>
      <c r="C1171"/>
      <c r="D1171" s="74"/>
      <c r="E1171" s="74"/>
      <c r="F1171" s="74"/>
      <c r="G1171" s="74"/>
      <c r="I1171" s="110"/>
      <c r="J1171" s="111"/>
      <c r="K1171"/>
      <c r="L1171"/>
      <c r="M1171"/>
      <c r="N1171"/>
    </row>
    <row r="1172" spans="2:14" x14ac:dyDescent="0.2">
      <c r="B1172" s="74"/>
      <c r="C1172"/>
      <c r="D1172" s="74"/>
      <c r="E1172" s="74"/>
      <c r="F1172" s="74"/>
      <c r="G1172" s="74"/>
      <c r="I1172" s="110"/>
      <c r="J1172" s="111"/>
      <c r="K1172"/>
      <c r="L1172"/>
      <c r="M1172"/>
      <c r="N1172"/>
    </row>
    <row r="1173" spans="2:14" x14ac:dyDescent="0.2">
      <c r="B1173" s="74"/>
      <c r="C1173"/>
      <c r="D1173" s="74"/>
      <c r="E1173" s="74"/>
      <c r="F1173" s="74"/>
      <c r="G1173" s="74"/>
      <c r="I1173" s="110"/>
      <c r="J1173" s="111"/>
      <c r="K1173"/>
      <c r="L1173"/>
      <c r="M1173"/>
      <c r="N1173"/>
    </row>
    <row r="1174" spans="2:14" x14ac:dyDescent="0.2">
      <c r="B1174" s="74"/>
      <c r="C1174"/>
      <c r="D1174" s="74"/>
      <c r="E1174" s="74"/>
      <c r="F1174" s="74"/>
      <c r="G1174" s="74"/>
      <c r="I1174" s="110"/>
      <c r="J1174" s="111"/>
      <c r="K1174"/>
      <c r="L1174"/>
      <c r="M1174"/>
      <c r="N1174"/>
    </row>
    <row r="1175" spans="2:14" x14ac:dyDescent="0.2">
      <c r="B1175" s="74"/>
      <c r="C1175"/>
      <c r="D1175" s="74"/>
      <c r="E1175" s="74"/>
      <c r="F1175" s="74"/>
      <c r="G1175" s="74"/>
      <c r="I1175" s="110"/>
      <c r="J1175" s="111"/>
      <c r="K1175"/>
      <c r="L1175"/>
      <c r="M1175"/>
      <c r="N1175"/>
    </row>
    <row r="1176" spans="2:14" x14ac:dyDescent="0.2">
      <c r="B1176" s="74"/>
      <c r="C1176"/>
      <c r="D1176" s="74"/>
      <c r="E1176" s="74"/>
      <c r="F1176" s="74"/>
      <c r="G1176" s="74"/>
      <c r="I1176" s="110"/>
      <c r="J1176" s="111"/>
      <c r="K1176"/>
      <c r="L1176"/>
      <c r="M1176"/>
      <c r="N1176"/>
    </row>
    <row r="1177" spans="2:14" x14ac:dyDescent="0.2">
      <c r="B1177" s="74"/>
      <c r="C1177"/>
      <c r="D1177" s="74"/>
      <c r="E1177" s="74"/>
      <c r="F1177" s="74"/>
      <c r="G1177" s="74"/>
      <c r="I1177" s="110"/>
      <c r="J1177" s="111"/>
      <c r="K1177"/>
      <c r="L1177"/>
      <c r="M1177"/>
      <c r="N1177"/>
    </row>
    <row r="1178" spans="2:14" x14ac:dyDescent="0.2">
      <c r="B1178" s="74"/>
      <c r="C1178"/>
      <c r="D1178" s="74"/>
      <c r="E1178" s="74"/>
      <c r="F1178" s="74"/>
      <c r="G1178" s="74"/>
      <c r="I1178" s="110"/>
      <c r="J1178" s="111"/>
      <c r="K1178"/>
      <c r="L1178"/>
      <c r="M1178"/>
      <c r="N1178"/>
    </row>
    <row r="1179" spans="2:14" x14ac:dyDescent="0.2">
      <c r="B1179" s="74"/>
      <c r="C1179"/>
      <c r="D1179" s="74"/>
      <c r="E1179" s="74"/>
      <c r="F1179" s="74"/>
      <c r="G1179" s="74"/>
      <c r="I1179" s="110"/>
      <c r="J1179" s="111"/>
      <c r="K1179"/>
      <c r="L1179"/>
      <c r="M1179"/>
      <c r="N1179"/>
    </row>
    <row r="1180" spans="2:14" x14ac:dyDescent="0.2">
      <c r="B1180" s="74"/>
      <c r="C1180"/>
      <c r="D1180" s="74"/>
      <c r="E1180" s="74"/>
      <c r="F1180" s="74"/>
      <c r="G1180" s="74"/>
      <c r="I1180" s="110"/>
      <c r="J1180" s="111"/>
      <c r="K1180"/>
      <c r="L1180"/>
      <c r="M1180"/>
      <c r="N1180"/>
    </row>
    <row r="1181" spans="2:14" x14ac:dyDescent="0.2">
      <c r="B1181" s="74"/>
      <c r="C1181"/>
      <c r="D1181" s="74"/>
      <c r="E1181" s="74"/>
      <c r="F1181" s="74"/>
      <c r="G1181" s="74"/>
      <c r="I1181" s="110"/>
      <c r="J1181" s="111"/>
      <c r="K1181"/>
      <c r="L1181"/>
      <c r="M1181"/>
      <c r="N1181"/>
    </row>
    <row r="1182" spans="2:14" x14ac:dyDescent="0.2">
      <c r="B1182" s="74"/>
      <c r="C1182"/>
      <c r="D1182" s="74"/>
      <c r="E1182" s="74"/>
      <c r="F1182" s="74"/>
      <c r="G1182" s="74"/>
      <c r="I1182" s="110"/>
      <c r="J1182" s="111"/>
      <c r="K1182"/>
      <c r="L1182"/>
      <c r="M1182"/>
      <c r="N1182"/>
    </row>
    <row r="1183" spans="2:14" x14ac:dyDescent="0.2">
      <c r="B1183" s="74"/>
      <c r="C1183"/>
      <c r="D1183" s="74"/>
      <c r="E1183" s="74"/>
      <c r="F1183" s="74"/>
      <c r="G1183" s="74"/>
      <c r="I1183" s="110"/>
      <c r="J1183" s="111"/>
      <c r="K1183"/>
      <c r="L1183"/>
      <c r="M1183"/>
      <c r="N1183"/>
    </row>
    <row r="1184" spans="2:14" x14ac:dyDescent="0.2">
      <c r="B1184" s="74"/>
      <c r="C1184"/>
      <c r="D1184" s="74"/>
      <c r="E1184" s="74"/>
      <c r="F1184" s="74"/>
      <c r="G1184" s="74"/>
      <c r="I1184" s="110"/>
      <c r="J1184" s="111"/>
      <c r="K1184"/>
      <c r="L1184"/>
      <c r="M1184"/>
      <c r="N1184"/>
    </row>
    <row r="1185" spans="2:14" x14ac:dyDescent="0.2">
      <c r="B1185" s="74"/>
      <c r="C1185"/>
      <c r="D1185" s="74"/>
      <c r="E1185" s="74"/>
      <c r="F1185" s="74"/>
      <c r="G1185" s="74"/>
      <c r="I1185" s="110"/>
      <c r="J1185" s="111"/>
      <c r="K1185"/>
      <c r="L1185"/>
      <c r="M1185"/>
      <c r="N1185"/>
    </row>
    <row r="1186" spans="2:14" x14ac:dyDescent="0.2">
      <c r="B1186" s="74"/>
      <c r="C1186"/>
      <c r="D1186" s="74"/>
      <c r="E1186" s="74"/>
      <c r="F1186" s="74"/>
      <c r="G1186" s="74"/>
      <c r="I1186" s="110"/>
      <c r="J1186" s="111"/>
      <c r="K1186"/>
      <c r="L1186"/>
      <c r="M1186"/>
      <c r="N1186"/>
    </row>
    <row r="1187" spans="2:14" x14ac:dyDescent="0.2">
      <c r="B1187" s="74"/>
      <c r="C1187"/>
      <c r="D1187" s="74"/>
      <c r="E1187" s="74"/>
      <c r="F1187" s="74"/>
      <c r="G1187" s="74"/>
      <c r="I1187" s="110"/>
      <c r="J1187" s="111"/>
      <c r="K1187"/>
      <c r="L1187"/>
      <c r="M1187"/>
      <c r="N1187"/>
    </row>
    <row r="1188" spans="2:14" x14ac:dyDescent="0.2">
      <c r="B1188" s="74"/>
      <c r="C1188"/>
      <c r="D1188" s="74"/>
      <c r="E1188" s="74"/>
      <c r="F1188" s="74"/>
      <c r="G1188" s="74"/>
      <c r="I1188" s="110"/>
      <c r="J1188" s="111"/>
      <c r="K1188"/>
      <c r="L1188"/>
      <c r="M1188"/>
      <c r="N1188"/>
    </row>
    <row r="1189" spans="2:14" x14ac:dyDescent="0.2">
      <c r="B1189" s="74"/>
      <c r="C1189"/>
      <c r="D1189" s="74"/>
      <c r="E1189" s="74"/>
      <c r="F1189" s="74"/>
      <c r="G1189" s="74"/>
      <c r="I1189" s="110"/>
      <c r="J1189" s="111"/>
      <c r="K1189"/>
      <c r="L1189"/>
      <c r="M1189"/>
      <c r="N1189"/>
    </row>
    <row r="1190" spans="2:14" x14ac:dyDescent="0.2">
      <c r="B1190" s="74"/>
      <c r="C1190"/>
      <c r="D1190" s="74"/>
      <c r="E1190" s="74"/>
      <c r="F1190" s="74"/>
      <c r="G1190" s="74"/>
      <c r="I1190" s="110"/>
      <c r="J1190" s="111"/>
      <c r="K1190"/>
      <c r="L1190"/>
      <c r="M1190"/>
      <c r="N1190"/>
    </row>
    <row r="1191" spans="2:14" x14ac:dyDescent="0.2">
      <c r="B1191" s="74"/>
      <c r="C1191"/>
      <c r="D1191" s="74"/>
      <c r="E1191" s="74"/>
      <c r="F1191" s="74"/>
      <c r="G1191" s="74"/>
      <c r="I1191" s="110"/>
      <c r="J1191" s="111"/>
      <c r="K1191"/>
      <c r="L1191"/>
      <c r="M1191"/>
      <c r="N1191"/>
    </row>
    <row r="1192" spans="2:14" x14ac:dyDescent="0.2">
      <c r="B1192" s="74"/>
      <c r="C1192"/>
      <c r="D1192" s="74"/>
      <c r="E1192" s="74"/>
      <c r="F1192" s="74"/>
      <c r="G1192" s="74"/>
      <c r="I1192" s="110"/>
      <c r="J1192" s="111"/>
      <c r="K1192"/>
      <c r="L1192"/>
      <c r="M1192"/>
      <c r="N1192"/>
    </row>
    <row r="1193" spans="2:14" x14ac:dyDescent="0.2">
      <c r="B1193" s="74"/>
      <c r="C1193"/>
      <c r="D1193" s="74"/>
      <c r="E1193" s="74"/>
      <c r="F1193" s="74"/>
      <c r="G1193" s="74"/>
      <c r="I1193" s="110"/>
      <c r="J1193" s="111"/>
      <c r="K1193"/>
      <c r="L1193"/>
      <c r="M1193"/>
      <c r="N1193"/>
    </row>
    <row r="1194" spans="2:14" x14ac:dyDescent="0.2">
      <c r="B1194" s="74"/>
      <c r="C1194"/>
      <c r="D1194" s="74"/>
      <c r="E1194" s="74"/>
      <c r="F1194" s="74"/>
      <c r="G1194" s="74"/>
      <c r="I1194" s="110"/>
      <c r="J1194" s="111"/>
      <c r="K1194"/>
      <c r="L1194"/>
      <c r="M1194"/>
      <c r="N1194"/>
    </row>
    <row r="1195" spans="2:14" x14ac:dyDescent="0.2">
      <c r="B1195" s="74"/>
      <c r="C1195"/>
      <c r="D1195" s="74"/>
      <c r="E1195" s="74"/>
      <c r="F1195" s="74"/>
      <c r="G1195" s="74"/>
      <c r="I1195" s="110"/>
      <c r="J1195" s="111"/>
      <c r="K1195"/>
      <c r="L1195"/>
      <c r="M1195"/>
      <c r="N1195"/>
    </row>
    <row r="1196" spans="2:14" x14ac:dyDescent="0.2">
      <c r="B1196" s="74"/>
      <c r="C1196"/>
      <c r="D1196" s="74"/>
      <c r="E1196" s="74"/>
      <c r="F1196" s="74"/>
      <c r="G1196" s="74"/>
      <c r="I1196" s="110"/>
      <c r="J1196" s="111"/>
      <c r="K1196"/>
      <c r="L1196"/>
      <c r="M1196"/>
      <c r="N1196"/>
    </row>
    <row r="1197" spans="2:14" x14ac:dyDescent="0.2">
      <c r="B1197" s="74"/>
      <c r="C1197"/>
      <c r="D1197" s="74"/>
      <c r="E1197" s="74"/>
      <c r="F1197" s="74"/>
      <c r="G1197" s="74"/>
      <c r="I1197" s="110"/>
      <c r="J1197" s="111"/>
      <c r="K1197"/>
      <c r="L1197"/>
      <c r="M1197"/>
      <c r="N1197"/>
    </row>
    <row r="1198" spans="2:14" x14ac:dyDescent="0.2">
      <c r="B1198" s="74"/>
      <c r="C1198"/>
      <c r="D1198" s="74"/>
      <c r="E1198" s="74"/>
      <c r="F1198" s="74"/>
      <c r="G1198" s="74"/>
      <c r="I1198" s="110"/>
      <c r="J1198" s="111"/>
      <c r="K1198"/>
      <c r="L1198"/>
      <c r="M1198"/>
      <c r="N1198"/>
    </row>
    <row r="1199" spans="2:14" x14ac:dyDescent="0.2">
      <c r="B1199" s="74"/>
      <c r="C1199"/>
      <c r="D1199" s="74"/>
      <c r="E1199" s="74"/>
      <c r="F1199" s="74"/>
      <c r="G1199" s="74"/>
      <c r="I1199" s="110"/>
      <c r="J1199" s="111"/>
      <c r="K1199"/>
      <c r="L1199"/>
      <c r="M1199"/>
      <c r="N1199"/>
    </row>
    <row r="1200" spans="2:14" x14ac:dyDescent="0.2">
      <c r="B1200" s="74"/>
      <c r="C1200"/>
      <c r="D1200" s="74"/>
      <c r="E1200" s="74"/>
      <c r="F1200" s="74"/>
      <c r="G1200" s="74"/>
      <c r="I1200" s="110"/>
      <c r="J1200" s="111"/>
      <c r="K1200"/>
      <c r="L1200"/>
      <c r="M1200"/>
      <c r="N1200"/>
    </row>
    <row r="1201" spans="2:14" x14ac:dyDescent="0.2">
      <c r="B1201" s="74"/>
      <c r="C1201"/>
      <c r="D1201" s="74"/>
      <c r="E1201" s="74"/>
      <c r="F1201" s="74"/>
      <c r="G1201" s="74"/>
      <c r="I1201" s="110"/>
      <c r="J1201" s="111"/>
      <c r="K1201"/>
      <c r="L1201"/>
      <c r="M1201"/>
      <c r="N1201"/>
    </row>
    <row r="1202" spans="2:14" x14ac:dyDescent="0.2">
      <c r="B1202" s="74"/>
      <c r="C1202"/>
      <c r="D1202" s="74"/>
      <c r="E1202" s="74"/>
      <c r="F1202" s="74"/>
      <c r="G1202" s="74"/>
      <c r="I1202" s="110"/>
      <c r="J1202" s="111"/>
      <c r="K1202"/>
      <c r="L1202"/>
      <c r="M1202"/>
      <c r="N1202"/>
    </row>
    <row r="1203" spans="2:14" x14ac:dyDescent="0.2">
      <c r="B1203" s="74"/>
      <c r="C1203"/>
      <c r="D1203" s="74"/>
      <c r="E1203" s="74"/>
      <c r="F1203" s="74"/>
      <c r="G1203" s="74"/>
      <c r="I1203" s="110"/>
      <c r="J1203" s="111"/>
      <c r="K1203"/>
      <c r="L1203"/>
      <c r="M1203"/>
      <c r="N1203"/>
    </row>
    <row r="1204" spans="2:14" x14ac:dyDescent="0.2">
      <c r="B1204" s="74"/>
      <c r="C1204"/>
      <c r="D1204" s="74"/>
      <c r="E1204" s="74"/>
      <c r="F1204" s="74"/>
      <c r="G1204" s="74"/>
      <c r="I1204" s="110"/>
      <c r="J1204" s="111"/>
      <c r="K1204"/>
      <c r="L1204"/>
      <c r="M1204"/>
      <c r="N1204"/>
    </row>
    <row r="1205" spans="2:14" x14ac:dyDescent="0.2">
      <c r="B1205" s="74"/>
      <c r="C1205"/>
      <c r="D1205" s="74"/>
      <c r="E1205" s="74"/>
      <c r="F1205" s="74"/>
      <c r="G1205" s="74"/>
      <c r="I1205" s="110"/>
      <c r="J1205" s="111"/>
      <c r="K1205"/>
      <c r="L1205"/>
      <c r="M1205"/>
      <c r="N1205"/>
    </row>
    <row r="1206" spans="2:14" x14ac:dyDescent="0.2">
      <c r="B1206" s="74"/>
      <c r="C1206"/>
      <c r="D1206" s="74"/>
      <c r="E1206" s="74"/>
      <c r="F1206" s="74"/>
      <c r="G1206" s="74"/>
      <c r="I1206" s="110"/>
      <c r="J1206" s="111"/>
      <c r="K1206"/>
      <c r="L1206"/>
      <c r="M1206"/>
      <c r="N1206"/>
    </row>
    <row r="1207" spans="2:14" x14ac:dyDescent="0.2">
      <c r="B1207" s="74"/>
      <c r="C1207"/>
      <c r="D1207" s="74"/>
      <c r="E1207" s="74"/>
      <c r="F1207" s="74"/>
      <c r="G1207" s="74"/>
      <c r="I1207" s="110"/>
      <c r="J1207" s="111"/>
      <c r="K1207"/>
      <c r="L1207"/>
      <c r="M1207"/>
      <c r="N1207"/>
    </row>
    <row r="1208" spans="2:14" x14ac:dyDescent="0.2">
      <c r="B1208" s="74"/>
      <c r="C1208"/>
      <c r="D1208" s="74"/>
      <c r="E1208" s="74"/>
      <c r="F1208" s="74"/>
      <c r="G1208" s="74"/>
      <c r="I1208" s="110"/>
      <c r="J1208" s="111"/>
      <c r="K1208"/>
      <c r="L1208"/>
      <c r="M1208"/>
      <c r="N1208"/>
    </row>
    <row r="1209" spans="2:14" x14ac:dyDescent="0.2">
      <c r="B1209" s="74"/>
      <c r="C1209"/>
      <c r="D1209" s="74"/>
      <c r="E1209" s="74"/>
      <c r="F1209" s="74"/>
      <c r="G1209" s="74"/>
      <c r="I1209" s="110"/>
      <c r="J1209" s="111"/>
      <c r="K1209"/>
      <c r="L1209"/>
      <c r="M1209"/>
      <c r="N1209"/>
    </row>
    <row r="1210" spans="2:14" x14ac:dyDescent="0.2">
      <c r="B1210" s="74"/>
      <c r="C1210"/>
      <c r="D1210" s="74"/>
      <c r="E1210" s="74"/>
      <c r="F1210" s="74"/>
      <c r="G1210" s="74"/>
      <c r="I1210" s="110"/>
      <c r="J1210" s="111"/>
      <c r="K1210"/>
      <c r="L1210"/>
      <c r="M1210"/>
      <c r="N1210"/>
    </row>
    <row r="1211" spans="2:14" x14ac:dyDescent="0.2">
      <c r="B1211" s="74"/>
      <c r="C1211"/>
      <c r="D1211" s="74"/>
      <c r="E1211" s="74"/>
      <c r="F1211" s="74"/>
      <c r="G1211" s="74"/>
      <c r="I1211" s="110"/>
      <c r="J1211" s="111"/>
      <c r="K1211"/>
      <c r="L1211"/>
      <c r="M1211"/>
      <c r="N1211"/>
    </row>
    <row r="1212" spans="2:14" x14ac:dyDescent="0.2">
      <c r="B1212" s="74"/>
      <c r="C1212"/>
      <c r="D1212" s="74"/>
      <c r="E1212" s="74"/>
      <c r="F1212" s="74"/>
      <c r="G1212" s="74"/>
      <c r="I1212" s="110"/>
      <c r="J1212" s="111"/>
      <c r="K1212"/>
      <c r="L1212"/>
      <c r="M1212"/>
      <c r="N1212"/>
    </row>
    <row r="1213" spans="2:14" x14ac:dyDescent="0.2">
      <c r="B1213" s="74"/>
      <c r="C1213"/>
      <c r="D1213" s="74"/>
      <c r="E1213" s="74"/>
      <c r="F1213" s="74"/>
      <c r="G1213" s="74"/>
      <c r="I1213" s="110"/>
      <c r="J1213" s="111"/>
      <c r="K1213"/>
      <c r="L1213"/>
      <c r="M1213"/>
      <c r="N1213"/>
    </row>
    <row r="1214" spans="2:14" x14ac:dyDescent="0.2">
      <c r="B1214" s="74"/>
      <c r="C1214"/>
      <c r="D1214" s="74"/>
      <c r="E1214" s="74"/>
      <c r="F1214" s="74"/>
      <c r="G1214" s="74"/>
      <c r="I1214" s="110"/>
      <c r="J1214" s="111"/>
      <c r="K1214"/>
      <c r="L1214"/>
      <c r="M1214"/>
      <c r="N1214"/>
    </row>
    <row r="1215" spans="2:14" x14ac:dyDescent="0.2">
      <c r="B1215" s="74"/>
      <c r="C1215"/>
      <c r="D1215" s="74"/>
      <c r="E1215" s="74"/>
      <c r="F1215" s="74"/>
      <c r="G1215" s="74"/>
      <c r="I1215" s="110"/>
      <c r="J1215" s="111"/>
      <c r="K1215"/>
      <c r="L1215"/>
      <c r="M1215"/>
      <c r="N1215"/>
    </row>
    <row r="1216" spans="2:14" x14ac:dyDescent="0.2">
      <c r="B1216" s="74"/>
      <c r="C1216"/>
      <c r="D1216" s="74"/>
      <c r="E1216" s="74"/>
      <c r="F1216" s="74"/>
      <c r="G1216" s="74"/>
      <c r="I1216" s="110"/>
      <c r="J1216" s="111"/>
      <c r="K1216"/>
      <c r="L1216"/>
      <c r="M1216"/>
      <c r="N1216"/>
    </row>
    <row r="1217" spans="2:14" x14ac:dyDescent="0.2">
      <c r="B1217" s="74"/>
      <c r="C1217"/>
      <c r="D1217" s="74"/>
      <c r="E1217" s="74"/>
      <c r="F1217" s="74"/>
      <c r="G1217" s="74"/>
      <c r="I1217" s="110"/>
      <c r="J1217" s="111"/>
      <c r="K1217"/>
      <c r="L1217"/>
      <c r="M1217"/>
      <c r="N1217"/>
    </row>
    <row r="1218" spans="2:14" x14ac:dyDescent="0.2">
      <c r="B1218" s="74"/>
      <c r="C1218"/>
      <c r="D1218" s="74"/>
      <c r="E1218" s="74"/>
      <c r="F1218" s="74"/>
      <c r="G1218" s="74"/>
      <c r="I1218" s="110"/>
      <c r="J1218" s="111"/>
      <c r="K1218"/>
      <c r="L1218"/>
      <c r="M1218"/>
      <c r="N1218"/>
    </row>
    <row r="1219" spans="2:14" x14ac:dyDescent="0.2">
      <c r="B1219" s="74"/>
      <c r="C1219"/>
      <c r="D1219" s="74"/>
      <c r="E1219" s="74"/>
      <c r="F1219" s="74"/>
      <c r="G1219" s="74"/>
      <c r="I1219" s="110"/>
      <c r="J1219" s="111"/>
      <c r="K1219"/>
      <c r="L1219"/>
      <c r="M1219"/>
      <c r="N1219"/>
    </row>
    <row r="1220" spans="2:14" x14ac:dyDescent="0.2">
      <c r="B1220" s="74"/>
      <c r="C1220"/>
      <c r="D1220" s="74"/>
      <c r="E1220" s="74"/>
      <c r="F1220" s="74"/>
      <c r="G1220" s="74"/>
      <c r="I1220" s="110"/>
      <c r="J1220" s="111"/>
      <c r="K1220"/>
      <c r="L1220"/>
      <c r="M1220"/>
      <c r="N1220"/>
    </row>
    <row r="1221" spans="2:14" x14ac:dyDescent="0.2">
      <c r="B1221" s="74"/>
      <c r="C1221"/>
      <c r="D1221" s="74"/>
      <c r="E1221" s="74"/>
      <c r="F1221" s="74"/>
      <c r="G1221" s="74"/>
      <c r="I1221" s="110"/>
      <c r="J1221" s="111"/>
      <c r="K1221"/>
      <c r="L1221"/>
      <c r="M1221"/>
      <c r="N1221"/>
    </row>
    <row r="1222" spans="2:14" x14ac:dyDescent="0.2">
      <c r="B1222" s="74"/>
      <c r="C1222"/>
      <c r="D1222" s="74"/>
      <c r="E1222" s="74"/>
      <c r="F1222" s="74"/>
      <c r="G1222" s="74"/>
      <c r="I1222" s="110"/>
      <c r="J1222" s="111"/>
      <c r="K1222"/>
      <c r="L1222"/>
      <c r="M1222"/>
      <c r="N1222"/>
    </row>
    <row r="1223" spans="2:14" x14ac:dyDescent="0.2">
      <c r="B1223" s="74"/>
      <c r="C1223"/>
      <c r="D1223" s="74"/>
      <c r="E1223" s="74"/>
      <c r="F1223" s="74"/>
      <c r="G1223" s="74"/>
      <c r="I1223" s="110"/>
      <c r="J1223" s="111"/>
      <c r="K1223"/>
      <c r="L1223"/>
      <c r="M1223"/>
      <c r="N1223"/>
    </row>
    <row r="1224" spans="2:14" x14ac:dyDescent="0.2">
      <c r="B1224" s="74"/>
      <c r="C1224"/>
      <c r="D1224" s="74"/>
      <c r="E1224" s="74"/>
      <c r="F1224" s="74"/>
      <c r="G1224" s="74"/>
      <c r="I1224" s="110"/>
      <c r="J1224" s="111"/>
      <c r="K1224"/>
      <c r="L1224"/>
      <c r="M1224"/>
      <c r="N1224"/>
    </row>
    <row r="1225" spans="2:14" x14ac:dyDescent="0.2">
      <c r="B1225" s="74"/>
      <c r="C1225"/>
      <c r="D1225" s="74"/>
      <c r="E1225" s="74"/>
      <c r="F1225" s="74"/>
      <c r="G1225" s="74"/>
      <c r="I1225" s="110"/>
      <c r="J1225" s="111"/>
      <c r="K1225"/>
      <c r="L1225"/>
      <c r="M1225"/>
      <c r="N1225"/>
    </row>
    <row r="1226" spans="2:14" x14ac:dyDescent="0.2">
      <c r="B1226" s="74"/>
      <c r="C1226"/>
      <c r="D1226" s="74"/>
      <c r="E1226" s="74"/>
      <c r="F1226" s="74"/>
      <c r="G1226" s="74"/>
      <c r="I1226" s="110"/>
      <c r="J1226" s="111"/>
      <c r="K1226"/>
      <c r="L1226"/>
      <c r="M1226"/>
      <c r="N1226"/>
    </row>
    <row r="1227" spans="2:14" x14ac:dyDescent="0.2">
      <c r="B1227" s="74"/>
      <c r="C1227"/>
      <c r="D1227" s="74"/>
      <c r="E1227" s="74"/>
      <c r="F1227" s="74"/>
      <c r="G1227" s="74"/>
      <c r="I1227" s="110"/>
      <c r="J1227" s="111"/>
      <c r="K1227"/>
      <c r="L1227"/>
      <c r="M1227"/>
      <c r="N1227"/>
    </row>
    <row r="1228" spans="2:14" x14ac:dyDescent="0.2">
      <c r="B1228" s="74"/>
      <c r="C1228"/>
      <c r="D1228" s="74"/>
      <c r="E1228" s="74"/>
      <c r="F1228" s="74"/>
      <c r="G1228" s="74"/>
      <c r="I1228" s="110"/>
      <c r="J1228" s="111"/>
      <c r="K1228"/>
      <c r="L1228"/>
      <c r="M1228"/>
      <c r="N1228"/>
    </row>
    <row r="1229" spans="2:14" x14ac:dyDescent="0.2">
      <c r="B1229" s="74"/>
      <c r="C1229"/>
      <c r="D1229" s="74"/>
      <c r="E1229" s="74"/>
      <c r="F1229" s="74"/>
      <c r="G1229" s="74"/>
      <c r="I1229" s="110"/>
      <c r="J1229" s="111"/>
      <c r="K1229"/>
      <c r="L1229"/>
      <c r="M1229"/>
      <c r="N1229"/>
    </row>
    <row r="1230" spans="2:14" x14ac:dyDescent="0.2">
      <c r="B1230" s="74"/>
      <c r="C1230"/>
      <c r="D1230" s="74"/>
      <c r="E1230" s="74"/>
      <c r="F1230" s="74"/>
      <c r="G1230" s="74"/>
      <c r="I1230" s="110"/>
      <c r="J1230" s="111"/>
      <c r="K1230"/>
      <c r="L1230"/>
      <c r="M1230"/>
      <c r="N1230"/>
    </row>
    <row r="1231" spans="2:14" x14ac:dyDescent="0.2">
      <c r="B1231" s="74"/>
      <c r="C1231"/>
      <c r="D1231" s="74"/>
      <c r="E1231" s="74"/>
      <c r="F1231" s="74"/>
      <c r="G1231" s="74"/>
      <c r="I1231" s="110"/>
      <c r="J1231" s="111"/>
      <c r="K1231"/>
      <c r="L1231"/>
      <c r="M1231"/>
      <c r="N1231"/>
    </row>
    <row r="1232" spans="2:14" x14ac:dyDescent="0.2">
      <c r="B1232" s="74"/>
      <c r="C1232"/>
      <c r="D1232" s="74"/>
      <c r="E1232" s="74"/>
      <c r="F1232" s="74"/>
      <c r="G1232" s="74"/>
      <c r="I1232" s="110"/>
      <c r="J1232" s="111"/>
      <c r="K1232"/>
      <c r="L1232"/>
      <c r="M1232"/>
      <c r="N1232"/>
    </row>
    <row r="1233" spans="2:14" x14ac:dyDescent="0.2">
      <c r="B1233" s="74"/>
      <c r="C1233"/>
      <c r="D1233" s="74"/>
      <c r="E1233" s="74"/>
      <c r="F1233" s="74"/>
      <c r="G1233" s="74"/>
      <c r="I1233" s="110"/>
      <c r="J1233" s="111"/>
      <c r="K1233"/>
      <c r="L1233"/>
      <c r="M1233"/>
      <c r="N1233"/>
    </row>
    <row r="1234" spans="2:14" x14ac:dyDescent="0.2">
      <c r="B1234" s="74"/>
      <c r="C1234"/>
      <c r="D1234" s="74"/>
      <c r="E1234" s="74"/>
      <c r="F1234" s="74"/>
      <c r="G1234" s="74"/>
      <c r="I1234" s="110"/>
      <c r="J1234" s="111"/>
      <c r="K1234"/>
      <c r="L1234"/>
      <c r="M1234"/>
      <c r="N1234"/>
    </row>
    <row r="1235" spans="2:14" x14ac:dyDescent="0.2">
      <c r="B1235" s="74"/>
      <c r="C1235"/>
      <c r="D1235" s="74"/>
      <c r="E1235" s="74"/>
      <c r="F1235" s="74"/>
      <c r="G1235" s="74"/>
      <c r="I1235" s="110"/>
      <c r="J1235" s="111"/>
      <c r="K1235"/>
      <c r="L1235"/>
      <c r="M1235"/>
      <c r="N1235"/>
    </row>
    <row r="1236" spans="2:14" x14ac:dyDescent="0.2">
      <c r="B1236" s="74"/>
      <c r="C1236"/>
      <c r="D1236" s="74"/>
      <c r="E1236" s="74"/>
      <c r="F1236" s="74"/>
      <c r="G1236" s="74"/>
      <c r="I1236" s="110"/>
      <c r="J1236" s="111"/>
      <c r="K1236"/>
      <c r="L1236"/>
      <c r="M1236"/>
      <c r="N1236"/>
    </row>
    <row r="1237" spans="2:14" x14ac:dyDescent="0.2">
      <c r="B1237" s="74"/>
      <c r="C1237"/>
      <c r="D1237" s="74"/>
      <c r="E1237" s="74"/>
      <c r="F1237" s="74"/>
      <c r="G1237" s="74"/>
      <c r="I1237" s="110"/>
      <c r="J1237" s="111"/>
      <c r="K1237"/>
      <c r="L1237"/>
      <c r="M1237"/>
      <c r="N1237"/>
    </row>
    <row r="1238" spans="2:14" x14ac:dyDescent="0.2">
      <c r="B1238" s="74"/>
      <c r="C1238"/>
      <c r="D1238" s="74"/>
      <c r="E1238" s="74"/>
      <c r="F1238" s="74"/>
      <c r="G1238" s="74"/>
      <c r="I1238" s="110"/>
      <c r="J1238" s="111"/>
      <c r="K1238"/>
      <c r="L1238"/>
      <c r="M1238"/>
      <c r="N1238"/>
    </row>
    <row r="1239" spans="2:14" x14ac:dyDescent="0.2">
      <c r="B1239" s="74"/>
      <c r="C1239"/>
      <c r="D1239" s="74"/>
      <c r="E1239" s="74"/>
      <c r="F1239" s="74"/>
      <c r="G1239" s="74"/>
      <c r="I1239" s="110"/>
      <c r="J1239" s="111"/>
      <c r="K1239"/>
      <c r="L1239"/>
      <c r="M1239"/>
      <c r="N1239"/>
    </row>
    <row r="1240" spans="2:14" x14ac:dyDescent="0.2">
      <c r="B1240" s="74"/>
      <c r="C1240"/>
      <c r="D1240" s="74"/>
      <c r="E1240" s="74"/>
      <c r="F1240" s="74"/>
      <c r="G1240" s="74"/>
      <c r="I1240" s="110"/>
      <c r="J1240" s="111"/>
      <c r="K1240"/>
      <c r="L1240"/>
      <c r="M1240"/>
      <c r="N1240"/>
    </row>
    <row r="1241" spans="2:14" x14ac:dyDescent="0.2">
      <c r="B1241" s="74"/>
      <c r="C1241"/>
      <c r="D1241" s="74"/>
      <c r="E1241" s="74"/>
      <c r="F1241" s="74"/>
      <c r="G1241" s="74"/>
      <c r="I1241" s="110"/>
      <c r="J1241" s="111"/>
      <c r="K1241"/>
      <c r="L1241"/>
      <c r="M1241"/>
      <c r="N1241"/>
    </row>
    <row r="1242" spans="2:14" x14ac:dyDescent="0.2">
      <c r="B1242" s="74"/>
      <c r="C1242"/>
      <c r="D1242" s="74"/>
      <c r="E1242" s="74"/>
      <c r="F1242" s="74"/>
      <c r="G1242" s="74"/>
      <c r="I1242" s="110"/>
      <c r="J1242" s="111"/>
      <c r="K1242"/>
      <c r="L1242"/>
      <c r="M1242"/>
      <c r="N1242"/>
    </row>
    <row r="1243" spans="2:14" x14ac:dyDescent="0.2">
      <c r="B1243" s="74"/>
      <c r="C1243"/>
      <c r="D1243" s="74"/>
      <c r="E1243" s="74"/>
      <c r="F1243" s="74"/>
      <c r="G1243" s="74"/>
      <c r="I1243" s="110"/>
      <c r="J1243" s="111"/>
      <c r="K1243"/>
      <c r="L1243"/>
      <c r="M1243"/>
      <c r="N1243"/>
    </row>
    <row r="1244" spans="2:14" x14ac:dyDescent="0.2">
      <c r="B1244" s="74"/>
      <c r="C1244"/>
      <c r="D1244" s="74"/>
      <c r="E1244" s="74"/>
      <c r="F1244" s="74"/>
      <c r="G1244" s="74"/>
      <c r="I1244" s="110"/>
      <c r="J1244" s="111"/>
      <c r="K1244"/>
      <c r="L1244"/>
      <c r="M1244"/>
      <c r="N1244"/>
    </row>
    <row r="1245" spans="2:14" x14ac:dyDescent="0.2">
      <c r="B1245" s="74"/>
      <c r="C1245"/>
      <c r="D1245" s="74"/>
      <c r="E1245" s="74"/>
      <c r="F1245" s="74"/>
      <c r="G1245" s="74"/>
      <c r="I1245" s="110"/>
      <c r="J1245" s="111"/>
      <c r="K1245"/>
      <c r="L1245"/>
      <c r="M1245"/>
      <c r="N1245"/>
    </row>
    <row r="1246" spans="2:14" x14ac:dyDescent="0.2">
      <c r="B1246" s="74"/>
      <c r="C1246"/>
      <c r="D1246" s="74"/>
      <c r="E1246" s="74"/>
      <c r="F1246" s="74"/>
      <c r="G1246" s="74"/>
      <c r="I1246" s="110"/>
      <c r="J1246" s="111"/>
      <c r="K1246"/>
      <c r="L1246"/>
      <c r="M1246"/>
      <c r="N1246"/>
    </row>
    <row r="1247" spans="2:14" x14ac:dyDescent="0.2">
      <c r="B1247" s="74"/>
      <c r="C1247"/>
      <c r="D1247" s="74"/>
      <c r="E1247" s="74"/>
      <c r="F1247" s="74"/>
      <c r="G1247" s="74"/>
      <c r="I1247" s="110"/>
      <c r="J1247" s="111"/>
      <c r="K1247"/>
      <c r="L1247"/>
      <c r="M1247"/>
      <c r="N1247"/>
    </row>
    <row r="1248" spans="2:14" x14ac:dyDescent="0.2">
      <c r="B1248" s="74"/>
      <c r="C1248"/>
      <c r="D1248" s="74"/>
      <c r="E1248" s="74"/>
      <c r="F1248" s="74"/>
      <c r="G1248" s="74"/>
      <c r="I1248" s="110"/>
      <c r="J1248" s="111"/>
      <c r="K1248"/>
      <c r="L1248"/>
      <c r="M1248"/>
      <c r="N1248"/>
    </row>
    <row r="1249" spans="2:14" x14ac:dyDescent="0.2">
      <c r="B1249" s="74"/>
      <c r="C1249"/>
      <c r="D1249" s="74"/>
      <c r="E1249" s="74"/>
      <c r="F1249" s="74"/>
      <c r="G1249" s="74"/>
      <c r="I1249" s="110"/>
      <c r="J1249" s="111"/>
      <c r="K1249"/>
      <c r="L1249"/>
      <c r="M1249"/>
      <c r="N1249"/>
    </row>
    <row r="1250" spans="2:14" x14ac:dyDescent="0.2">
      <c r="B1250" s="74"/>
      <c r="C1250"/>
      <c r="D1250" s="74"/>
      <c r="E1250" s="74"/>
      <c r="F1250" s="74"/>
      <c r="G1250" s="74"/>
      <c r="I1250" s="110"/>
      <c r="J1250" s="111"/>
      <c r="K1250"/>
      <c r="L1250"/>
      <c r="M1250"/>
      <c r="N1250"/>
    </row>
    <row r="1251" spans="2:14" x14ac:dyDescent="0.2">
      <c r="B1251" s="74"/>
      <c r="C1251"/>
      <c r="D1251" s="74"/>
      <c r="E1251" s="74"/>
      <c r="F1251" s="74"/>
      <c r="G1251" s="74"/>
      <c r="I1251" s="110"/>
      <c r="J1251" s="111"/>
      <c r="K1251"/>
      <c r="L1251"/>
      <c r="M1251"/>
      <c r="N1251"/>
    </row>
    <row r="1252" spans="2:14" x14ac:dyDescent="0.2">
      <c r="B1252" s="74"/>
      <c r="C1252"/>
      <c r="D1252" s="74"/>
      <c r="E1252" s="74"/>
      <c r="F1252" s="74"/>
      <c r="G1252" s="74"/>
      <c r="I1252" s="110"/>
      <c r="J1252" s="111"/>
      <c r="K1252"/>
      <c r="L1252"/>
      <c r="M1252"/>
      <c r="N1252"/>
    </row>
    <row r="1253" spans="2:14" x14ac:dyDescent="0.2">
      <c r="B1253" s="74"/>
      <c r="C1253"/>
      <c r="D1253" s="74"/>
      <c r="E1253" s="74"/>
      <c r="F1253" s="74"/>
      <c r="G1253" s="74"/>
      <c r="I1253" s="110"/>
      <c r="J1253" s="111"/>
      <c r="K1253"/>
      <c r="L1253"/>
      <c r="M1253"/>
      <c r="N1253"/>
    </row>
    <row r="1254" spans="2:14" x14ac:dyDescent="0.2">
      <c r="B1254" s="74"/>
      <c r="C1254"/>
      <c r="D1254" s="74"/>
      <c r="E1254" s="74"/>
      <c r="F1254" s="74"/>
      <c r="G1254" s="74"/>
      <c r="I1254" s="110"/>
      <c r="J1254" s="111"/>
      <c r="K1254"/>
      <c r="L1254"/>
      <c r="M1254"/>
      <c r="N1254"/>
    </row>
    <row r="1255" spans="2:14" x14ac:dyDescent="0.2">
      <c r="B1255" s="74"/>
      <c r="C1255"/>
      <c r="D1255" s="74"/>
      <c r="E1255" s="74"/>
      <c r="F1255" s="74"/>
      <c r="G1255" s="74"/>
      <c r="I1255" s="110"/>
      <c r="J1255" s="111"/>
      <c r="K1255"/>
      <c r="L1255"/>
      <c r="M1255"/>
      <c r="N1255"/>
    </row>
    <row r="1256" spans="2:14" x14ac:dyDescent="0.2">
      <c r="B1256" s="74"/>
      <c r="C1256"/>
      <c r="D1256" s="74"/>
      <c r="E1256" s="74"/>
      <c r="F1256" s="74"/>
      <c r="G1256" s="74"/>
      <c r="I1256" s="110"/>
      <c r="J1256" s="111"/>
      <c r="K1256"/>
      <c r="L1256"/>
      <c r="M1256"/>
      <c r="N1256"/>
    </row>
    <row r="1257" spans="2:14" x14ac:dyDescent="0.2">
      <c r="B1257" s="74"/>
      <c r="C1257"/>
      <c r="D1257" s="74"/>
      <c r="E1257" s="74"/>
      <c r="F1257" s="74"/>
      <c r="G1257" s="74"/>
      <c r="I1257" s="110"/>
      <c r="J1257" s="111"/>
      <c r="K1257"/>
      <c r="L1257"/>
      <c r="M1257"/>
      <c r="N1257"/>
    </row>
    <row r="1258" spans="2:14" x14ac:dyDescent="0.2">
      <c r="B1258" s="74"/>
      <c r="C1258"/>
      <c r="D1258" s="74"/>
      <c r="E1258" s="74"/>
      <c r="F1258" s="74"/>
      <c r="G1258" s="74"/>
      <c r="I1258" s="110"/>
      <c r="J1258" s="111"/>
      <c r="K1258"/>
      <c r="L1258"/>
      <c r="M1258"/>
      <c r="N1258"/>
    </row>
    <row r="1259" spans="2:14" x14ac:dyDescent="0.2">
      <c r="B1259" s="74"/>
      <c r="C1259"/>
      <c r="D1259" s="74"/>
      <c r="E1259" s="74"/>
      <c r="F1259" s="74"/>
      <c r="G1259" s="74"/>
      <c r="I1259" s="110"/>
      <c r="J1259" s="111"/>
      <c r="K1259"/>
      <c r="L1259"/>
      <c r="M1259"/>
      <c r="N1259"/>
    </row>
    <row r="1260" spans="2:14" x14ac:dyDescent="0.2">
      <c r="B1260" s="74"/>
      <c r="C1260"/>
      <c r="D1260" s="74"/>
      <c r="E1260" s="74"/>
      <c r="F1260" s="74"/>
      <c r="G1260" s="74"/>
      <c r="I1260" s="110"/>
      <c r="J1260" s="111"/>
      <c r="K1260"/>
      <c r="L1260"/>
      <c r="M1260"/>
      <c r="N1260"/>
    </row>
    <row r="1261" spans="2:14" x14ac:dyDescent="0.2">
      <c r="B1261" s="74"/>
      <c r="C1261"/>
      <c r="D1261" s="74"/>
      <c r="E1261" s="74"/>
      <c r="F1261" s="74"/>
      <c r="G1261" s="74"/>
      <c r="I1261" s="110"/>
      <c r="J1261" s="111"/>
      <c r="K1261"/>
      <c r="L1261"/>
      <c r="M1261"/>
      <c r="N1261"/>
    </row>
    <row r="1262" spans="2:14" x14ac:dyDescent="0.2">
      <c r="B1262" s="74"/>
      <c r="C1262"/>
      <c r="D1262" s="74"/>
      <c r="E1262" s="74"/>
      <c r="F1262" s="74"/>
      <c r="G1262" s="74"/>
      <c r="I1262" s="110"/>
      <c r="J1262" s="111"/>
      <c r="K1262"/>
      <c r="L1262"/>
      <c r="M1262"/>
      <c r="N1262"/>
    </row>
    <row r="1263" spans="2:14" x14ac:dyDescent="0.2">
      <c r="B1263" s="74"/>
      <c r="C1263"/>
      <c r="D1263" s="74"/>
      <c r="E1263" s="74"/>
      <c r="F1263" s="74"/>
      <c r="G1263" s="74"/>
      <c r="I1263" s="110"/>
      <c r="J1263" s="111"/>
      <c r="K1263"/>
      <c r="L1263"/>
      <c r="M1263"/>
      <c r="N1263"/>
    </row>
    <row r="1264" spans="2:14" x14ac:dyDescent="0.2">
      <c r="B1264" s="74"/>
      <c r="C1264"/>
      <c r="D1264" s="74"/>
      <c r="E1264" s="74"/>
      <c r="F1264" s="74"/>
      <c r="G1264" s="74"/>
      <c r="I1264" s="110"/>
      <c r="J1264" s="111"/>
      <c r="K1264"/>
      <c r="L1264"/>
      <c r="M1264"/>
      <c r="N1264"/>
    </row>
    <row r="1265" spans="2:14" x14ac:dyDescent="0.2">
      <c r="B1265" s="74"/>
      <c r="C1265"/>
      <c r="D1265" s="74"/>
      <c r="E1265" s="74"/>
      <c r="F1265" s="74"/>
      <c r="G1265" s="74"/>
      <c r="I1265" s="110"/>
      <c r="J1265" s="111"/>
      <c r="K1265"/>
      <c r="L1265"/>
      <c r="M1265"/>
      <c r="N1265"/>
    </row>
    <row r="1266" spans="2:14" x14ac:dyDescent="0.2">
      <c r="B1266" s="74"/>
      <c r="C1266"/>
      <c r="D1266" s="74"/>
      <c r="E1266" s="74"/>
      <c r="F1266" s="74"/>
      <c r="G1266" s="74"/>
      <c r="I1266" s="110"/>
      <c r="J1266" s="111"/>
      <c r="K1266"/>
      <c r="L1266"/>
      <c r="M1266"/>
      <c r="N1266"/>
    </row>
    <row r="1267" spans="2:14" x14ac:dyDescent="0.2">
      <c r="B1267" s="74"/>
      <c r="C1267"/>
      <c r="D1267" s="74"/>
      <c r="E1267" s="74"/>
      <c r="F1267" s="74"/>
      <c r="G1267" s="74"/>
      <c r="I1267" s="110"/>
      <c r="J1267" s="111"/>
      <c r="K1267"/>
      <c r="L1267"/>
      <c r="M1267"/>
      <c r="N1267"/>
    </row>
    <row r="1268" spans="2:14" x14ac:dyDescent="0.2">
      <c r="B1268" s="74"/>
      <c r="C1268"/>
      <c r="D1268" s="74"/>
      <c r="E1268" s="74"/>
      <c r="F1268" s="74"/>
      <c r="G1268" s="74"/>
      <c r="I1268" s="110"/>
      <c r="J1268" s="111"/>
      <c r="K1268"/>
      <c r="L1268"/>
      <c r="M1268"/>
      <c r="N1268"/>
    </row>
    <row r="1269" spans="2:14" x14ac:dyDescent="0.2">
      <c r="B1269" s="74"/>
      <c r="C1269"/>
      <c r="D1269" s="74"/>
      <c r="E1269" s="74"/>
      <c r="F1269" s="74"/>
      <c r="G1269" s="74"/>
      <c r="I1269" s="110"/>
      <c r="J1269" s="111"/>
      <c r="K1269"/>
      <c r="L1269"/>
      <c r="M1269"/>
      <c r="N1269"/>
    </row>
    <row r="1270" spans="2:14" x14ac:dyDescent="0.2">
      <c r="B1270" s="74"/>
      <c r="C1270"/>
      <c r="D1270" s="74"/>
      <c r="E1270" s="74"/>
      <c r="F1270" s="74"/>
      <c r="G1270" s="74"/>
      <c r="I1270" s="110"/>
      <c r="J1270" s="111"/>
      <c r="K1270"/>
      <c r="L1270"/>
      <c r="M1270"/>
      <c r="N1270"/>
    </row>
    <row r="1271" spans="2:14" x14ac:dyDescent="0.2">
      <c r="B1271" s="74"/>
      <c r="C1271"/>
      <c r="D1271" s="74"/>
      <c r="E1271" s="74"/>
      <c r="F1271" s="74"/>
      <c r="G1271" s="74"/>
      <c r="I1271" s="110"/>
      <c r="J1271" s="111"/>
      <c r="K1271"/>
      <c r="L1271"/>
      <c r="M1271"/>
      <c r="N1271"/>
    </row>
    <row r="1272" spans="2:14" x14ac:dyDescent="0.2">
      <c r="B1272" s="74"/>
      <c r="C1272"/>
      <c r="D1272" s="74"/>
      <c r="E1272" s="74"/>
      <c r="F1272" s="74"/>
      <c r="G1272" s="74"/>
      <c r="I1272" s="110"/>
      <c r="J1272" s="111"/>
      <c r="K1272"/>
      <c r="L1272"/>
      <c r="M1272"/>
      <c r="N1272"/>
    </row>
    <row r="1273" spans="2:14" x14ac:dyDescent="0.2">
      <c r="B1273" s="74"/>
      <c r="C1273"/>
      <c r="D1273" s="74"/>
      <c r="E1273" s="74"/>
      <c r="F1273" s="74"/>
      <c r="G1273" s="74"/>
      <c r="I1273" s="110"/>
      <c r="J1273" s="111"/>
      <c r="K1273"/>
      <c r="L1273"/>
      <c r="M1273"/>
      <c r="N1273"/>
    </row>
    <row r="1274" spans="2:14" x14ac:dyDescent="0.2">
      <c r="B1274" s="74"/>
      <c r="C1274"/>
      <c r="D1274" s="74"/>
      <c r="E1274" s="74"/>
      <c r="F1274" s="74"/>
      <c r="G1274" s="74"/>
      <c r="I1274" s="110"/>
      <c r="J1274" s="111"/>
      <c r="K1274"/>
      <c r="L1274"/>
      <c r="M1274"/>
      <c r="N1274"/>
    </row>
    <row r="1275" spans="2:14" x14ac:dyDescent="0.2">
      <c r="B1275" s="74"/>
      <c r="C1275"/>
      <c r="D1275" s="74"/>
      <c r="E1275" s="74"/>
      <c r="F1275" s="74"/>
      <c r="G1275" s="74"/>
      <c r="I1275" s="110"/>
      <c r="J1275" s="111"/>
      <c r="K1275"/>
      <c r="L1275"/>
      <c r="M1275"/>
      <c r="N1275"/>
    </row>
    <row r="1276" spans="2:14" x14ac:dyDescent="0.2">
      <c r="B1276" s="74"/>
      <c r="C1276"/>
      <c r="D1276" s="74"/>
      <c r="E1276" s="74"/>
      <c r="F1276" s="74"/>
      <c r="G1276" s="74"/>
      <c r="I1276" s="110"/>
      <c r="J1276" s="111"/>
      <c r="K1276"/>
      <c r="L1276"/>
      <c r="M1276"/>
      <c r="N1276"/>
    </row>
    <row r="1277" spans="2:14" x14ac:dyDescent="0.2">
      <c r="B1277" s="74"/>
      <c r="C1277"/>
      <c r="D1277" s="74"/>
      <c r="E1277" s="74"/>
      <c r="F1277" s="74"/>
      <c r="G1277" s="74"/>
      <c r="I1277" s="110"/>
      <c r="J1277" s="111"/>
      <c r="K1277"/>
      <c r="L1277"/>
      <c r="M1277"/>
      <c r="N1277"/>
    </row>
    <row r="1278" spans="2:14" x14ac:dyDescent="0.2">
      <c r="B1278" s="74"/>
      <c r="C1278"/>
      <c r="D1278" s="74"/>
      <c r="E1278" s="74"/>
      <c r="F1278" s="74"/>
      <c r="G1278" s="74"/>
      <c r="I1278" s="110"/>
      <c r="J1278" s="111"/>
      <c r="K1278"/>
      <c r="L1278"/>
      <c r="M1278"/>
      <c r="N1278"/>
    </row>
    <row r="1279" spans="2:14" x14ac:dyDescent="0.2">
      <c r="B1279" s="74"/>
      <c r="C1279"/>
      <c r="D1279" s="74"/>
      <c r="E1279" s="74"/>
      <c r="F1279" s="74"/>
      <c r="G1279" s="74"/>
      <c r="I1279" s="110"/>
      <c r="J1279" s="111"/>
      <c r="K1279"/>
      <c r="L1279"/>
      <c r="M1279"/>
      <c r="N1279"/>
    </row>
    <row r="1280" spans="2:14" x14ac:dyDescent="0.2">
      <c r="B1280" s="74"/>
      <c r="C1280"/>
      <c r="D1280" s="74"/>
      <c r="E1280" s="74"/>
      <c r="F1280" s="74"/>
      <c r="G1280" s="74"/>
      <c r="I1280" s="110"/>
      <c r="J1280" s="111"/>
      <c r="K1280"/>
      <c r="L1280"/>
      <c r="M1280"/>
      <c r="N1280"/>
    </row>
    <row r="1281" spans="2:14" x14ac:dyDescent="0.2">
      <c r="B1281" s="74"/>
      <c r="C1281"/>
      <c r="D1281" s="74"/>
      <c r="E1281" s="74"/>
      <c r="F1281" s="74"/>
      <c r="G1281" s="74"/>
      <c r="I1281" s="110"/>
      <c r="J1281" s="111"/>
      <c r="K1281"/>
      <c r="L1281"/>
      <c r="M1281"/>
      <c r="N1281"/>
    </row>
    <row r="1282" spans="2:14" x14ac:dyDescent="0.2">
      <c r="B1282" s="74"/>
      <c r="C1282"/>
      <c r="D1282" s="74"/>
      <c r="E1282" s="74"/>
      <c r="F1282" s="74"/>
      <c r="G1282" s="74"/>
      <c r="I1282" s="110"/>
      <c r="J1282" s="111"/>
      <c r="K1282"/>
      <c r="L1282"/>
      <c r="M1282"/>
      <c r="N1282"/>
    </row>
    <row r="1283" spans="2:14" x14ac:dyDescent="0.2">
      <c r="B1283" s="74"/>
      <c r="C1283"/>
      <c r="D1283" s="74"/>
      <c r="E1283" s="74"/>
      <c r="F1283" s="74"/>
      <c r="G1283" s="74"/>
      <c r="I1283" s="110"/>
      <c r="J1283" s="111"/>
      <c r="K1283"/>
      <c r="L1283"/>
      <c r="M1283"/>
      <c r="N1283"/>
    </row>
    <row r="1284" spans="2:14" x14ac:dyDescent="0.2">
      <c r="B1284" s="74"/>
      <c r="C1284"/>
      <c r="D1284" s="74"/>
      <c r="E1284" s="74"/>
      <c r="F1284" s="74"/>
      <c r="G1284" s="74"/>
      <c r="I1284" s="110"/>
      <c r="J1284" s="111"/>
      <c r="K1284"/>
      <c r="L1284"/>
      <c r="M1284"/>
      <c r="N1284"/>
    </row>
    <row r="1285" spans="2:14" x14ac:dyDescent="0.2">
      <c r="B1285" s="74"/>
      <c r="C1285"/>
      <c r="D1285" s="74"/>
      <c r="E1285" s="74"/>
      <c r="F1285" s="74"/>
      <c r="G1285" s="74"/>
      <c r="I1285" s="110"/>
      <c r="J1285" s="111"/>
      <c r="K1285"/>
      <c r="L1285"/>
      <c r="M1285"/>
      <c r="N1285"/>
    </row>
    <row r="1286" spans="2:14" x14ac:dyDescent="0.2">
      <c r="B1286" s="74"/>
      <c r="C1286"/>
      <c r="D1286" s="74"/>
      <c r="E1286" s="74"/>
      <c r="F1286" s="74"/>
      <c r="G1286" s="74"/>
      <c r="I1286" s="110"/>
      <c r="J1286" s="111"/>
      <c r="K1286"/>
      <c r="L1286"/>
      <c r="M1286"/>
      <c r="N1286"/>
    </row>
    <row r="1287" spans="2:14" x14ac:dyDescent="0.2">
      <c r="B1287" s="74"/>
      <c r="C1287"/>
      <c r="D1287" s="74"/>
      <c r="E1287" s="74"/>
      <c r="F1287" s="74"/>
      <c r="G1287" s="74"/>
      <c r="I1287" s="110"/>
      <c r="J1287" s="111"/>
      <c r="K1287"/>
      <c r="L1287"/>
      <c r="M1287"/>
      <c r="N1287"/>
    </row>
    <row r="1288" spans="2:14" x14ac:dyDescent="0.2">
      <c r="B1288" s="74"/>
      <c r="C1288"/>
      <c r="D1288" s="74"/>
      <c r="E1288" s="74"/>
      <c r="F1288" s="74"/>
      <c r="G1288" s="74"/>
      <c r="I1288" s="110"/>
      <c r="J1288" s="111"/>
      <c r="K1288"/>
      <c r="L1288"/>
      <c r="M1288"/>
      <c r="N1288"/>
    </row>
    <row r="1289" spans="2:14" x14ac:dyDescent="0.2">
      <c r="B1289" s="74"/>
      <c r="C1289"/>
      <c r="D1289" s="74"/>
      <c r="E1289" s="74"/>
      <c r="F1289" s="74"/>
      <c r="G1289" s="74"/>
      <c r="I1289" s="110"/>
      <c r="J1289" s="111"/>
      <c r="K1289"/>
      <c r="L1289"/>
      <c r="M1289"/>
      <c r="N1289"/>
    </row>
    <row r="1290" spans="2:14" x14ac:dyDescent="0.2">
      <c r="B1290" s="74"/>
      <c r="C1290"/>
      <c r="D1290" s="74"/>
      <c r="E1290" s="74"/>
      <c r="F1290" s="74"/>
      <c r="G1290" s="74"/>
      <c r="I1290" s="110"/>
      <c r="J1290" s="111"/>
      <c r="K1290"/>
      <c r="L1290"/>
      <c r="M1290"/>
      <c r="N1290"/>
    </row>
    <row r="1291" spans="2:14" x14ac:dyDescent="0.2">
      <c r="B1291" s="74"/>
      <c r="C1291"/>
      <c r="D1291" s="74"/>
      <c r="E1291" s="74"/>
      <c r="F1291" s="74"/>
      <c r="G1291" s="74"/>
      <c r="I1291" s="110"/>
      <c r="J1291" s="111"/>
      <c r="K1291"/>
      <c r="L1291"/>
      <c r="M1291"/>
      <c r="N1291"/>
    </row>
    <row r="1292" spans="2:14" x14ac:dyDescent="0.2">
      <c r="B1292" s="74"/>
      <c r="C1292"/>
      <c r="D1292" s="74"/>
      <c r="E1292" s="74"/>
      <c r="F1292" s="74"/>
      <c r="G1292" s="74"/>
      <c r="I1292" s="110"/>
      <c r="J1292" s="111"/>
      <c r="K1292"/>
      <c r="L1292"/>
      <c r="M1292"/>
      <c r="N1292"/>
    </row>
    <row r="1293" spans="2:14" x14ac:dyDescent="0.2">
      <c r="B1293" s="74"/>
      <c r="C1293"/>
      <c r="D1293" s="74"/>
      <c r="E1293" s="74"/>
      <c r="F1293" s="74"/>
      <c r="G1293" s="74"/>
      <c r="I1293" s="110"/>
      <c r="J1293" s="111"/>
      <c r="K1293"/>
      <c r="L1293"/>
      <c r="M1293"/>
      <c r="N1293"/>
    </row>
    <row r="1294" spans="2:14" x14ac:dyDescent="0.2">
      <c r="B1294" s="74"/>
      <c r="C1294"/>
      <c r="D1294" s="74"/>
      <c r="E1294" s="74"/>
      <c r="F1294" s="74"/>
      <c r="G1294" s="74"/>
      <c r="I1294" s="110"/>
      <c r="J1294" s="111"/>
      <c r="K1294"/>
      <c r="L1294"/>
      <c r="M1294"/>
      <c r="N1294"/>
    </row>
    <row r="1295" spans="2:14" x14ac:dyDescent="0.2">
      <c r="B1295" s="74"/>
      <c r="C1295"/>
      <c r="D1295" s="74"/>
      <c r="E1295" s="74"/>
      <c r="F1295" s="74"/>
      <c r="G1295" s="74"/>
      <c r="I1295" s="110"/>
      <c r="J1295" s="111"/>
      <c r="K1295"/>
      <c r="L1295"/>
      <c r="M1295"/>
      <c r="N1295"/>
    </row>
    <row r="1296" spans="2:14" x14ac:dyDescent="0.2">
      <c r="B1296" s="74"/>
      <c r="C1296"/>
      <c r="D1296" s="74"/>
      <c r="E1296" s="74"/>
      <c r="F1296" s="74"/>
      <c r="G1296" s="74"/>
      <c r="I1296" s="110"/>
      <c r="J1296" s="111"/>
      <c r="K1296"/>
      <c r="L1296"/>
      <c r="M1296"/>
      <c r="N1296"/>
    </row>
    <row r="1297" spans="2:14" x14ac:dyDescent="0.2">
      <c r="B1297" s="74"/>
      <c r="C1297"/>
      <c r="D1297" s="74"/>
      <c r="E1297" s="74"/>
      <c r="F1297" s="74"/>
      <c r="G1297" s="74"/>
      <c r="I1297" s="110"/>
      <c r="J1297" s="111"/>
      <c r="K1297"/>
      <c r="L1297"/>
      <c r="M1297"/>
      <c r="N1297"/>
    </row>
    <row r="1298" spans="2:14" x14ac:dyDescent="0.2">
      <c r="B1298" s="74"/>
      <c r="C1298"/>
      <c r="D1298" s="74"/>
      <c r="E1298" s="74"/>
      <c r="F1298" s="74"/>
      <c r="G1298" s="74"/>
      <c r="I1298" s="110"/>
      <c r="J1298" s="111"/>
      <c r="K1298"/>
      <c r="L1298"/>
      <c r="M1298"/>
      <c r="N1298"/>
    </row>
    <row r="1299" spans="2:14" x14ac:dyDescent="0.2">
      <c r="B1299" s="74"/>
      <c r="C1299"/>
      <c r="D1299" s="74"/>
      <c r="E1299" s="74"/>
      <c r="F1299" s="74"/>
      <c r="G1299" s="74"/>
      <c r="I1299" s="110"/>
      <c r="J1299" s="111"/>
      <c r="K1299"/>
      <c r="L1299"/>
      <c r="M1299"/>
      <c r="N1299"/>
    </row>
    <row r="1300" spans="2:14" x14ac:dyDescent="0.2">
      <c r="B1300" s="74"/>
      <c r="C1300"/>
      <c r="D1300" s="74"/>
      <c r="E1300" s="74"/>
      <c r="F1300" s="74"/>
      <c r="G1300" s="74"/>
      <c r="I1300" s="110"/>
      <c r="J1300" s="111"/>
      <c r="K1300"/>
      <c r="L1300"/>
      <c r="M1300"/>
      <c r="N1300"/>
    </row>
    <row r="1301" spans="2:14" x14ac:dyDescent="0.2">
      <c r="B1301" s="74"/>
      <c r="C1301"/>
      <c r="D1301" s="74"/>
      <c r="E1301" s="74"/>
      <c r="F1301" s="74"/>
      <c r="G1301" s="74"/>
      <c r="I1301" s="110"/>
      <c r="J1301" s="111"/>
      <c r="K1301"/>
      <c r="L1301"/>
      <c r="M1301"/>
      <c r="N1301"/>
    </row>
    <row r="1302" spans="2:14" x14ac:dyDescent="0.2">
      <c r="B1302" s="74"/>
      <c r="C1302"/>
      <c r="D1302" s="74"/>
      <c r="E1302" s="74"/>
      <c r="F1302" s="74"/>
      <c r="G1302" s="74"/>
      <c r="I1302" s="110"/>
      <c r="J1302" s="111"/>
      <c r="K1302"/>
      <c r="L1302"/>
      <c r="M1302"/>
      <c r="N1302"/>
    </row>
    <row r="1303" spans="2:14" x14ac:dyDescent="0.2">
      <c r="B1303" s="74"/>
      <c r="C1303"/>
      <c r="D1303" s="74"/>
      <c r="E1303" s="74"/>
      <c r="F1303" s="74"/>
      <c r="G1303" s="74"/>
      <c r="I1303" s="110"/>
      <c r="J1303" s="111"/>
      <c r="K1303"/>
      <c r="L1303"/>
      <c r="M1303"/>
      <c r="N1303"/>
    </row>
    <row r="1304" spans="2:14" x14ac:dyDescent="0.2">
      <c r="B1304" s="74"/>
      <c r="C1304"/>
      <c r="D1304" s="74"/>
      <c r="E1304" s="74"/>
      <c r="F1304" s="74"/>
      <c r="G1304" s="74"/>
      <c r="I1304" s="110"/>
      <c r="J1304" s="111"/>
      <c r="K1304"/>
      <c r="L1304"/>
      <c r="M1304"/>
      <c r="N1304"/>
    </row>
    <row r="1305" spans="2:14" x14ac:dyDescent="0.2">
      <c r="B1305" s="74"/>
      <c r="C1305"/>
      <c r="D1305" s="74"/>
      <c r="E1305" s="74"/>
      <c r="F1305" s="74"/>
      <c r="G1305" s="74"/>
      <c r="I1305" s="110"/>
      <c r="J1305" s="111"/>
      <c r="K1305"/>
      <c r="L1305"/>
      <c r="M1305"/>
      <c r="N1305"/>
    </row>
    <row r="1306" spans="2:14" x14ac:dyDescent="0.2">
      <c r="B1306" s="74"/>
      <c r="C1306"/>
      <c r="D1306" s="74"/>
      <c r="E1306" s="74"/>
      <c r="F1306" s="74"/>
      <c r="G1306" s="74"/>
      <c r="I1306" s="110"/>
      <c r="J1306" s="111"/>
      <c r="K1306"/>
      <c r="L1306"/>
      <c r="M1306"/>
      <c r="N1306"/>
    </row>
    <row r="1307" spans="2:14" x14ac:dyDescent="0.2">
      <c r="B1307" s="74"/>
      <c r="C1307"/>
      <c r="D1307" s="74"/>
      <c r="E1307" s="74"/>
      <c r="F1307" s="74"/>
      <c r="G1307" s="74"/>
      <c r="I1307" s="110"/>
      <c r="J1307" s="111"/>
      <c r="K1307"/>
      <c r="L1307"/>
      <c r="M1307"/>
      <c r="N1307"/>
    </row>
    <row r="1308" spans="2:14" x14ac:dyDescent="0.2">
      <c r="B1308" s="74"/>
      <c r="C1308"/>
      <c r="D1308" s="74"/>
      <c r="E1308" s="74"/>
      <c r="F1308" s="74"/>
      <c r="G1308" s="74"/>
      <c r="I1308" s="110"/>
      <c r="J1308" s="111"/>
      <c r="K1308"/>
      <c r="L1308"/>
      <c r="M1308"/>
      <c r="N1308"/>
    </row>
    <row r="1309" spans="2:14" x14ac:dyDescent="0.2">
      <c r="B1309" s="74"/>
      <c r="C1309"/>
      <c r="D1309" s="74"/>
      <c r="E1309" s="74"/>
      <c r="F1309" s="74"/>
      <c r="G1309" s="74"/>
      <c r="I1309" s="110"/>
      <c r="J1309" s="111"/>
      <c r="K1309"/>
      <c r="L1309"/>
      <c r="M1309"/>
      <c r="N1309"/>
    </row>
    <row r="1310" spans="2:14" x14ac:dyDescent="0.2">
      <c r="B1310" s="74"/>
      <c r="C1310"/>
      <c r="D1310" s="74"/>
      <c r="E1310" s="74"/>
      <c r="F1310" s="74"/>
      <c r="G1310" s="74"/>
      <c r="I1310" s="110"/>
      <c r="J1310" s="111"/>
      <c r="K1310"/>
      <c r="L1310"/>
      <c r="M1310"/>
      <c r="N1310"/>
    </row>
    <row r="1311" spans="2:14" x14ac:dyDescent="0.2">
      <c r="B1311" s="74"/>
      <c r="C1311"/>
      <c r="D1311" s="74"/>
      <c r="E1311" s="74"/>
      <c r="F1311" s="74"/>
      <c r="G1311" s="74"/>
      <c r="I1311" s="110"/>
      <c r="J1311" s="111"/>
      <c r="K1311"/>
      <c r="L1311"/>
      <c r="M1311"/>
      <c r="N1311"/>
    </row>
    <row r="1312" spans="2:14" x14ac:dyDescent="0.2">
      <c r="B1312" s="74"/>
      <c r="C1312"/>
      <c r="D1312" s="74"/>
      <c r="E1312" s="74"/>
      <c r="F1312" s="74"/>
      <c r="G1312" s="74"/>
      <c r="I1312" s="110"/>
      <c r="J1312" s="111"/>
      <c r="K1312"/>
      <c r="L1312"/>
      <c r="M1312"/>
      <c r="N1312"/>
    </row>
    <row r="1313" spans="2:14" x14ac:dyDescent="0.2">
      <c r="B1313" s="74"/>
      <c r="C1313"/>
      <c r="D1313" s="74"/>
      <c r="E1313" s="74"/>
      <c r="F1313" s="74"/>
      <c r="G1313" s="74"/>
      <c r="I1313" s="110"/>
      <c r="J1313" s="111"/>
      <c r="K1313"/>
      <c r="L1313"/>
      <c r="M1313"/>
      <c r="N1313"/>
    </row>
    <row r="1314" spans="2:14" x14ac:dyDescent="0.2">
      <c r="B1314" s="74"/>
      <c r="C1314"/>
      <c r="D1314" s="74"/>
      <c r="E1314" s="74"/>
      <c r="F1314" s="74"/>
      <c r="G1314" s="74"/>
      <c r="I1314" s="110"/>
      <c r="J1314" s="111"/>
      <c r="K1314"/>
      <c r="L1314"/>
      <c r="M1314"/>
      <c r="N1314"/>
    </row>
    <row r="1315" spans="2:14" x14ac:dyDescent="0.2">
      <c r="B1315" s="74"/>
      <c r="C1315"/>
      <c r="D1315" s="74"/>
      <c r="E1315" s="74"/>
      <c r="F1315" s="74"/>
      <c r="G1315" s="74"/>
      <c r="I1315" s="110"/>
      <c r="J1315" s="111"/>
      <c r="K1315"/>
      <c r="L1315"/>
      <c r="M1315"/>
      <c r="N1315"/>
    </row>
    <row r="1316" spans="2:14" x14ac:dyDescent="0.2">
      <c r="B1316" s="74"/>
      <c r="C1316"/>
      <c r="D1316" s="74"/>
      <c r="E1316" s="74"/>
      <c r="F1316" s="74"/>
      <c r="G1316" s="74"/>
      <c r="I1316" s="110"/>
      <c r="J1316" s="111"/>
      <c r="K1316"/>
      <c r="L1316"/>
      <c r="M1316"/>
      <c r="N1316"/>
    </row>
    <row r="1317" spans="2:14" x14ac:dyDescent="0.2">
      <c r="B1317" s="74"/>
      <c r="C1317"/>
      <c r="D1317" s="74"/>
      <c r="E1317" s="74"/>
      <c r="F1317" s="74"/>
      <c r="G1317" s="74"/>
      <c r="I1317" s="110"/>
      <c r="J1317" s="111"/>
      <c r="K1317"/>
      <c r="L1317"/>
      <c r="M1317"/>
      <c r="N1317"/>
    </row>
    <row r="1318" spans="2:14" x14ac:dyDescent="0.2">
      <c r="B1318" s="74"/>
      <c r="C1318"/>
      <c r="D1318" s="74"/>
      <c r="E1318" s="74"/>
      <c r="F1318" s="74"/>
      <c r="G1318" s="74"/>
      <c r="I1318" s="110"/>
      <c r="J1318" s="111"/>
      <c r="K1318"/>
      <c r="L1318"/>
      <c r="M1318"/>
      <c r="N1318"/>
    </row>
    <row r="1319" spans="2:14" x14ac:dyDescent="0.2">
      <c r="B1319" s="74"/>
      <c r="C1319"/>
      <c r="D1319" s="74"/>
      <c r="E1319" s="74"/>
      <c r="F1319" s="74"/>
      <c r="G1319" s="74"/>
      <c r="I1319" s="110"/>
      <c r="J1319" s="111"/>
      <c r="K1319"/>
      <c r="L1319"/>
      <c r="M1319"/>
      <c r="N1319"/>
    </row>
    <row r="1320" spans="2:14" x14ac:dyDescent="0.2">
      <c r="B1320" s="74"/>
      <c r="C1320"/>
      <c r="D1320" s="74"/>
      <c r="E1320" s="74"/>
      <c r="F1320" s="74"/>
      <c r="G1320" s="74"/>
      <c r="I1320" s="110"/>
      <c r="J1320" s="111"/>
      <c r="K1320"/>
      <c r="L1320"/>
      <c r="M1320"/>
      <c r="N1320"/>
    </row>
    <row r="1321" spans="2:14" x14ac:dyDescent="0.2">
      <c r="B1321" s="74"/>
      <c r="C1321"/>
      <c r="D1321" s="74"/>
      <c r="E1321" s="74"/>
      <c r="F1321" s="74"/>
      <c r="G1321" s="74"/>
      <c r="I1321" s="110"/>
      <c r="J1321" s="111"/>
      <c r="K1321"/>
      <c r="L1321"/>
      <c r="M1321"/>
      <c r="N1321"/>
    </row>
    <row r="1322" spans="2:14" x14ac:dyDescent="0.2">
      <c r="B1322" s="74"/>
      <c r="C1322"/>
      <c r="D1322" s="74"/>
      <c r="E1322" s="74"/>
      <c r="F1322" s="74"/>
      <c r="G1322" s="74"/>
      <c r="I1322" s="110"/>
      <c r="J1322" s="111"/>
      <c r="K1322"/>
      <c r="L1322"/>
      <c r="M1322"/>
      <c r="N1322"/>
    </row>
    <row r="1323" spans="2:14" x14ac:dyDescent="0.2">
      <c r="B1323" s="74"/>
      <c r="C1323"/>
      <c r="D1323" s="74"/>
      <c r="E1323" s="74"/>
      <c r="F1323" s="74"/>
      <c r="G1323" s="74"/>
      <c r="I1323" s="110"/>
      <c r="J1323" s="111"/>
      <c r="K1323"/>
      <c r="L1323"/>
      <c r="M1323"/>
      <c r="N1323"/>
    </row>
    <row r="1324" spans="2:14" x14ac:dyDescent="0.2">
      <c r="B1324" s="74"/>
      <c r="C1324"/>
      <c r="D1324" s="74"/>
      <c r="E1324" s="74"/>
      <c r="F1324" s="74"/>
      <c r="G1324" s="74"/>
      <c r="I1324" s="110"/>
      <c r="J1324" s="111"/>
      <c r="K1324"/>
      <c r="L1324"/>
      <c r="M1324"/>
      <c r="N1324"/>
    </row>
    <row r="1325" spans="2:14" x14ac:dyDescent="0.2">
      <c r="B1325" s="74"/>
      <c r="C1325"/>
      <c r="D1325" s="74"/>
      <c r="E1325" s="74"/>
      <c r="F1325" s="74"/>
      <c r="G1325" s="74"/>
      <c r="I1325" s="110"/>
      <c r="J1325" s="111"/>
      <c r="K1325"/>
      <c r="L1325"/>
      <c r="M1325"/>
      <c r="N1325"/>
    </row>
    <row r="1326" spans="2:14" x14ac:dyDescent="0.2">
      <c r="B1326" s="74"/>
      <c r="C1326"/>
      <c r="D1326" s="74"/>
      <c r="E1326" s="74"/>
      <c r="F1326" s="74"/>
      <c r="G1326" s="74"/>
      <c r="I1326" s="110"/>
      <c r="J1326" s="111"/>
      <c r="K1326"/>
      <c r="L1326"/>
      <c r="M1326"/>
      <c r="N1326"/>
    </row>
    <row r="1327" spans="2:14" x14ac:dyDescent="0.2">
      <c r="B1327" s="74"/>
      <c r="C1327"/>
      <c r="D1327" s="74"/>
      <c r="E1327" s="74"/>
      <c r="F1327" s="74"/>
      <c r="G1327" s="74"/>
      <c r="I1327" s="110"/>
      <c r="J1327" s="111"/>
      <c r="K1327"/>
      <c r="L1327"/>
      <c r="M1327"/>
      <c r="N1327"/>
    </row>
    <row r="1328" spans="2:14" x14ac:dyDescent="0.2">
      <c r="B1328" s="74"/>
      <c r="C1328"/>
      <c r="D1328" s="74"/>
      <c r="E1328" s="74"/>
      <c r="F1328" s="74"/>
      <c r="G1328" s="74"/>
      <c r="I1328" s="110"/>
      <c r="J1328" s="111"/>
      <c r="K1328"/>
      <c r="L1328"/>
      <c r="M1328"/>
      <c r="N1328"/>
    </row>
    <row r="1329" spans="2:14" x14ac:dyDescent="0.2">
      <c r="B1329" s="74"/>
      <c r="C1329"/>
      <c r="D1329" s="74"/>
      <c r="E1329" s="74"/>
      <c r="F1329" s="74"/>
      <c r="G1329" s="74"/>
      <c r="I1329" s="110"/>
      <c r="J1329" s="111"/>
      <c r="K1329"/>
      <c r="L1329"/>
      <c r="M1329"/>
      <c r="N1329"/>
    </row>
  </sheetData>
  <protectedRanges>
    <protectedRange sqref="G178:I184 G194:I194 G196:I196 G234:I236 G246:I246 G248:I248 G238:I238 G240:I240 G242:I242 G244:I244 G250:I250 G252:I252 G254:I254 G256:I256 G258:I258 G260:I262 G272:I272 G274:I274 G264:I264 G266:I266 G268:I268 G270:I270 G276:I276 G278:I278 G280:I280 G282:I282 G284:I284 G286:I288 G290:I291 G293:I294 G296:I297 G302:I303 G305:I306 G308:I309 G317:I321 G323:I323 G331:I331 G333:I333 C347:F350 D159:F159 C208 C207:F207 G186:I186 G188:I188 G190:I190 G192:I192 C178:F205 C209:F209 G198:I198 G200:I200 G202:I202 G204:I204 C206:I206 D215:F219 D221:F225 D227:F233 D210:F213 C210:C233 G208:I210 G222:I222 G212:I212 G216:I216 G218:I218 G224:I224 G228:I228 G230:I230 G232:I232 G311:I312 G327:I327 G329:I329 G325:I325 C351 G347:I663 G335:I345 A2:B3 C352:F663 C234:F345 D226:I226 D214:I214 D220:I220 A1:I1 B156:I156 B178:B345 B347:B663 A82:A664 J4:N4 J83:N763 J23:N25 K15:N15 J18:K18 K12:N12 K6:N6 J16:N17 K45:K54 K30:N30 K26:N26 A34 J27:N27 J55:N55 J33:N40 J29:N29 J42:K44 K56:N56 J7:N11 J57:N61 J75:M76 M22:N22 J31:N31 J21:N21" name="Bereich1"/>
    <protectedRange sqref="C2:N3" name="Bereich1_4"/>
    <protectedRange sqref="G185:I185 G334:I334 G211:I211 G237:I237 G263:I263 G289:I289 G304:I304 G322:I322 G332:I332 G330:I330 G328:I328" name="Bereich1_2"/>
    <protectedRange sqref="G307:I307 G187:I187 G213:I213 G239:I239 G265:I265 G292:I292" name="Bereich1_3"/>
    <protectedRange sqref="G189:I189 G326:I326 G215:I215 G241:I241 G267:I267 G295:I295 G310:I310 G324:I324" name="Bereich1_5"/>
    <protectedRange sqref="G191:I191 G217:I217 G243:I243 G269:I269 G298:I301 G313:I316" name="Bereich1_6"/>
    <protectedRange sqref="G193:I193 G219:I219 G245:I245 G271:I271" name="Bereich1_7"/>
    <protectedRange sqref="G195:I195 G221:I221 G247:I247 G273:I273" name="Bereich1_8"/>
    <protectedRange sqref="G197:I197 G199:I199 G201:I201 G203:I203 G205:I205 G207:I207 G223:I223 G225:I225 G227:I227 G229:I229 G231:I231 G233:I233 G249:I249 G251:I251 G253:I253 G255:I255 G257:I257 G259:I259 G275:I275 G277:I277 G279:I279 G281:I281 G283:I283 G285:I285" name="Bereich1_9"/>
    <protectedRange sqref="D208:F208" name="Bereich1_10"/>
    <protectedRange sqref="L42:N44 N45:N54" name="Bereich1_14"/>
    <protectedRange sqref="J5:N5 J14:N14 J28:N28 J32:N32 J62:N62 J65:N65" name="Bereich1_18"/>
    <protectedRange sqref="B5 B14 B60 B17 B23 B32 B28 B62 B65" name="Bereich1_1_10"/>
    <protectedRange sqref="J19:J20 J41:N41 J45:J54 J56" name="Bereich1_24_2"/>
    <protectedRange sqref="B42:B54" name="Bereich1_1_5_1"/>
    <protectedRange sqref="B41" name="Bereich1_1_10_2_1"/>
    <protectedRange sqref="K19:N20 L45:M54" name="Bereich1_24_1_1"/>
    <protectedRange sqref="A63:A64 A66:A67 A70" name="Bereich1_11"/>
    <protectedRange sqref="A77:A80 A68" name="Bereich1_12"/>
    <protectedRange sqref="J78:J79" name="Bereich1_23"/>
    <protectedRange sqref="J68:N68" name="Bereich1_15"/>
    <protectedRange sqref="B68" name="Bereich1_1_10_1"/>
    <protectedRange sqref="K77:N79" name="Bereich1_12_1"/>
    <protectedRange sqref="J77" name="Bereich1_11_4"/>
    <protectedRange sqref="B58:B59" name="Bereich1_1_4"/>
    <protectedRange sqref="J63 J70:J74 J66 L70:N74 N75:N76" name="Bereich1_13"/>
    <protectedRange sqref="B63:B64 B66:B67 B69:B81" name="Bereich1_1_6_1"/>
    <protectedRange sqref="L18:N18" name="Bereich1_13_1"/>
    <protectedRange sqref="L22" name="Bereich1_17"/>
    <protectedRange sqref="K22" name="Bereich1_17_1"/>
  </protectedRanges>
  <mergeCells count="703">
    <mergeCell ref="D706:E706"/>
    <mergeCell ref="D700:E700"/>
    <mergeCell ref="D701:E701"/>
    <mergeCell ref="D702:E702"/>
    <mergeCell ref="D703:E703"/>
    <mergeCell ref="D704:E704"/>
    <mergeCell ref="D705:E705"/>
    <mergeCell ref="D694:E694"/>
    <mergeCell ref="D695:E695"/>
    <mergeCell ref="D696:E696"/>
    <mergeCell ref="D697:E697"/>
    <mergeCell ref="D698:E698"/>
    <mergeCell ref="D699:E699"/>
    <mergeCell ref="D688:E688"/>
    <mergeCell ref="D689:E689"/>
    <mergeCell ref="D690:E690"/>
    <mergeCell ref="D691:E691"/>
    <mergeCell ref="D692:E692"/>
    <mergeCell ref="D693:E693"/>
    <mergeCell ref="D682:E682"/>
    <mergeCell ref="D683:E683"/>
    <mergeCell ref="D684:E684"/>
    <mergeCell ref="D685:E685"/>
    <mergeCell ref="D686:E686"/>
    <mergeCell ref="D687:E687"/>
    <mergeCell ref="D676:E676"/>
    <mergeCell ref="D677:E677"/>
    <mergeCell ref="D678:E678"/>
    <mergeCell ref="D679:E679"/>
    <mergeCell ref="D680:E680"/>
    <mergeCell ref="D681:E681"/>
    <mergeCell ref="D670:E670"/>
    <mergeCell ref="D671:E671"/>
    <mergeCell ref="D672:E672"/>
    <mergeCell ref="D673:E673"/>
    <mergeCell ref="D674:E674"/>
    <mergeCell ref="D675:E675"/>
    <mergeCell ref="D664:E664"/>
    <mergeCell ref="D665:E665"/>
    <mergeCell ref="D666:E666"/>
    <mergeCell ref="D667:E667"/>
    <mergeCell ref="D668:E668"/>
    <mergeCell ref="D669:E669"/>
    <mergeCell ref="D658:E658"/>
    <mergeCell ref="D659:E659"/>
    <mergeCell ref="D660:E660"/>
    <mergeCell ref="D661:E661"/>
    <mergeCell ref="D662:E662"/>
    <mergeCell ref="D663:E663"/>
    <mergeCell ref="D652:E652"/>
    <mergeCell ref="D653:E653"/>
    <mergeCell ref="D654:E654"/>
    <mergeCell ref="D655:E655"/>
    <mergeCell ref="D656:E656"/>
    <mergeCell ref="D657:E657"/>
    <mergeCell ref="D646:E646"/>
    <mergeCell ref="D647:E647"/>
    <mergeCell ref="D648:E648"/>
    <mergeCell ref="D649:E649"/>
    <mergeCell ref="D650:E650"/>
    <mergeCell ref="D651:E651"/>
    <mergeCell ref="D640:E640"/>
    <mergeCell ref="D641:E641"/>
    <mergeCell ref="D642:E642"/>
    <mergeCell ref="D643:E643"/>
    <mergeCell ref="D644:E644"/>
    <mergeCell ref="D645:E645"/>
    <mergeCell ref="D634:E634"/>
    <mergeCell ref="D635:E635"/>
    <mergeCell ref="D636:E636"/>
    <mergeCell ref="D637:E637"/>
    <mergeCell ref="D638:E638"/>
    <mergeCell ref="D639:E639"/>
    <mergeCell ref="D628:E628"/>
    <mergeCell ref="D629:E629"/>
    <mergeCell ref="D630:E630"/>
    <mergeCell ref="D631:E631"/>
    <mergeCell ref="D632:E632"/>
    <mergeCell ref="D633:E633"/>
    <mergeCell ref="D622:E622"/>
    <mergeCell ref="D623:E623"/>
    <mergeCell ref="D624:E624"/>
    <mergeCell ref="D625:E625"/>
    <mergeCell ref="D626:E626"/>
    <mergeCell ref="D627:E627"/>
    <mergeCell ref="D616:E616"/>
    <mergeCell ref="D617:E617"/>
    <mergeCell ref="D618:E618"/>
    <mergeCell ref="D619:E619"/>
    <mergeCell ref="D620:E620"/>
    <mergeCell ref="D621:E621"/>
    <mergeCell ref="D610:E610"/>
    <mergeCell ref="D611:E611"/>
    <mergeCell ref="D612:E612"/>
    <mergeCell ref="D613:E613"/>
    <mergeCell ref="D614:E614"/>
    <mergeCell ref="D615:E615"/>
    <mergeCell ref="D604:E604"/>
    <mergeCell ref="D605:E605"/>
    <mergeCell ref="D606:E606"/>
    <mergeCell ref="D607:E607"/>
    <mergeCell ref="D608:E608"/>
    <mergeCell ref="D609:E609"/>
    <mergeCell ref="D598:E598"/>
    <mergeCell ref="D599:E599"/>
    <mergeCell ref="D600:E600"/>
    <mergeCell ref="D601:E601"/>
    <mergeCell ref="D602:E602"/>
    <mergeCell ref="D603:E603"/>
    <mergeCell ref="D592:E592"/>
    <mergeCell ref="D593:E593"/>
    <mergeCell ref="D594:E594"/>
    <mergeCell ref="D595:E595"/>
    <mergeCell ref="D596:E596"/>
    <mergeCell ref="D597:E597"/>
    <mergeCell ref="D586:E586"/>
    <mergeCell ref="D587:E587"/>
    <mergeCell ref="D588:E588"/>
    <mergeCell ref="D589:E589"/>
    <mergeCell ref="D590:E590"/>
    <mergeCell ref="D591:E591"/>
    <mergeCell ref="D580:E580"/>
    <mergeCell ref="D581:E581"/>
    <mergeCell ref="D582:E582"/>
    <mergeCell ref="D583:E583"/>
    <mergeCell ref="D584:E584"/>
    <mergeCell ref="D585:E585"/>
    <mergeCell ref="D574:E574"/>
    <mergeCell ref="D575:E575"/>
    <mergeCell ref="D576:E576"/>
    <mergeCell ref="D577:E577"/>
    <mergeCell ref="D578:E578"/>
    <mergeCell ref="D579:E579"/>
    <mergeCell ref="D568:E568"/>
    <mergeCell ref="D569:E569"/>
    <mergeCell ref="D570:E570"/>
    <mergeCell ref="D571:E571"/>
    <mergeCell ref="D572:E572"/>
    <mergeCell ref="D573:E573"/>
    <mergeCell ref="D562:E562"/>
    <mergeCell ref="D563:E563"/>
    <mergeCell ref="D564:E564"/>
    <mergeCell ref="D565:E565"/>
    <mergeCell ref="D566:E566"/>
    <mergeCell ref="D567:E567"/>
    <mergeCell ref="D556:E556"/>
    <mergeCell ref="D557:E557"/>
    <mergeCell ref="D558:E558"/>
    <mergeCell ref="D559:E559"/>
    <mergeCell ref="D560:E560"/>
    <mergeCell ref="D561:E561"/>
    <mergeCell ref="D550:E550"/>
    <mergeCell ref="D551:E551"/>
    <mergeCell ref="D552:E552"/>
    <mergeCell ref="D553:E553"/>
    <mergeCell ref="D554:E554"/>
    <mergeCell ref="D555:E555"/>
    <mergeCell ref="D544:E544"/>
    <mergeCell ref="D545:E545"/>
    <mergeCell ref="D546:E546"/>
    <mergeCell ref="D547:E547"/>
    <mergeCell ref="D548:E548"/>
    <mergeCell ref="D549:E549"/>
    <mergeCell ref="D538:E538"/>
    <mergeCell ref="D539:E539"/>
    <mergeCell ref="D540:E540"/>
    <mergeCell ref="D541:E541"/>
    <mergeCell ref="D542:E542"/>
    <mergeCell ref="D543:E543"/>
    <mergeCell ref="D532:E532"/>
    <mergeCell ref="D533:E533"/>
    <mergeCell ref="D534:E534"/>
    <mergeCell ref="D535:E535"/>
    <mergeCell ref="D536:E536"/>
    <mergeCell ref="D537:E537"/>
    <mergeCell ref="D526:E526"/>
    <mergeCell ref="D527:E527"/>
    <mergeCell ref="D528:E528"/>
    <mergeCell ref="D529:E529"/>
    <mergeCell ref="D530:E530"/>
    <mergeCell ref="D531:E531"/>
    <mergeCell ref="D520:E520"/>
    <mergeCell ref="D521:E521"/>
    <mergeCell ref="D522:E522"/>
    <mergeCell ref="D523:E523"/>
    <mergeCell ref="D524:E524"/>
    <mergeCell ref="D525:E525"/>
    <mergeCell ref="D514:E514"/>
    <mergeCell ref="D515:E515"/>
    <mergeCell ref="D516:E516"/>
    <mergeCell ref="D517:E517"/>
    <mergeCell ref="D518:E518"/>
    <mergeCell ref="D519:E519"/>
    <mergeCell ref="D508:E508"/>
    <mergeCell ref="D509:E509"/>
    <mergeCell ref="D510:E510"/>
    <mergeCell ref="D511:E511"/>
    <mergeCell ref="D512:E512"/>
    <mergeCell ref="D513:E513"/>
    <mergeCell ref="D502:E502"/>
    <mergeCell ref="D503:E503"/>
    <mergeCell ref="D504:E504"/>
    <mergeCell ref="D505:E505"/>
    <mergeCell ref="D506:E506"/>
    <mergeCell ref="D507:E507"/>
    <mergeCell ref="D496:E496"/>
    <mergeCell ref="D497:E497"/>
    <mergeCell ref="D498:E498"/>
    <mergeCell ref="D499:E499"/>
    <mergeCell ref="D500:E500"/>
    <mergeCell ref="D501:E501"/>
    <mergeCell ref="D490:E490"/>
    <mergeCell ref="D491:E491"/>
    <mergeCell ref="D492:E492"/>
    <mergeCell ref="D493:E493"/>
    <mergeCell ref="D494:E494"/>
    <mergeCell ref="D495:E495"/>
    <mergeCell ref="D484:E484"/>
    <mergeCell ref="D485:E485"/>
    <mergeCell ref="D486:E486"/>
    <mergeCell ref="D487:E487"/>
    <mergeCell ref="D488:E488"/>
    <mergeCell ref="D489:E489"/>
    <mergeCell ref="D478:E478"/>
    <mergeCell ref="D479:E479"/>
    <mergeCell ref="D480:E480"/>
    <mergeCell ref="D481:E481"/>
    <mergeCell ref="D482:E482"/>
    <mergeCell ref="D483:E483"/>
    <mergeCell ref="D472:E472"/>
    <mergeCell ref="D473:E473"/>
    <mergeCell ref="D474:E474"/>
    <mergeCell ref="D475:E475"/>
    <mergeCell ref="D476:E476"/>
    <mergeCell ref="D477:E477"/>
    <mergeCell ref="D466:E466"/>
    <mergeCell ref="D467:E467"/>
    <mergeCell ref="D468:E468"/>
    <mergeCell ref="D469:E469"/>
    <mergeCell ref="D470:E470"/>
    <mergeCell ref="D471:E471"/>
    <mergeCell ref="D460:E460"/>
    <mergeCell ref="D461:E461"/>
    <mergeCell ref="D462:E462"/>
    <mergeCell ref="D463:E463"/>
    <mergeCell ref="D464:E464"/>
    <mergeCell ref="D465:E465"/>
    <mergeCell ref="D454:E454"/>
    <mergeCell ref="D455:E455"/>
    <mergeCell ref="D456:E456"/>
    <mergeCell ref="D457:E457"/>
    <mergeCell ref="D458:E458"/>
    <mergeCell ref="D459:E459"/>
    <mergeCell ref="D448:E448"/>
    <mergeCell ref="D449:E449"/>
    <mergeCell ref="D450:E450"/>
    <mergeCell ref="D451:E451"/>
    <mergeCell ref="D452:E452"/>
    <mergeCell ref="D453:E453"/>
    <mergeCell ref="D442:E442"/>
    <mergeCell ref="D443:E443"/>
    <mergeCell ref="D444:E444"/>
    <mergeCell ref="D445:E445"/>
    <mergeCell ref="D446:E446"/>
    <mergeCell ref="D447:E447"/>
    <mergeCell ref="D436:E436"/>
    <mergeCell ref="D437:E437"/>
    <mergeCell ref="D438:E438"/>
    <mergeCell ref="D439:E439"/>
    <mergeCell ref="D440:E440"/>
    <mergeCell ref="D441:E441"/>
    <mergeCell ref="D430:E430"/>
    <mergeCell ref="D431:E431"/>
    <mergeCell ref="D432:E432"/>
    <mergeCell ref="D433:E433"/>
    <mergeCell ref="D434:E434"/>
    <mergeCell ref="D435:E435"/>
    <mergeCell ref="D424:E424"/>
    <mergeCell ref="D425:E425"/>
    <mergeCell ref="D426:E426"/>
    <mergeCell ref="D427:E427"/>
    <mergeCell ref="D428:E428"/>
    <mergeCell ref="D429:E429"/>
    <mergeCell ref="D418:E418"/>
    <mergeCell ref="D419:E419"/>
    <mergeCell ref="D420:E420"/>
    <mergeCell ref="D421:E421"/>
    <mergeCell ref="D422:E422"/>
    <mergeCell ref="D423:E423"/>
    <mergeCell ref="D412:E412"/>
    <mergeCell ref="D413:E413"/>
    <mergeCell ref="D414:E414"/>
    <mergeCell ref="D415:E415"/>
    <mergeCell ref="D416:E416"/>
    <mergeCell ref="D417:E417"/>
    <mergeCell ref="D406:E406"/>
    <mergeCell ref="D407:E407"/>
    <mergeCell ref="D408:E408"/>
    <mergeCell ref="D409:E409"/>
    <mergeCell ref="D410:E410"/>
    <mergeCell ref="D411:E411"/>
    <mergeCell ref="D400:E400"/>
    <mergeCell ref="D401:E401"/>
    <mergeCell ref="D402:E402"/>
    <mergeCell ref="D403:E403"/>
    <mergeCell ref="D404:E404"/>
    <mergeCell ref="D405:E405"/>
    <mergeCell ref="D394:E394"/>
    <mergeCell ref="D395:E395"/>
    <mergeCell ref="D396:E396"/>
    <mergeCell ref="D397:E397"/>
    <mergeCell ref="D398:E398"/>
    <mergeCell ref="D399:E399"/>
    <mergeCell ref="D388:E388"/>
    <mergeCell ref="D389:E389"/>
    <mergeCell ref="D390:E390"/>
    <mergeCell ref="D391:E391"/>
    <mergeCell ref="D392:E392"/>
    <mergeCell ref="D393:E393"/>
    <mergeCell ref="D382:E382"/>
    <mergeCell ref="D383:E383"/>
    <mergeCell ref="D384:E384"/>
    <mergeCell ref="D385:E385"/>
    <mergeCell ref="D386:E386"/>
    <mergeCell ref="D387:E387"/>
    <mergeCell ref="D376:E376"/>
    <mergeCell ref="D377:E377"/>
    <mergeCell ref="D378:E378"/>
    <mergeCell ref="D379:E379"/>
    <mergeCell ref="D380:E380"/>
    <mergeCell ref="D381:E381"/>
    <mergeCell ref="D370:E370"/>
    <mergeCell ref="D371:E371"/>
    <mergeCell ref="D372:E372"/>
    <mergeCell ref="D373:E373"/>
    <mergeCell ref="D374:E374"/>
    <mergeCell ref="D375:E375"/>
    <mergeCell ref="D364:E364"/>
    <mergeCell ref="D365:E365"/>
    <mergeCell ref="D366:E366"/>
    <mergeCell ref="D367:E367"/>
    <mergeCell ref="D368:E368"/>
    <mergeCell ref="D369:E369"/>
    <mergeCell ref="D358:E358"/>
    <mergeCell ref="D359:E359"/>
    <mergeCell ref="D360:E360"/>
    <mergeCell ref="D361:E361"/>
    <mergeCell ref="D362:E362"/>
    <mergeCell ref="D363:E363"/>
    <mergeCell ref="D352:E352"/>
    <mergeCell ref="D353:E353"/>
    <mergeCell ref="D354:E354"/>
    <mergeCell ref="D355:E355"/>
    <mergeCell ref="D356:E356"/>
    <mergeCell ref="D357:E357"/>
    <mergeCell ref="D346:F346"/>
    <mergeCell ref="D347:E347"/>
    <mergeCell ref="D348:E348"/>
    <mergeCell ref="D349:E349"/>
    <mergeCell ref="D350:E350"/>
    <mergeCell ref="D351:E351"/>
    <mergeCell ref="D340:E340"/>
    <mergeCell ref="D341:E341"/>
    <mergeCell ref="D342:E342"/>
    <mergeCell ref="D343:E343"/>
    <mergeCell ref="D344:E344"/>
    <mergeCell ref="D345:E345"/>
    <mergeCell ref="D334:E334"/>
    <mergeCell ref="D335:E335"/>
    <mergeCell ref="D336:E336"/>
    <mergeCell ref="D337:E337"/>
    <mergeCell ref="D338:E338"/>
    <mergeCell ref="D339:E339"/>
    <mergeCell ref="D328:E328"/>
    <mergeCell ref="D329:E329"/>
    <mergeCell ref="D330:E330"/>
    <mergeCell ref="D331:E331"/>
    <mergeCell ref="D332:E332"/>
    <mergeCell ref="D333:E333"/>
    <mergeCell ref="D322:E322"/>
    <mergeCell ref="D323:E323"/>
    <mergeCell ref="D324:E324"/>
    <mergeCell ref="D325:E325"/>
    <mergeCell ref="D326:E326"/>
    <mergeCell ref="D327:E327"/>
    <mergeCell ref="D315:E315"/>
    <mergeCell ref="D316:E316"/>
    <mergeCell ref="D318:E318"/>
    <mergeCell ref="D319:E319"/>
    <mergeCell ref="D320:E320"/>
    <mergeCell ref="D321:E321"/>
    <mergeCell ref="D309:E309"/>
    <mergeCell ref="D310:E310"/>
    <mergeCell ref="D311:E311"/>
    <mergeCell ref="D312:E312"/>
    <mergeCell ref="D313:E313"/>
    <mergeCell ref="D314:E314"/>
    <mergeCell ref="D303:E303"/>
    <mergeCell ref="D304:E304"/>
    <mergeCell ref="D305:E305"/>
    <mergeCell ref="D306:E306"/>
    <mergeCell ref="D307:E307"/>
    <mergeCell ref="D308:E308"/>
    <mergeCell ref="D297:E297"/>
    <mergeCell ref="D298:E298"/>
    <mergeCell ref="D299:E299"/>
    <mergeCell ref="D300:E300"/>
    <mergeCell ref="D301:E301"/>
    <mergeCell ref="D302:E302"/>
    <mergeCell ref="D291:E291"/>
    <mergeCell ref="D292:E292"/>
    <mergeCell ref="D293:E293"/>
    <mergeCell ref="D294:E294"/>
    <mergeCell ref="D295:E295"/>
    <mergeCell ref="D296:E296"/>
    <mergeCell ref="D285:E285"/>
    <mergeCell ref="D286:E286"/>
    <mergeCell ref="D287:E287"/>
    <mergeCell ref="D288:E288"/>
    <mergeCell ref="D289:E289"/>
    <mergeCell ref="D290:E290"/>
    <mergeCell ref="D279:E279"/>
    <mergeCell ref="D280:E280"/>
    <mergeCell ref="D281:E281"/>
    <mergeCell ref="D282:E282"/>
    <mergeCell ref="D283:E283"/>
    <mergeCell ref="D284:E284"/>
    <mergeCell ref="D273:E273"/>
    <mergeCell ref="D274:E274"/>
    <mergeCell ref="D275:E275"/>
    <mergeCell ref="D276:E276"/>
    <mergeCell ref="D277:E277"/>
    <mergeCell ref="D278:E278"/>
    <mergeCell ref="D267:E267"/>
    <mergeCell ref="D268:E268"/>
    <mergeCell ref="D269:E269"/>
    <mergeCell ref="D270:E270"/>
    <mergeCell ref="D271:E271"/>
    <mergeCell ref="D272:E272"/>
    <mergeCell ref="D261:E261"/>
    <mergeCell ref="D262:E262"/>
    <mergeCell ref="D263:E263"/>
    <mergeCell ref="D264:E264"/>
    <mergeCell ref="D265:E265"/>
    <mergeCell ref="D266:E266"/>
    <mergeCell ref="D251:E251"/>
    <mergeCell ref="D252:E252"/>
    <mergeCell ref="D253:E253"/>
    <mergeCell ref="D254:E254"/>
    <mergeCell ref="D255:E255"/>
    <mergeCell ref="D256:E256"/>
    <mergeCell ref="D245:E245"/>
    <mergeCell ref="D246:E246"/>
    <mergeCell ref="D247:E247"/>
    <mergeCell ref="D248:E248"/>
    <mergeCell ref="D249:E249"/>
    <mergeCell ref="D250:E250"/>
    <mergeCell ref="D239:E239"/>
    <mergeCell ref="D240:E240"/>
    <mergeCell ref="D241:E241"/>
    <mergeCell ref="D242:E242"/>
    <mergeCell ref="D243:E243"/>
    <mergeCell ref="D244:E244"/>
    <mergeCell ref="D232:E232"/>
    <mergeCell ref="D233:E233"/>
    <mergeCell ref="D235:E235"/>
    <mergeCell ref="D236:E236"/>
    <mergeCell ref="D237:E237"/>
    <mergeCell ref="D238:E238"/>
    <mergeCell ref="D226:E226"/>
    <mergeCell ref="D227:E227"/>
    <mergeCell ref="D228:E228"/>
    <mergeCell ref="D229:E229"/>
    <mergeCell ref="D230:E230"/>
    <mergeCell ref="D231:E231"/>
    <mergeCell ref="D220:E220"/>
    <mergeCell ref="D221:E221"/>
    <mergeCell ref="D222:E222"/>
    <mergeCell ref="D223:E223"/>
    <mergeCell ref="D224:E224"/>
    <mergeCell ref="D225:E225"/>
    <mergeCell ref="D214:E214"/>
    <mergeCell ref="D215:E215"/>
    <mergeCell ref="D216:E216"/>
    <mergeCell ref="D217:E217"/>
    <mergeCell ref="D218:E218"/>
    <mergeCell ref="D219:E219"/>
    <mergeCell ref="D208:E208"/>
    <mergeCell ref="D209:E209"/>
    <mergeCell ref="D210:E210"/>
    <mergeCell ref="D211:E211"/>
    <mergeCell ref="D212:E212"/>
    <mergeCell ref="D213:E213"/>
    <mergeCell ref="D202:E202"/>
    <mergeCell ref="D203:E203"/>
    <mergeCell ref="D204:E204"/>
    <mergeCell ref="D205:E205"/>
    <mergeCell ref="D206:E206"/>
    <mergeCell ref="D207:E207"/>
    <mergeCell ref="D196:E196"/>
    <mergeCell ref="D197:E197"/>
    <mergeCell ref="D198:E198"/>
    <mergeCell ref="D199:E199"/>
    <mergeCell ref="D200:E200"/>
    <mergeCell ref="D201:E201"/>
    <mergeCell ref="D190:E190"/>
    <mergeCell ref="D191:E191"/>
    <mergeCell ref="D192:E192"/>
    <mergeCell ref="D193:E193"/>
    <mergeCell ref="D194:E194"/>
    <mergeCell ref="D195:E195"/>
    <mergeCell ref="D184:E184"/>
    <mergeCell ref="D185:E185"/>
    <mergeCell ref="D186:E186"/>
    <mergeCell ref="D187:E187"/>
    <mergeCell ref="D188:E188"/>
    <mergeCell ref="D189:E189"/>
    <mergeCell ref="D176:E176"/>
    <mergeCell ref="D177:F177"/>
    <mergeCell ref="D178:E178"/>
    <mergeCell ref="D179:E179"/>
    <mergeCell ref="D180:E180"/>
    <mergeCell ref="D183:E183"/>
    <mergeCell ref="D170:E170"/>
    <mergeCell ref="D171:E171"/>
    <mergeCell ref="D172:E172"/>
    <mergeCell ref="D173:E173"/>
    <mergeCell ref="D174:E174"/>
    <mergeCell ref="D175:E175"/>
    <mergeCell ref="D164:E164"/>
    <mergeCell ref="D165:E165"/>
    <mergeCell ref="D166:E166"/>
    <mergeCell ref="D167:E167"/>
    <mergeCell ref="D168:E168"/>
    <mergeCell ref="D169:E169"/>
    <mergeCell ref="D158:E158"/>
    <mergeCell ref="D159:E159"/>
    <mergeCell ref="D160:E160"/>
    <mergeCell ref="D161:E161"/>
    <mergeCell ref="D162:E162"/>
    <mergeCell ref="D163:E163"/>
    <mergeCell ref="D152:E152"/>
    <mergeCell ref="D153:E153"/>
    <mergeCell ref="D154:E154"/>
    <mergeCell ref="D155:E155"/>
    <mergeCell ref="D156:E156"/>
    <mergeCell ref="D157:E157"/>
    <mergeCell ref="D146:E146"/>
    <mergeCell ref="D147:E147"/>
    <mergeCell ref="D148:E148"/>
    <mergeCell ref="D149:E149"/>
    <mergeCell ref="D150:E150"/>
    <mergeCell ref="D151:E151"/>
    <mergeCell ref="D140:E140"/>
    <mergeCell ref="D141:E141"/>
    <mergeCell ref="D142:E142"/>
    <mergeCell ref="D143:E143"/>
    <mergeCell ref="D144:E144"/>
    <mergeCell ref="D145:E145"/>
    <mergeCell ref="D134:F134"/>
    <mergeCell ref="D135:E135"/>
    <mergeCell ref="D136:E136"/>
    <mergeCell ref="D137:E137"/>
    <mergeCell ref="D138:E138"/>
    <mergeCell ref="D139:E139"/>
    <mergeCell ref="D128:E128"/>
    <mergeCell ref="D129:E129"/>
    <mergeCell ref="D130:E130"/>
    <mergeCell ref="D131:E131"/>
    <mergeCell ref="D132:E132"/>
    <mergeCell ref="D133:E133"/>
    <mergeCell ref="D122:E122"/>
    <mergeCell ref="D123:E123"/>
    <mergeCell ref="D124:E124"/>
    <mergeCell ref="D125:E125"/>
    <mergeCell ref="D126:E126"/>
    <mergeCell ref="D127:E127"/>
    <mergeCell ref="D116:E116"/>
    <mergeCell ref="D117:E117"/>
    <mergeCell ref="D118:E118"/>
    <mergeCell ref="D119:E119"/>
    <mergeCell ref="D120:E120"/>
    <mergeCell ref="D121:F121"/>
    <mergeCell ref="D110:E110"/>
    <mergeCell ref="D111:E111"/>
    <mergeCell ref="D112:E112"/>
    <mergeCell ref="D113:E113"/>
    <mergeCell ref="D114:E114"/>
    <mergeCell ref="D115:E115"/>
    <mergeCell ref="D104:E104"/>
    <mergeCell ref="D105:E105"/>
    <mergeCell ref="D106:E106"/>
    <mergeCell ref="D107:E107"/>
    <mergeCell ref="D108:F108"/>
    <mergeCell ref="D109:E109"/>
    <mergeCell ref="D98:E98"/>
    <mergeCell ref="D99:E99"/>
    <mergeCell ref="D100:E100"/>
    <mergeCell ref="D101:E101"/>
    <mergeCell ref="D102:E102"/>
    <mergeCell ref="D103:E103"/>
    <mergeCell ref="D92:E92"/>
    <mergeCell ref="D93:E93"/>
    <mergeCell ref="D94:E94"/>
    <mergeCell ref="D95:F95"/>
    <mergeCell ref="D96:E96"/>
    <mergeCell ref="D97:E97"/>
    <mergeCell ref="D86:E86"/>
    <mergeCell ref="D87:E87"/>
    <mergeCell ref="D88:E88"/>
    <mergeCell ref="D89:E89"/>
    <mergeCell ref="D90:E90"/>
    <mergeCell ref="D91:E91"/>
    <mergeCell ref="D80:E80"/>
    <mergeCell ref="D81:E81"/>
    <mergeCell ref="D82:F82"/>
    <mergeCell ref="D83:E83"/>
    <mergeCell ref="D84:E84"/>
    <mergeCell ref="D85:E85"/>
    <mergeCell ref="D74:E74"/>
    <mergeCell ref="D75:E75"/>
    <mergeCell ref="D76:E76"/>
    <mergeCell ref="D77:E77"/>
    <mergeCell ref="D78:E78"/>
    <mergeCell ref="D79:E79"/>
    <mergeCell ref="D68:E68"/>
    <mergeCell ref="D69:E69"/>
    <mergeCell ref="D70:E70"/>
    <mergeCell ref="D71:E71"/>
    <mergeCell ref="D72:E72"/>
    <mergeCell ref="D73:E73"/>
    <mergeCell ref="D62:E62"/>
    <mergeCell ref="D63:E63"/>
    <mergeCell ref="D64:E64"/>
    <mergeCell ref="D65:E65"/>
    <mergeCell ref="D66:E66"/>
    <mergeCell ref="D67:E67"/>
    <mergeCell ref="D55:E55"/>
    <mergeCell ref="D56:E56"/>
    <mergeCell ref="D57:E57"/>
    <mergeCell ref="D58:E58"/>
    <mergeCell ref="D59:E59"/>
    <mergeCell ref="D61:E61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4:E34"/>
    <mergeCell ref="D35:E35"/>
    <mergeCell ref="D36:E36"/>
    <mergeCell ref="D37:E37"/>
    <mergeCell ref="D38:E38"/>
    <mergeCell ref="D42:E42"/>
    <mergeCell ref="D28:E28"/>
    <mergeCell ref="D29:E29"/>
    <mergeCell ref="D30:E30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D4:E4"/>
    <mergeCell ref="D5:E5"/>
    <mergeCell ref="D6:E6"/>
    <mergeCell ref="D7:E7"/>
    <mergeCell ref="D8:E8"/>
    <mergeCell ref="D9:E9"/>
    <mergeCell ref="J2:J3"/>
    <mergeCell ref="K2:K3"/>
    <mergeCell ref="L2:L3"/>
    <mergeCell ref="M2:M3"/>
    <mergeCell ref="N2:N3"/>
    <mergeCell ref="O2:O3"/>
    <mergeCell ref="B1:G1"/>
    <mergeCell ref="B2:B3"/>
    <mergeCell ref="C2:C3"/>
    <mergeCell ref="D2:E3"/>
    <mergeCell ref="F2:H2"/>
    <mergeCell ref="I2:I3"/>
  </mergeCells>
  <conditionalFormatting sqref="B5 B68:D69 G68:N76 C70:D76 B70:B81">
    <cfRule type="expression" dxfId="549" priority="438" stopIfTrue="1">
      <formula>#REF!=2</formula>
    </cfRule>
    <cfRule type="expression" dxfId="548" priority="439" stopIfTrue="1">
      <formula>#REF!=3</formula>
    </cfRule>
  </conditionalFormatting>
  <conditionalFormatting sqref="B14">
    <cfRule type="expression" dxfId="547" priority="433" stopIfTrue="1">
      <formula>#REF!=1</formula>
    </cfRule>
    <cfRule type="expression" dxfId="546" priority="434" stopIfTrue="1">
      <formula>#REF!=2</formula>
    </cfRule>
    <cfRule type="expression" dxfId="545" priority="435" stopIfTrue="1">
      <formula>#REF!=3</formula>
    </cfRule>
  </conditionalFormatting>
  <conditionalFormatting sqref="B16:B17">
    <cfRule type="expression" dxfId="544" priority="429" stopIfTrue="1">
      <formula>#REF!=1</formula>
    </cfRule>
    <cfRule type="expression" dxfId="543" priority="431" stopIfTrue="1">
      <formula>#REF!=3</formula>
    </cfRule>
    <cfRule type="expression" dxfId="542" priority="430" stopIfTrue="1">
      <formula>#REF!=2</formula>
    </cfRule>
  </conditionalFormatting>
  <conditionalFormatting sqref="B23">
    <cfRule type="expression" dxfId="541" priority="428" stopIfTrue="1">
      <formula>#REF!=3</formula>
    </cfRule>
    <cfRule type="expression" dxfId="540" priority="427" stopIfTrue="1">
      <formula>#REF!=2</formula>
    </cfRule>
    <cfRule type="expression" dxfId="539" priority="426" stopIfTrue="1">
      <formula>#REF!=1</formula>
    </cfRule>
  </conditionalFormatting>
  <conditionalFormatting sqref="B25">
    <cfRule type="expression" dxfId="538" priority="351" stopIfTrue="1">
      <formula>#REF!=2</formula>
    </cfRule>
    <cfRule type="expression" dxfId="537" priority="352" stopIfTrue="1">
      <formula>#REF!=3</formula>
    </cfRule>
    <cfRule type="expression" dxfId="536" priority="350" stopIfTrue="1">
      <formula>#REF!=1</formula>
    </cfRule>
  </conditionalFormatting>
  <conditionalFormatting sqref="B27:B28 D22:D24 D29:D31">
    <cfRule type="expression" dxfId="535" priority="419" stopIfTrue="1">
      <formula>#REF!=3</formula>
    </cfRule>
  </conditionalFormatting>
  <conditionalFormatting sqref="B27:B28">
    <cfRule type="expression" dxfId="534" priority="418" stopIfTrue="1">
      <formula>#REF!=2</formula>
    </cfRule>
    <cfRule type="expression" dxfId="533" priority="417" stopIfTrue="1">
      <formula>#REF!=1</formula>
    </cfRule>
  </conditionalFormatting>
  <conditionalFormatting sqref="B28">
    <cfRule type="expression" dxfId="532" priority="314" stopIfTrue="1">
      <formula>#REF!=1</formula>
    </cfRule>
    <cfRule type="expression" dxfId="531" priority="316" stopIfTrue="1">
      <formula>#REF!=3</formula>
    </cfRule>
    <cfRule type="expression" dxfId="530" priority="315" stopIfTrue="1">
      <formula>#REF!=2</formula>
    </cfRule>
  </conditionalFormatting>
  <conditionalFormatting sqref="B32">
    <cfRule type="expression" dxfId="529" priority="311" stopIfTrue="1">
      <formula>#REF!=1</formula>
    </cfRule>
    <cfRule type="expression" dxfId="528" priority="304" stopIfTrue="1">
      <formula>#REF!=3</formula>
    </cfRule>
    <cfRule type="expression" dxfId="527" priority="303" stopIfTrue="1">
      <formula>#REF!=2</formula>
    </cfRule>
    <cfRule type="expression" dxfId="526" priority="313" stopIfTrue="1">
      <formula>#REF!=3</formula>
    </cfRule>
    <cfRule type="expression" dxfId="525" priority="312" stopIfTrue="1">
      <formula>#REF!=2</formula>
    </cfRule>
    <cfRule type="expression" dxfId="524" priority="302" stopIfTrue="1">
      <formula>#REF!=1</formula>
    </cfRule>
  </conditionalFormatting>
  <conditionalFormatting sqref="B41">
    <cfRule type="expression" dxfId="523" priority="369" stopIfTrue="1">
      <formula>#REF!=3</formula>
    </cfRule>
    <cfRule type="expression" dxfId="522" priority="367" stopIfTrue="1">
      <formula>#REF!=1</formula>
    </cfRule>
    <cfRule type="expression" dxfId="521" priority="368" stopIfTrue="1">
      <formula>#REF!=2</formula>
    </cfRule>
  </conditionalFormatting>
  <conditionalFormatting sqref="B62">
    <cfRule type="expression" dxfId="520" priority="116" stopIfTrue="1">
      <formula>#REF!=1</formula>
    </cfRule>
    <cfRule type="expression" dxfId="519" priority="117" stopIfTrue="1">
      <formula>#REF!=2</formula>
    </cfRule>
    <cfRule type="expression" dxfId="518" priority="118" stopIfTrue="1">
      <formula>#REF!=3</formula>
    </cfRule>
    <cfRule type="expression" dxfId="517" priority="109" stopIfTrue="1">
      <formula>#REF!=3</formula>
    </cfRule>
    <cfRule type="expression" dxfId="516" priority="108" stopIfTrue="1">
      <formula>#REF!=2</formula>
    </cfRule>
    <cfRule type="expression" dxfId="515" priority="107" stopIfTrue="1">
      <formula>#REF!=1</formula>
    </cfRule>
  </conditionalFormatting>
  <conditionalFormatting sqref="B65">
    <cfRule type="expression" dxfId="514" priority="79" stopIfTrue="1">
      <formula>#REF!=2</formula>
    </cfRule>
    <cfRule type="expression" dxfId="513" priority="72" stopIfTrue="1">
      <formula>#REF!=1</formula>
    </cfRule>
    <cfRule type="expression" dxfId="512" priority="80" stopIfTrue="1">
      <formula>#REF!=3</formula>
    </cfRule>
    <cfRule type="expression" dxfId="511" priority="78" stopIfTrue="1">
      <formula>#REF!=1</formula>
    </cfRule>
    <cfRule type="expression" dxfId="510" priority="73" stopIfTrue="1">
      <formula>#REF!=2</formula>
    </cfRule>
    <cfRule type="expression" dxfId="509" priority="74" stopIfTrue="1">
      <formula>#REF!=3</formula>
    </cfRule>
  </conditionalFormatting>
  <conditionalFormatting sqref="B83:B94">
    <cfRule type="expression" dxfId="508" priority="497" stopIfTrue="1">
      <formula>#REF!=1</formula>
    </cfRule>
    <cfRule type="expression" dxfId="507" priority="498" stopIfTrue="1">
      <formula>#REF!=2</formula>
    </cfRule>
    <cfRule type="expression" dxfId="506" priority="499" stopIfTrue="1">
      <formula>#REF!=3</formula>
    </cfRule>
  </conditionalFormatting>
  <conditionalFormatting sqref="B96:B107">
    <cfRule type="expression" dxfId="505" priority="489" stopIfTrue="1">
      <formula>#REF!=1</formula>
    </cfRule>
    <cfRule type="expression" dxfId="504" priority="490" stopIfTrue="1">
      <formula>#REF!=2</formula>
    </cfRule>
    <cfRule type="expression" dxfId="503" priority="491" stopIfTrue="1">
      <formula>#REF!=3</formula>
    </cfRule>
  </conditionalFormatting>
  <conditionalFormatting sqref="B109:B120">
    <cfRule type="expression" dxfId="502" priority="482" stopIfTrue="1">
      <formula>#REF!=2</formula>
    </cfRule>
    <cfRule type="expression" dxfId="501" priority="483" stopIfTrue="1">
      <formula>#REF!=3</formula>
    </cfRule>
    <cfRule type="expression" dxfId="500" priority="481" stopIfTrue="1">
      <formula>#REF!=1</formula>
    </cfRule>
  </conditionalFormatting>
  <conditionalFormatting sqref="B122:B133">
    <cfRule type="expression" dxfId="499" priority="475" stopIfTrue="1">
      <formula>#REF!=3</formula>
    </cfRule>
    <cfRule type="expression" dxfId="498" priority="474" stopIfTrue="1">
      <formula>#REF!=2</formula>
    </cfRule>
    <cfRule type="expression" dxfId="497" priority="473" stopIfTrue="1">
      <formula>#REF!=1</formula>
    </cfRule>
  </conditionalFormatting>
  <conditionalFormatting sqref="B134:B135 G134:I135">
    <cfRule type="expression" dxfId="496" priority="538" stopIfTrue="1">
      <formula>#REF!=3</formula>
    </cfRule>
  </conditionalFormatting>
  <conditionalFormatting sqref="B177 G177:I177">
    <cfRule type="expression" dxfId="495" priority="513" stopIfTrue="1">
      <formula>#REF!=3</formula>
    </cfRule>
  </conditionalFormatting>
  <conditionalFormatting sqref="B346 G346:I346">
    <cfRule type="expression" dxfId="494" priority="509" stopIfTrue="1">
      <formula>#REF!=3</formula>
    </cfRule>
  </conditionalFormatting>
  <conditionalFormatting sqref="B360:B706">
    <cfRule type="expression" dxfId="493" priority="465" stopIfTrue="1">
      <formula>#REF!=2</formula>
    </cfRule>
    <cfRule type="expression" dxfId="492" priority="466" stopIfTrue="1">
      <formula>#REF!=3</formula>
    </cfRule>
    <cfRule type="expression" dxfId="491" priority="464" stopIfTrue="1">
      <formula>#REF!=1</formula>
    </cfRule>
  </conditionalFormatting>
  <conditionalFormatting sqref="B57:C57">
    <cfRule type="expression" dxfId="490" priority="413" stopIfTrue="1">
      <formula>#REF!=1</formula>
    </cfRule>
    <cfRule type="expression" dxfId="489" priority="415" stopIfTrue="1">
      <formula>#REF!=3</formula>
    </cfRule>
    <cfRule type="expression" dxfId="488" priority="414" stopIfTrue="1">
      <formula>#REF!=2</formula>
    </cfRule>
  </conditionalFormatting>
  <conditionalFormatting sqref="B95:C95 B108:C108 B121:C121 B138:C139 B286:D286 B318:D318">
    <cfRule type="expression" dxfId="487" priority="545" stopIfTrue="1">
      <formula>#REF!=2</formula>
    </cfRule>
    <cfRule type="expression" dxfId="486" priority="546" stopIfTrue="1">
      <formula>#REF!=3</formula>
    </cfRule>
    <cfRule type="expression" dxfId="485" priority="544" stopIfTrue="1">
      <formula>#REF!=1</formula>
    </cfRule>
  </conditionalFormatting>
  <conditionalFormatting sqref="B55:D55">
    <cfRule type="expression" dxfId="484" priority="454" stopIfTrue="1">
      <formula>#REF!=2</formula>
    </cfRule>
    <cfRule type="expression" dxfId="483" priority="453" stopIfTrue="1">
      <formula>#REF!=1</formula>
    </cfRule>
    <cfRule type="expression" dxfId="482" priority="455" stopIfTrue="1">
      <formula>#REF!=3</formula>
    </cfRule>
  </conditionalFormatting>
  <conditionalFormatting sqref="B60:D60">
    <cfRule type="expression" dxfId="481" priority="405" stopIfTrue="1">
      <formula>#REF!=2</formula>
    </cfRule>
    <cfRule type="expression" dxfId="480" priority="404" stopIfTrue="1">
      <formula>#REF!=1</formula>
    </cfRule>
    <cfRule type="expression" dxfId="479" priority="406" stopIfTrue="1">
      <formula>#REF!=3</formula>
    </cfRule>
  </conditionalFormatting>
  <conditionalFormatting sqref="B82:D82">
    <cfRule type="expression" dxfId="478" priority="503" stopIfTrue="1">
      <formula>#REF!=3</formula>
    </cfRule>
    <cfRule type="expression" dxfId="477" priority="501" stopIfTrue="1">
      <formula>#REF!=1</formula>
    </cfRule>
    <cfRule type="expression" dxfId="476" priority="502" stopIfTrue="1">
      <formula>#REF!=2</formula>
    </cfRule>
  </conditionalFormatting>
  <conditionalFormatting sqref="B134:D135 G134:I135">
    <cfRule type="expression" dxfId="475" priority="536" stopIfTrue="1">
      <formula>#REF!=1</formula>
    </cfRule>
    <cfRule type="expression" dxfId="474" priority="537" stopIfTrue="1">
      <formula>#REF!=2</formula>
    </cfRule>
  </conditionalFormatting>
  <conditionalFormatting sqref="B157:D157">
    <cfRule type="expression" dxfId="473" priority="526" stopIfTrue="1">
      <formula>#REF!=3</formula>
    </cfRule>
    <cfRule type="expression" dxfId="472" priority="524" stopIfTrue="1">
      <formula>#REF!=1</formula>
    </cfRule>
    <cfRule type="expression" dxfId="471" priority="525" stopIfTrue="1">
      <formula>#REF!=2</formula>
    </cfRule>
  </conditionalFormatting>
  <conditionalFormatting sqref="B177:D177 G177:I177">
    <cfRule type="expression" dxfId="470" priority="511" stopIfTrue="1">
      <formula>#REF!=1</formula>
    </cfRule>
    <cfRule type="expression" dxfId="469" priority="512" stopIfTrue="1">
      <formula>#REF!=2</formula>
    </cfRule>
  </conditionalFormatting>
  <conditionalFormatting sqref="B346:D346 G346:I346">
    <cfRule type="expression" dxfId="468" priority="507" stopIfTrue="1">
      <formula>#REF!=1</formula>
    </cfRule>
    <cfRule type="expression" dxfId="467" priority="508" stopIfTrue="1">
      <formula>#REF!=2</formula>
    </cfRule>
  </conditionalFormatting>
  <conditionalFormatting sqref="C41:D44">
    <cfRule type="expression" dxfId="466" priority="372" stopIfTrue="1">
      <formula>#REF!=3</formula>
    </cfRule>
    <cfRule type="expression" dxfId="465" priority="370" stopIfTrue="1">
      <formula>#REF!=1</formula>
    </cfRule>
    <cfRule type="expression" dxfId="464" priority="371" stopIfTrue="1">
      <formula>#REF!=2</formula>
    </cfRule>
  </conditionalFormatting>
  <conditionalFormatting sqref="C134:D135">
    <cfRule type="expression" dxfId="463" priority="539" stopIfTrue="1">
      <formula>#REF!=3</formula>
    </cfRule>
  </conditionalFormatting>
  <conditionalFormatting sqref="C177:D177">
    <cfRule type="expression" dxfId="462" priority="514" stopIfTrue="1">
      <formula>#REF!=3</formula>
    </cfRule>
  </conditionalFormatting>
  <conditionalFormatting sqref="C346:D346">
    <cfRule type="expression" dxfId="461" priority="510" stopIfTrue="1">
      <formula>#REF!=3</formula>
    </cfRule>
  </conditionalFormatting>
  <conditionalFormatting sqref="D4">
    <cfRule type="expression" dxfId="460" priority="447" stopIfTrue="1">
      <formula>#REF!=3</formula>
    </cfRule>
  </conditionalFormatting>
  <conditionalFormatting sqref="D4:D22">
    <cfRule type="expression" dxfId="459" priority="166" stopIfTrue="1">
      <formula>#REF!=2</formula>
    </cfRule>
    <cfRule type="expression" dxfId="458" priority="165" stopIfTrue="1">
      <formula>#REF!=1</formula>
    </cfRule>
  </conditionalFormatting>
  <conditionalFormatting sqref="D5">
    <cfRule type="expression" dxfId="457" priority="436" stopIfTrue="1">
      <formula>#REF!=3</formula>
    </cfRule>
  </conditionalFormatting>
  <conditionalFormatting sqref="D6:D13">
    <cfRule type="expression" dxfId="456" priority="167" stopIfTrue="1">
      <formula>#REF!=3</formula>
    </cfRule>
  </conditionalFormatting>
  <conditionalFormatting sqref="D14">
    <cfRule type="expression" dxfId="455" priority="432" stopIfTrue="1">
      <formula>#REF!=3</formula>
    </cfRule>
  </conditionalFormatting>
  <conditionalFormatting sqref="D15:D16">
    <cfRule type="expression" dxfId="454" priority="425" stopIfTrue="1">
      <formula>#REF!=3</formula>
    </cfRule>
  </conditionalFormatting>
  <conditionalFormatting sqref="D18:D22">
    <cfRule type="expression" dxfId="453" priority="235" stopIfTrue="1">
      <formula>#REF!=3</formula>
    </cfRule>
  </conditionalFormatting>
  <conditionalFormatting sqref="D22:D31">
    <cfRule type="expression" dxfId="452" priority="347" stopIfTrue="1">
      <formula>#REF!=1</formula>
    </cfRule>
    <cfRule type="expression" dxfId="451" priority="348" stopIfTrue="1">
      <formula>#REF!=2</formula>
    </cfRule>
  </conditionalFormatting>
  <conditionalFormatting sqref="D25">
    <cfRule type="expression" dxfId="450" priority="349" stopIfTrue="1">
      <formula>#REF!=3</formula>
    </cfRule>
  </conditionalFormatting>
  <conditionalFormatting sqref="D26">
    <cfRule type="expression" dxfId="449" priority="353" stopIfTrue="1">
      <formula>#REF!=3</formula>
    </cfRule>
  </conditionalFormatting>
  <conditionalFormatting sqref="D27:D28">
    <cfRule type="expression" dxfId="448" priority="416" stopIfTrue="1">
      <formula>#REF!=3</formula>
    </cfRule>
  </conditionalFormatting>
  <conditionalFormatting sqref="D28">
    <cfRule type="expression" dxfId="447" priority="317" stopIfTrue="1">
      <formula>#REF!=1</formula>
    </cfRule>
    <cfRule type="expression" dxfId="446" priority="319" stopIfTrue="1">
      <formula>#REF!=3</formula>
    </cfRule>
    <cfRule type="expression" dxfId="445" priority="318" stopIfTrue="1">
      <formula>#REF!=2</formula>
    </cfRule>
  </conditionalFormatting>
  <conditionalFormatting sqref="D32">
    <cfRule type="expression" dxfId="444" priority="310" stopIfTrue="1">
      <formula>#REF!=3</formula>
    </cfRule>
    <cfRule type="expression" dxfId="443" priority="307" stopIfTrue="1">
      <formula>#REF!=3</formula>
    </cfRule>
    <cfRule type="expression" dxfId="442" priority="305" stopIfTrue="1">
      <formula>#REF!=1</formula>
    </cfRule>
    <cfRule type="expression" dxfId="441" priority="306" stopIfTrue="1">
      <formula>#REF!=2</formula>
    </cfRule>
  </conditionalFormatting>
  <conditionalFormatting sqref="D32:D34">
    <cfRule type="expression" dxfId="440" priority="308" stopIfTrue="1">
      <formula>#REF!=1</formula>
    </cfRule>
    <cfRule type="expression" dxfId="439" priority="309" stopIfTrue="1">
      <formula>#REF!=2</formula>
    </cfRule>
  </conditionalFormatting>
  <conditionalFormatting sqref="D33:D34">
    <cfRule type="expression" dxfId="438" priority="320" stopIfTrue="1">
      <formula>#REF!=3</formula>
    </cfRule>
  </conditionalFormatting>
  <conditionalFormatting sqref="D35:D36 B335:D335 G335:I335">
    <cfRule type="expression" dxfId="437" priority="548" stopIfTrue="1">
      <formula>#REF!=2</formula>
    </cfRule>
    <cfRule type="expression" dxfId="436" priority="549" stopIfTrue="1">
      <formula>#REF!=3</formula>
    </cfRule>
    <cfRule type="expression" dxfId="435" priority="547" stopIfTrue="1">
      <formula>#REF!=1</formula>
    </cfRule>
  </conditionalFormatting>
  <conditionalFormatting sqref="D35:D37">
    <cfRule type="expression" dxfId="434" priority="335" stopIfTrue="1">
      <formula>#REF!=3</formula>
    </cfRule>
    <cfRule type="expression" dxfId="433" priority="334" stopIfTrue="1">
      <formula>#REF!=2</formula>
    </cfRule>
    <cfRule type="expression" dxfId="432" priority="333" stopIfTrue="1">
      <formula>#REF!=1</formula>
    </cfRule>
  </conditionalFormatting>
  <conditionalFormatting sqref="D37">
    <cfRule type="expression" dxfId="431" priority="332" stopIfTrue="1">
      <formula>#REF!=3</formula>
    </cfRule>
    <cfRule type="expression" dxfId="430" priority="331" stopIfTrue="1">
      <formula>#REF!=2</formula>
    </cfRule>
    <cfRule type="expression" dxfId="429" priority="330" stopIfTrue="1">
      <formula>#REF!=1</formula>
    </cfRule>
  </conditionalFormatting>
  <conditionalFormatting sqref="D37:D40">
    <cfRule type="expression" dxfId="428" priority="324" stopIfTrue="1">
      <formula>#REF!=1</formula>
    </cfRule>
    <cfRule type="expression" dxfId="427" priority="325" stopIfTrue="1">
      <formula>#REF!=2</formula>
    </cfRule>
    <cfRule type="expression" dxfId="426" priority="329" stopIfTrue="1">
      <formula>#REF!=3</formula>
    </cfRule>
  </conditionalFormatting>
  <conditionalFormatting sqref="D38:D40">
    <cfRule type="expression" dxfId="425" priority="321" stopIfTrue="1">
      <formula>#REF!=1</formula>
    </cfRule>
    <cfRule type="expression" dxfId="424" priority="322" stopIfTrue="1">
      <formula>#REF!=2</formula>
    </cfRule>
    <cfRule type="expression" dxfId="423" priority="323" stopIfTrue="1">
      <formula>#REF!=3</formula>
    </cfRule>
    <cfRule type="expression" dxfId="422" priority="328" stopIfTrue="1">
      <formula>#REF!=2</formula>
    </cfRule>
    <cfRule type="expression" dxfId="421" priority="326" stopIfTrue="1">
      <formula>#REF!=3</formula>
    </cfRule>
    <cfRule type="expression" dxfId="420" priority="327" stopIfTrue="1">
      <formula>#REF!=1</formula>
    </cfRule>
  </conditionalFormatting>
  <conditionalFormatting sqref="D42:D54">
    <cfRule type="expression" dxfId="419" priority="164" stopIfTrue="1">
      <formula>#REF!=3</formula>
    </cfRule>
    <cfRule type="expression" dxfId="418" priority="162" stopIfTrue="1">
      <formula>#REF!=1</formula>
    </cfRule>
    <cfRule type="expression" dxfId="417" priority="163" stopIfTrue="1">
      <formula>#REF!=2</formula>
    </cfRule>
  </conditionalFormatting>
  <conditionalFormatting sqref="D56:D59">
    <cfRule type="expression" dxfId="416" priority="131" stopIfTrue="1">
      <formula>#REF!=2</formula>
    </cfRule>
    <cfRule type="expression" dxfId="415" priority="130" stopIfTrue="1">
      <formula>#REF!=1</formula>
    </cfRule>
    <cfRule type="expression" dxfId="414" priority="132" stopIfTrue="1">
      <formula>#REF!=3</formula>
    </cfRule>
  </conditionalFormatting>
  <conditionalFormatting sqref="D61">
    <cfRule type="expression" dxfId="413" priority="121" stopIfTrue="1">
      <formula>#REF!=3</formula>
    </cfRule>
  </conditionalFormatting>
  <conditionalFormatting sqref="D61:D63">
    <cfRule type="expression" dxfId="412" priority="114" stopIfTrue="1">
      <formula>#REF!=2</formula>
    </cfRule>
    <cfRule type="expression" dxfId="411" priority="113" stopIfTrue="1">
      <formula>#REF!=1</formula>
    </cfRule>
  </conditionalFormatting>
  <conditionalFormatting sqref="D62">
    <cfRule type="expression" dxfId="410" priority="110" stopIfTrue="1">
      <formula>#REF!=1</formula>
    </cfRule>
    <cfRule type="expression" dxfId="409" priority="111" stopIfTrue="1">
      <formula>#REF!=2</formula>
    </cfRule>
    <cfRule type="expression" dxfId="408" priority="112" stopIfTrue="1">
      <formula>#REF!=3</formula>
    </cfRule>
    <cfRule type="expression" dxfId="407" priority="115" stopIfTrue="1">
      <formula>#REF!=3</formula>
    </cfRule>
  </conditionalFormatting>
  <conditionalFormatting sqref="D63 D70:D74">
    <cfRule type="expression" dxfId="406" priority="234" stopIfTrue="1">
      <formula>#REF!=3</formula>
    </cfRule>
  </conditionalFormatting>
  <conditionalFormatting sqref="D64:D65">
    <cfRule type="expression" dxfId="405" priority="70" stopIfTrue="1">
      <formula>#REF!=2</formula>
    </cfRule>
    <cfRule type="expression" dxfId="404" priority="69" stopIfTrue="1">
      <formula>#REF!=1</formula>
    </cfRule>
    <cfRule type="expression" dxfId="403" priority="71" stopIfTrue="1">
      <formula>#REF!=3</formula>
    </cfRule>
  </conditionalFormatting>
  <conditionalFormatting sqref="D65">
    <cfRule type="expression" dxfId="402" priority="77" stopIfTrue="1">
      <formula>#REF!=3</formula>
    </cfRule>
  </conditionalFormatting>
  <conditionalFormatting sqref="D65:D67">
    <cfRule type="expression" dxfId="401" priority="75" stopIfTrue="1">
      <formula>#REF!=1</formula>
    </cfRule>
    <cfRule type="expression" dxfId="400" priority="76" stopIfTrue="1">
      <formula>#REF!=2</formula>
    </cfRule>
  </conditionalFormatting>
  <conditionalFormatting sqref="D66:D67">
    <cfRule type="expression" dxfId="399" priority="106" stopIfTrue="1">
      <formula>#REF!=3</formula>
    </cfRule>
  </conditionalFormatting>
  <conditionalFormatting sqref="D69 D75:D76">
    <cfRule type="expression" dxfId="398" priority="540" stopIfTrue="1">
      <formula>#REF!=3</formula>
    </cfRule>
  </conditionalFormatting>
  <conditionalFormatting sqref="D69:D76">
    <cfRule type="expression" dxfId="397" priority="445" stopIfTrue="1">
      <formula>#REF!=1</formula>
    </cfRule>
    <cfRule type="expression" dxfId="396" priority="446" stopIfTrue="1">
      <formula>#REF!=2</formula>
    </cfRule>
  </conditionalFormatting>
  <conditionalFormatting sqref="D77:D79">
    <cfRule type="expression" dxfId="395" priority="338" stopIfTrue="1">
      <formula>#REF!=3</formula>
    </cfRule>
    <cfRule type="expression" dxfId="394" priority="337" stopIfTrue="1">
      <formula>#REF!=2</formula>
    </cfRule>
    <cfRule type="expression" dxfId="393" priority="336" stopIfTrue="1">
      <formula>#REF!=1</formula>
    </cfRule>
  </conditionalFormatting>
  <conditionalFormatting sqref="D81">
    <cfRule type="expression" dxfId="392" priority="341" stopIfTrue="1">
      <formula>#REF!=3</formula>
    </cfRule>
    <cfRule type="expression" dxfId="391" priority="340" stopIfTrue="1">
      <formula>#REF!=2</formula>
    </cfRule>
    <cfRule type="expression" dxfId="390" priority="339" stopIfTrue="1">
      <formula>#REF!=1</formula>
    </cfRule>
  </conditionalFormatting>
  <conditionalFormatting sqref="D83">
    <cfRule type="expression" dxfId="389" priority="500" stopIfTrue="1">
      <formula>#REF!=3</formula>
    </cfRule>
  </conditionalFormatting>
  <conditionalFormatting sqref="D83:D133">
    <cfRule type="expression" dxfId="388" priority="471" stopIfTrue="1">
      <formula>#REF!=2</formula>
    </cfRule>
    <cfRule type="expression" dxfId="387" priority="470" stopIfTrue="1">
      <formula>#REF!=1</formula>
    </cfRule>
  </conditionalFormatting>
  <conditionalFormatting sqref="D84:D95">
    <cfRule type="expression" dxfId="386" priority="493" stopIfTrue="1">
      <formula>#REF!=3</formula>
    </cfRule>
  </conditionalFormatting>
  <conditionalFormatting sqref="D96">
    <cfRule type="expression" dxfId="385" priority="492" stopIfTrue="1">
      <formula>#REF!=3</formula>
    </cfRule>
  </conditionalFormatting>
  <conditionalFormatting sqref="D97:D108">
    <cfRule type="expression" dxfId="384" priority="485" stopIfTrue="1">
      <formula>#REF!=3</formula>
    </cfRule>
  </conditionalFormatting>
  <conditionalFormatting sqref="D109">
    <cfRule type="expression" dxfId="383" priority="484" stopIfTrue="1">
      <formula>#REF!=3</formula>
    </cfRule>
  </conditionalFormatting>
  <conditionalFormatting sqref="D110:D121">
    <cfRule type="expression" dxfId="382" priority="477" stopIfTrue="1">
      <formula>#REF!=3</formula>
    </cfRule>
  </conditionalFormatting>
  <conditionalFormatting sqref="D122">
    <cfRule type="expression" dxfId="381" priority="476" stopIfTrue="1">
      <formula>#REF!=3</formula>
    </cfRule>
  </conditionalFormatting>
  <conditionalFormatting sqref="D123:D133">
    <cfRule type="expression" dxfId="380" priority="472" stopIfTrue="1">
      <formula>#REF!=3</formula>
    </cfRule>
  </conditionalFormatting>
  <conditionalFormatting sqref="D138">
    <cfRule type="expression" dxfId="379" priority="535" stopIfTrue="1">
      <formula>#REF!=3</formula>
    </cfRule>
    <cfRule type="expression" dxfId="378" priority="534" stopIfTrue="1">
      <formula>#REF!=2</formula>
    </cfRule>
    <cfRule type="expression" dxfId="377" priority="533" stopIfTrue="1">
      <formula>#REF!=1</formula>
    </cfRule>
  </conditionalFormatting>
  <conditionalFormatting sqref="D144">
    <cfRule type="expression" dxfId="376" priority="532" stopIfTrue="1">
      <formula>#REF!=3</formula>
    </cfRule>
    <cfRule type="expression" dxfId="375" priority="531" stopIfTrue="1">
      <formula>#REF!=2</formula>
    </cfRule>
    <cfRule type="expression" dxfId="374" priority="530" stopIfTrue="1">
      <formula>#REF!=1</formula>
    </cfRule>
  </conditionalFormatting>
  <conditionalFormatting sqref="D146">
    <cfRule type="expression" dxfId="373" priority="528" stopIfTrue="1">
      <formula>#REF!=2</formula>
    </cfRule>
    <cfRule type="expression" dxfId="372" priority="527" stopIfTrue="1">
      <formula>#REF!=1</formula>
    </cfRule>
    <cfRule type="expression" dxfId="371" priority="529" stopIfTrue="1">
      <formula>#REF!=3</formula>
    </cfRule>
  </conditionalFormatting>
  <conditionalFormatting sqref="D161">
    <cfRule type="expression" dxfId="370" priority="523" stopIfTrue="1">
      <formula>#REF!=3</formula>
    </cfRule>
    <cfRule type="expression" dxfId="369" priority="522" stopIfTrue="1">
      <formula>#REF!=2</formula>
    </cfRule>
    <cfRule type="expression" dxfId="368" priority="521" stopIfTrue="1">
      <formula>#REF!=1</formula>
    </cfRule>
  </conditionalFormatting>
  <conditionalFormatting sqref="D163">
    <cfRule type="expression" dxfId="367" priority="518" stopIfTrue="1">
      <formula>#REF!=1</formula>
    </cfRule>
    <cfRule type="expression" dxfId="366" priority="519" stopIfTrue="1">
      <formula>#REF!=2</formula>
    </cfRule>
    <cfRule type="expression" dxfId="365" priority="520" stopIfTrue="1">
      <formula>#REF!=3</formula>
    </cfRule>
  </conditionalFormatting>
  <conditionalFormatting sqref="D165">
    <cfRule type="expression" dxfId="364" priority="517" stopIfTrue="1">
      <formula>#REF!=3</formula>
    </cfRule>
    <cfRule type="expression" dxfId="363" priority="515" stopIfTrue="1">
      <formula>#REF!=1</formula>
    </cfRule>
    <cfRule type="expression" dxfId="362" priority="516" stopIfTrue="1">
      <formula>#REF!=2</formula>
    </cfRule>
  </conditionalFormatting>
  <conditionalFormatting sqref="D360:D706">
    <cfRule type="expression" dxfId="361" priority="461" stopIfTrue="1">
      <formula>#REF!=1</formula>
    </cfRule>
    <cfRule type="expression" dxfId="360" priority="463" stopIfTrue="1">
      <formula>#REF!=3</formula>
    </cfRule>
    <cfRule type="expression" dxfId="359" priority="462" stopIfTrue="1">
      <formula>#REF!=2</formula>
    </cfRule>
  </conditionalFormatting>
  <conditionalFormatting sqref="G95:I95">
    <cfRule type="expression" dxfId="358" priority="494" stopIfTrue="1">
      <formula>#REF!=1</formula>
    </cfRule>
    <cfRule type="expression" dxfId="357" priority="495" stopIfTrue="1">
      <formula>#REF!=2</formula>
    </cfRule>
    <cfRule type="expression" dxfId="356" priority="496" stopIfTrue="1">
      <formula>#REF!=3</formula>
    </cfRule>
  </conditionalFormatting>
  <conditionalFormatting sqref="G108:I108">
    <cfRule type="expression" dxfId="355" priority="486" stopIfTrue="1">
      <formula>#REF!=1</formula>
    </cfRule>
    <cfRule type="expression" dxfId="354" priority="488" stopIfTrue="1">
      <formula>#REF!=3</formula>
    </cfRule>
    <cfRule type="expression" dxfId="353" priority="487" stopIfTrue="1">
      <formula>#REF!=2</formula>
    </cfRule>
  </conditionalFormatting>
  <conditionalFormatting sqref="G121:I121">
    <cfRule type="expression" dxfId="352" priority="480" stopIfTrue="1">
      <formula>#REF!=3</formula>
    </cfRule>
    <cfRule type="expression" dxfId="351" priority="479" stopIfTrue="1">
      <formula>#REF!=2</formula>
    </cfRule>
    <cfRule type="expression" dxfId="350" priority="478" stopIfTrue="1">
      <formula>#REF!=1</formula>
    </cfRule>
  </conditionalFormatting>
  <conditionalFormatting sqref="G286:I286 G318:I318 D17">
    <cfRule type="expression" dxfId="349" priority="552" stopIfTrue="1">
      <formula>#REF!=3</formula>
    </cfRule>
  </conditionalFormatting>
  <conditionalFormatting sqref="G286:I286 G318:I318">
    <cfRule type="expression" dxfId="348" priority="551" stopIfTrue="1">
      <formula>#REF!=2</formula>
    </cfRule>
    <cfRule type="expression" dxfId="347" priority="550" stopIfTrue="1">
      <formula>#REF!=1</formula>
    </cfRule>
  </conditionalFormatting>
  <conditionalFormatting sqref="G41:N44">
    <cfRule type="expression" dxfId="346" priority="364" stopIfTrue="1">
      <formula>#REF!=1</formula>
    </cfRule>
    <cfRule type="expression" dxfId="345" priority="365" stopIfTrue="1">
      <formula>#REF!=2</formula>
    </cfRule>
    <cfRule type="expression" dxfId="344" priority="366" stopIfTrue="1">
      <formula>#REF!=3</formula>
    </cfRule>
  </conditionalFormatting>
  <conditionalFormatting sqref="G55:N55">
    <cfRule type="expression" dxfId="343" priority="441" stopIfTrue="1">
      <formula>#REF!=2</formula>
    </cfRule>
    <cfRule type="expression" dxfId="342" priority="440" stopIfTrue="1">
      <formula>#REF!=1</formula>
    </cfRule>
    <cfRule type="expression" dxfId="341" priority="442" stopIfTrue="1">
      <formula>#REF!=3</formula>
    </cfRule>
  </conditionalFormatting>
  <conditionalFormatting sqref="G57:N57">
    <cfRule type="expression" dxfId="340" priority="412" stopIfTrue="1">
      <formula>#REF!=3</formula>
    </cfRule>
    <cfRule type="expression" dxfId="339" priority="411" stopIfTrue="1">
      <formula>#REF!=2</formula>
    </cfRule>
    <cfRule type="expression" dxfId="338" priority="410" stopIfTrue="1">
      <formula>#REF!=1</formula>
    </cfRule>
  </conditionalFormatting>
  <conditionalFormatting sqref="G60:N60">
    <cfRule type="expression" dxfId="337" priority="409" stopIfTrue="1">
      <formula>#REF!=3</formula>
    </cfRule>
    <cfRule type="expression" dxfId="336" priority="408" stopIfTrue="1">
      <formula>#REF!=2</formula>
    </cfRule>
    <cfRule type="expression" dxfId="335" priority="407" stopIfTrue="1">
      <formula>#REF!=1</formula>
    </cfRule>
  </conditionalFormatting>
  <conditionalFormatting sqref="G68:N76 C70:D76 B5 B68:D69 B70:B81">
    <cfRule type="expression" dxfId="334" priority="437" stopIfTrue="1">
      <formula>#REF!=1</formula>
    </cfRule>
  </conditionalFormatting>
  <conditionalFormatting sqref="G82:N82">
    <cfRule type="expression" dxfId="333" priority="504" stopIfTrue="1">
      <formula>#REF!=1</formula>
    </cfRule>
    <cfRule type="expression" dxfId="332" priority="505" stopIfTrue="1">
      <formula>#REF!=2</formula>
    </cfRule>
    <cfRule type="expression" dxfId="331" priority="506" stopIfTrue="1">
      <formula>#REF!=3</formula>
    </cfRule>
  </conditionalFormatting>
  <conditionalFormatting sqref="J7 J18:J21 N74">
    <cfRule type="expression" dxfId="330" priority="394" stopIfTrue="1">
      <formula>$J7="OK"</formula>
    </cfRule>
    <cfRule type="expression" dxfId="329" priority="395" stopIfTrue="1">
      <formula>$J7="failed"</formula>
    </cfRule>
  </conditionalFormatting>
  <conditionalFormatting sqref="J7 J18:J21">
    <cfRule type="expression" dxfId="328" priority="393" stopIfTrue="1">
      <formula>$G7=""</formula>
    </cfRule>
    <cfRule type="expression" dxfId="327" priority="391">
      <formula>$J7="not testable"</formula>
    </cfRule>
    <cfRule type="expression" dxfId="326" priority="392">
      <formula>$J7="permissible deviation"</formula>
    </cfRule>
  </conditionalFormatting>
  <conditionalFormatting sqref="J9:J11">
    <cfRule type="expression" dxfId="325" priority="171" stopIfTrue="1">
      <formula>$J9="OK"</formula>
    </cfRule>
    <cfRule type="expression" dxfId="324" priority="172" stopIfTrue="1">
      <formula>$J9="failed"</formula>
    </cfRule>
    <cfRule type="expression" dxfId="323" priority="170" stopIfTrue="1">
      <formula>$G9=""</formula>
    </cfRule>
    <cfRule type="expression" dxfId="322" priority="168">
      <formula>$J9="not testable"</formula>
    </cfRule>
    <cfRule type="expression" dxfId="321" priority="169">
      <formula>$J9="permissible deviation"</formula>
    </cfRule>
  </conditionalFormatting>
  <conditionalFormatting sqref="J22 J29 J31">
    <cfRule type="expression" dxfId="320" priority="17">
      <formula>$J22="permissible deviation"</formula>
    </cfRule>
    <cfRule type="expression" dxfId="319" priority="16">
      <formula>$J22="not testable"</formula>
    </cfRule>
  </conditionalFormatting>
  <conditionalFormatting sqref="J22">
    <cfRule type="expression" dxfId="318" priority="18">
      <formula>$G22=""</formula>
    </cfRule>
    <cfRule type="expression" dxfId="317" priority="10" stopIfTrue="1">
      <formula>$J22="failed"</formula>
    </cfRule>
    <cfRule type="expression" dxfId="316" priority="9" stopIfTrue="1">
      <formula>$J22="OK"</formula>
    </cfRule>
    <cfRule type="expression" dxfId="315" priority="8" stopIfTrue="1">
      <formula>$G22=""</formula>
    </cfRule>
    <cfRule type="expression" dxfId="314" priority="6">
      <formula>$J22="not testable"</formula>
    </cfRule>
    <cfRule type="expression" dxfId="313" priority="7">
      <formula>$J22="permissible deviation"</formula>
    </cfRule>
  </conditionalFormatting>
  <conditionalFormatting sqref="J29 J31">
    <cfRule type="expression" dxfId="312" priority="384" stopIfTrue="1">
      <formula>$J29="OK"</formula>
    </cfRule>
    <cfRule type="expression" dxfId="311" priority="385" stopIfTrue="1">
      <formula>$J29="failed"</formula>
    </cfRule>
  </conditionalFormatting>
  <conditionalFormatting sqref="J29 J34:J36 J42:J44 J56 J70:K76 K15:N15 J24:N24 L42:N42 J83:N133 J135:N210 J234:N763">
    <cfRule type="expression" dxfId="310" priority="553">
      <formula>$G15=""</formula>
    </cfRule>
  </conditionalFormatting>
  <conditionalFormatting sqref="J29 J34:J36 J42:J44 J56 J70:K76 L74:M76 K15:N15 J24:N24 J83:N133 J135:N210 J234:N763">
    <cfRule type="expression" dxfId="309" priority="459">
      <formula>$J15="not testable"</formula>
    </cfRule>
  </conditionalFormatting>
  <conditionalFormatting sqref="J31 J29">
    <cfRule type="expression" dxfId="308" priority="383" stopIfTrue="1">
      <formula>$G29=""</formula>
    </cfRule>
  </conditionalFormatting>
  <conditionalFormatting sqref="J33">
    <cfRule type="expression" dxfId="307" priority="374" stopIfTrue="1">
      <formula>$J33="failed"</formula>
    </cfRule>
    <cfRule type="expression" dxfId="306" priority="373" stopIfTrue="1">
      <formula>$J33="OK"</formula>
    </cfRule>
    <cfRule type="expression" dxfId="305" priority="377" stopIfTrue="1">
      <formula>$G33=""</formula>
    </cfRule>
    <cfRule type="expression" dxfId="304" priority="376">
      <formula>$J33="permissible deviation"</formula>
    </cfRule>
    <cfRule type="expression" dxfId="303" priority="382">
      <formula>$G33=""</formula>
    </cfRule>
    <cfRule type="expression" dxfId="302" priority="375">
      <formula>$J33="not testable"</formula>
    </cfRule>
  </conditionalFormatting>
  <conditionalFormatting sqref="J33:J36">
    <cfRule type="expression" dxfId="301" priority="378" stopIfTrue="1">
      <formula>$J33="OK"</formula>
    </cfRule>
    <cfRule type="expression" dxfId="300" priority="380">
      <formula>$J33="not testable"</formula>
    </cfRule>
    <cfRule type="expression" dxfId="299" priority="379" stopIfTrue="1">
      <formula>$J33="failed"</formula>
    </cfRule>
    <cfRule type="expression" dxfId="298" priority="381">
      <formula>$J33="permissible deviation"</formula>
    </cfRule>
  </conditionalFormatting>
  <conditionalFormatting sqref="J37 M22:N22">
    <cfRule type="expression" dxfId="297" priority="301">
      <formula>$G22=""</formula>
    </cfRule>
    <cfRule type="expression" dxfId="296" priority="299">
      <formula>$J22="not testable"</formula>
    </cfRule>
  </conditionalFormatting>
  <conditionalFormatting sqref="J37:J40">
    <cfRule type="expression" dxfId="295" priority="290">
      <formula>$J37="permissible deviation"</formula>
    </cfRule>
    <cfRule type="expression" dxfId="294" priority="287" stopIfTrue="1">
      <formula>$J37="OK"</formula>
    </cfRule>
    <cfRule type="expression" dxfId="293" priority="288" stopIfTrue="1">
      <formula>$J37="failed"</formula>
    </cfRule>
    <cfRule type="expression" dxfId="292" priority="289">
      <formula>$J37="not testable"</formula>
    </cfRule>
  </conditionalFormatting>
  <conditionalFormatting sqref="J38:J40">
    <cfRule type="expression" dxfId="291" priority="291">
      <formula>$G38=""</formula>
    </cfRule>
    <cfRule type="expression" dxfId="290" priority="285">
      <formula>$J38="permissible deviation"</formula>
    </cfRule>
    <cfRule type="expression" dxfId="289" priority="286" stopIfTrue="1">
      <formula>$G38=""</formula>
    </cfRule>
    <cfRule type="expression" dxfId="288" priority="283" stopIfTrue="1">
      <formula>$J38="failed"</formula>
    </cfRule>
    <cfRule type="expression" dxfId="287" priority="284">
      <formula>$J38="not testable"</formula>
    </cfRule>
    <cfRule type="expression" dxfId="286" priority="282" stopIfTrue="1">
      <formula>$J38="OK"</formula>
    </cfRule>
  </conditionalFormatting>
  <conditionalFormatting sqref="J45:J46">
    <cfRule type="expression" dxfId="285" priority="253">
      <formula>$J45="not testable"</formula>
    </cfRule>
    <cfRule type="expression" dxfId="284" priority="254">
      <formula>$J45="permissible deviation"</formula>
    </cfRule>
    <cfRule type="expression" dxfId="283" priority="255">
      <formula>$G45=""</formula>
    </cfRule>
    <cfRule type="expression" dxfId="282" priority="248">
      <formula>$J45="not testable"</formula>
    </cfRule>
    <cfRule type="expression" dxfId="281" priority="243" stopIfTrue="1">
      <formula>$G45=""</formula>
    </cfRule>
    <cfRule type="expression" dxfId="280" priority="244" stopIfTrue="1">
      <formula>$J45="OK"</formula>
    </cfRule>
    <cfRule type="expression" dxfId="279" priority="245" stopIfTrue="1">
      <formula>$J45="failed"</formula>
    </cfRule>
    <cfRule type="expression" dxfId="278" priority="246" stopIfTrue="1">
      <formula>$J45="OK"</formula>
    </cfRule>
    <cfRule type="expression" dxfId="277" priority="247" stopIfTrue="1">
      <formula>$J45="failed"</formula>
    </cfRule>
    <cfRule type="expression" dxfId="276" priority="249">
      <formula>$J45="permissible deviation"</formula>
    </cfRule>
  </conditionalFormatting>
  <conditionalFormatting sqref="J45:J47">
    <cfRule type="expression" dxfId="275" priority="251" stopIfTrue="1">
      <formula>$J45="OK"</formula>
    </cfRule>
    <cfRule type="expression" dxfId="274" priority="250" stopIfTrue="1">
      <formula>$G45=""</formula>
    </cfRule>
    <cfRule type="expression" dxfId="273" priority="252" stopIfTrue="1">
      <formula>$J45="failed"</formula>
    </cfRule>
  </conditionalFormatting>
  <conditionalFormatting sqref="J47">
    <cfRule type="expression" dxfId="272" priority="264">
      <formula>$J47="permissible deviation"</formula>
    </cfRule>
    <cfRule type="expression" dxfId="271" priority="265">
      <formula>$G47=""</formula>
    </cfRule>
    <cfRule type="expression" dxfId="270" priority="256" stopIfTrue="1">
      <formula>$J47="OK"</formula>
    </cfRule>
    <cfRule type="expression" dxfId="269" priority="257" stopIfTrue="1">
      <formula>$J47="failed"</formula>
    </cfRule>
    <cfRule type="expression" dxfId="268" priority="258">
      <formula>$J47="not testable"</formula>
    </cfRule>
    <cfRule type="expression" dxfId="267" priority="259">
      <formula>$J47="permissible deviation"</formula>
    </cfRule>
    <cfRule type="expression" dxfId="266" priority="263">
      <formula>$J47="not testable"</formula>
    </cfRule>
  </conditionalFormatting>
  <conditionalFormatting sqref="J47:J48">
    <cfRule type="expression" dxfId="265" priority="260" stopIfTrue="1">
      <formula>$G47=""</formula>
    </cfRule>
    <cfRule type="expression" dxfId="264" priority="262" stopIfTrue="1">
      <formula>$J47="failed"</formula>
    </cfRule>
    <cfRule type="expression" dxfId="263" priority="261" stopIfTrue="1">
      <formula>$J47="OK"</formula>
    </cfRule>
  </conditionalFormatting>
  <conditionalFormatting sqref="J48">
    <cfRule type="expression" dxfId="262" priority="361">
      <formula>$J48="not testable"</formula>
    </cfRule>
    <cfRule type="expression" dxfId="261" priority="355" stopIfTrue="1">
      <formula>$J48="failed"</formula>
    </cfRule>
    <cfRule type="expression" dxfId="260" priority="354" stopIfTrue="1">
      <formula>$J48="OK"</formula>
    </cfRule>
    <cfRule type="expression" dxfId="259" priority="356">
      <formula>$J48="not testable"</formula>
    </cfRule>
    <cfRule type="expression" dxfId="258" priority="363">
      <formula>$G48=""</formula>
    </cfRule>
    <cfRule type="expression" dxfId="257" priority="357">
      <formula>$J48="permissible deviation"</formula>
    </cfRule>
    <cfRule type="expression" dxfId="256" priority="358" stopIfTrue="1">
      <formula>$G48=""</formula>
    </cfRule>
    <cfRule type="expression" dxfId="255" priority="359" stopIfTrue="1">
      <formula>$J48="OK"</formula>
    </cfRule>
    <cfRule type="expression" dxfId="254" priority="362">
      <formula>$J48="permissible deviation"</formula>
    </cfRule>
    <cfRule type="expression" dxfId="253" priority="360" stopIfTrue="1">
      <formula>$J48="failed"</formula>
    </cfRule>
  </conditionalFormatting>
  <conditionalFormatting sqref="J49">
    <cfRule type="expression" dxfId="252" priority="195">
      <formula>$G49=""</formula>
    </cfRule>
    <cfRule type="expression" dxfId="251" priority="194">
      <formula>$J49="permissible deviation"</formula>
    </cfRule>
    <cfRule type="expression" dxfId="250" priority="193">
      <formula>$J49="not testable"</formula>
    </cfRule>
    <cfRule type="expression" dxfId="249" priority="192" stopIfTrue="1">
      <formula>$J49="failed"</formula>
    </cfRule>
    <cfRule type="expression" dxfId="248" priority="191" stopIfTrue="1">
      <formula>$J49="OK"</formula>
    </cfRule>
    <cfRule type="expression" dxfId="247" priority="190" stopIfTrue="1">
      <formula>$G49=""</formula>
    </cfRule>
    <cfRule type="expression" dxfId="246" priority="189">
      <formula>$J49="permissible deviation"</formula>
    </cfRule>
    <cfRule type="expression" dxfId="245" priority="188">
      <formula>$J49="not testable"</formula>
    </cfRule>
    <cfRule type="expression" dxfId="244" priority="187" stopIfTrue="1">
      <formula>$J49="failed"</formula>
    </cfRule>
    <cfRule type="expression" dxfId="243" priority="186" stopIfTrue="1">
      <formula>$J49="OK"</formula>
    </cfRule>
  </conditionalFormatting>
  <conditionalFormatting sqref="J49:J50">
    <cfRule type="expression" dxfId="242" priority="182" stopIfTrue="1">
      <formula>$J49="failed"</formula>
    </cfRule>
    <cfRule type="expression" dxfId="241" priority="181" stopIfTrue="1">
      <formula>$J49="OK"</formula>
    </cfRule>
    <cfRule type="expression" dxfId="240" priority="180" stopIfTrue="1">
      <formula>$G49=""</formula>
    </cfRule>
  </conditionalFormatting>
  <conditionalFormatting sqref="J50">
    <cfRule type="expression" dxfId="239" priority="183">
      <formula>$J50="not testable"</formula>
    </cfRule>
    <cfRule type="expression" dxfId="238" priority="184">
      <formula>$J50="permissible deviation"</formula>
    </cfRule>
    <cfRule type="expression" dxfId="237" priority="178">
      <formula>$J50="not testable"</formula>
    </cfRule>
    <cfRule type="expression" dxfId="236" priority="177" stopIfTrue="1">
      <formula>$J50="failed"</formula>
    </cfRule>
    <cfRule type="expression" dxfId="235" priority="176" stopIfTrue="1">
      <formula>$J50="OK"</formula>
    </cfRule>
    <cfRule type="expression" dxfId="234" priority="185">
      <formula>$G50=""</formula>
    </cfRule>
    <cfRule type="expression" dxfId="233" priority="179">
      <formula>$J50="permissible deviation"</formula>
    </cfRule>
  </conditionalFormatting>
  <conditionalFormatting sqref="J50:J54">
    <cfRule type="expression" dxfId="232" priority="156" stopIfTrue="1">
      <formula>$G50=""</formula>
    </cfRule>
    <cfRule type="expression" dxfId="231" priority="157" stopIfTrue="1">
      <formula>$J50="OK"</formula>
    </cfRule>
    <cfRule type="expression" dxfId="230" priority="158" stopIfTrue="1">
      <formula>$J50="failed"</formula>
    </cfRule>
  </conditionalFormatting>
  <conditionalFormatting sqref="J51:J54">
    <cfRule type="expression" dxfId="229" priority="149" stopIfTrue="1">
      <formula>$G51=""</formula>
    </cfRule>
    <cfRule type="expression" dxfId="228" priority="160">
      <formula>$J51="permissible deviation"</formula>
    </cfRule>
    <cfRule type="expression" dxfId="227" priority="153" stopIfTrue="1">
      <formula>$J51="failed"</formula>
    </cfRule>
    <cfRule type="expression" dxfId="226" priority="151" stopIfTrue="1">
      <formula>$J51="failed"</formula>
    </cfRule>
    <cfRule type="expression" dxfId="225" priority="159">
      <formula>$J51="not testable"</formula>
    </cfRule>
    <cfRule type="expression" dxfId="224" priority="154">
      <formula>$J51="not testable"</formula>
    </cfRule>
    <cfRule type="expression" dxfId="223" priority="155">
      <formula>$J51="permissible deviation"</formula>
    </cfRule>
    <cfRule type="expression" dxfId="222" priority="152" stopIfTrue="1">
      <formula>$J51="OK"</formula>
    </cfRule>
    <cfRule type="expression" dxfId="221" priority="150" stopIfTrue="1">
      <formula>$J51="OK"</formula>
    </cfRule>
    <cfRule type="expression" dxfId="220" priority="161">
      <formula>$G51=""</formula>
    </cfRule>
  </conditionalFormatting>
  <conditionalFormatting sqref="J58:J59 L59:M59 J70:J76 K70:K74">
    <cfRule type="expression" dxfId="219" priority="137" stopIfTrue="1">
      <formula>$J58="failed"</formula>
    </cfRule>
  </conditionalFormatting>
  <conditionalFormatting sqref="J58:J59 L59:M59">
    <cfRule type="expression" dxfId="218" priority="136" stopIfTrue="1">
      <formula>$J58="OK"</formula>
    </cfRule>
    <cfRule type="expression" dxfId="217" priority="135" stopIfTrue="1">
      <formula>$G58=""</formula>
    </cfRule>
    <cfRule type="expression" dxfId="216" priority="134">
      <formula>$J58="permissible deviation"</formula>
    </cfRule>
    <cfRule type="expression" dxfId="215" priority="133">
      <formula>$J58="not testable"</formula>
    </cfRule>
  </conditionalFormatting>
  <conditionalFormatting sqref="J61">
    <cfRule type="expression" dxfId="214" priority="123">
      <formula>$J61="permissible deviation"</formula>
    </cfRule>
    <cfRule type="expression" dxfId="213" priority="122">
      <formula>$J61="not testable"</formula>
    </cfRule>
    <cfRule type="expression" dxfId="212" priority="124" stopIfTrue="1">
      <formula>$G61=""</formula>
    </cfRule>
    <cfRule type="expression" dxfId="211" priority="126" stopIfTrue="1">
      <formula>$J61="failed"</formula>
    </cfRule>
    <cfRule type="expression" dxfId="210" priority="125" stopIfTrue="1">
      <formula>$J61="OK"</formula>
    </cfRule>
  </conditionalFormatting>
  <conditionalFormatting sqref="J63">
    <cfRule type="expression" dxfId="209" priority="217">
      <formula>$J63="permissible deviation"</formula>
    </cfRule>
    <cfRule type="expression" dxfId="208" priority="228" stopIfTrue="1">
      <formula>$G63=""</formula>
    </cfRule>
    <cfRule type="expression" dxfId="207" priority="221" stopIfTrue="1">
      <formula>$G63=""</formula>
    </cfRule>
    <cfRule type="expression" dxfId="206" priority="222" stopIfTrue="1">
      <formula>$J63="OK"</formula>
    </cfRule>
    <cfRule type="expression" dxfId="205" priority="223" stopIfTrue="1">
      <formula>$J63="failed"</formula>
    </cfRule>
    <cfRule type="expression" dxfId="204" priority="230" stopIfTrue="1">
      <formula>$J63="failed"</formula>
    </cfRule>
    <cfRule type="expression" dxfId="203" priority="229" stopIfTrue="1">
      <formula>$J63="OK"</formula>
    </cfRule>
    <cfRule type="expression" dxfId="202" priority="227">
      <formula>$J63="permissible deviation"</formula>
    </cfRule>
    <cfRule type="expression" dxfId="201" priority="219">
      <formula>$J63="not testable"</formula>
    </cfRule>
    <cfRule type="expression" dxfId="200" priority="216">
      <formula>$J63="not testable"</formula>
    </cfRule>
    <cfRule type="expression" dxfId="199" priority="220">
      <formula>$J63="permissible deviation"</formula>
    </cfRule>
    <cfRule type="expression" dxfId="198" priority="218">
      <formula>$G63=""</formula>
    </cfRule>
    <cfRule type="expression" dxfId="197" priority="226">
      <formula>$J63="not testable"</formula>
    </cfRule>
  </conditionalFormatting>
  <conditionalFormatting sqref="J66">
    <cfRule type="expression" dxfId="196" priority="94" stopIfTrue="1">
      <formula>$J66="OK"</formula>
    </cfRule>
    <cfRule type="expression" dxfId="195" priority="95" stopIfTrue="1">
      <formula>$J66="failed"</formula>
    </cfRule>
    <cfRule type="expression" dxfId="194" priority="101" stopIfTrue="1">
      <formula>$J66="OK"</formula>
    </cfRule>
    <cfRule type="expression" dxfId="193" priority="88">
      <formula>$J66="not testable"</formula>
    </cfRule>
    <cfRule type="expression" dxfId="192" priority="90">
      <formula>$G66=""</formula>
    </cfRule>
    <cfRule type="expression" dxfId="191" priority="91">
      <formula>$J66="not testable"</formula>
    </cfRule>
    <cfRule type="expression" dxfId="190" priority="92">
      <formula>$J66="permissible deviation"</formula>
    </cfRule>
    <cfRule type="expression" dxfId="189" priority="98">
      <formula>$J66="not testable"</formula>
    </cfRule>
    <cfRule type="expression" dxfId="188" priority="99">
      <formula>$J66="permissible deviation"</formula>
    </cfRule>
    <cfRule type="expression" dxfId="187" priority="100" stopIfTrue="1">
      <formula>$G66=""</formula>
    </cfRule>
    <cfRule type="expression" dxfId="186" priority="93" stopIfTrue="1">
      <formula>$G66=""</formula>
    </cfRule>
    <cfRule type="expression" dxfId="185" priority="89">
      <formula>$J66="permissible deviation"</formula>
    </cfRule>
    <cfRule type="expression" dxfId="184" priority="102" stopIfTrue="1">
      <formula>$J66="failed"</formula>
    </cfRule>
  </conditionalFormatting>
  <conditionalFormatting sqref="J58:K59">
    <cfRule type="expression" dxfId="183" priority="140">
      <formula>$G58=""</formula>
    </cfRule>
  </conditionalFormatting>
  <conditionalFormatting sqref="J59:K59">
    <cfRule type="expression" dxfId="182" priority="139">
      <formula>$J59="permissible deviation"</formula>
    </cfRule>
    <cfRule type="expression" dxfId="181" priority="138">
      <formula>$J59="not testable"</formula>
    </cfRule>
  </conditionalFormatting>
  <conditionalFormatting sqref="J63:K63">
    <cfRule type="expression" dxfId="180" priority="231">
      <formula>$J63="not testable"</formula>
    </cfRule>
    <cfRule type="expression" dxfId="179" priority="233">
      <formula>$G63=""</formula>
    </cfRule>
    <cfRule type="expression" dxfId="178" priority="224" stopIfTrue="1">
      <formula>$J63="OK"</formula>
    </cfRule>
    <cfRule type="expression" dxfId="177" priority="232">
      <formula>$J63="permissible deviation"</formula>
    </cfRule>
    <cfRule type="expression" dxfId="176" priority="225" stopIfTrue="1">
      <formula>$J63="failed"</formula>
    </cfRule>
  </conditionalFormatting>
  <conditionalFormatting sqref="J66:K66">
    <cfRule type="expression" dxfId="175" priority="104">
      <formula>$J66="permissible deviation"</formula>
    </cfRule>
    <cfRule type="expression" dxfId="174" priority="96" stopIfTrue="1">
      <formula>$J66="OK"</formula>
    </cfRule>
    <cfRule type="expression" dxfId="173" priority="97" stopIfTrue="1">
      <formula>$J66="failed"</formula>
    </cfRule>
    <cfRule type="expression" dxfId="172" priority="103">
      <formula>$J66="not testable"</formula>
    </cfRule>
    <cfRule type="expression" dxfId="171" priority="105">
      <formula>$G66=""</formula>
    </cfRule>
  </conditionalFormatting>
  <conditionalFormatting sqref="J22:L22 L73:N73 N76">
    <cfRule type="expression" dxfId="170" priority="11" stopIfTrue="1">
      <formula>$J22="OK"</formula>
    </cfRule>
    <cfRule type="expression" dxfId="169" priority="12" stopIfTrue="1">
      <formula>$J22="failed"</formula>
    </cfRule>
    <cfRule type="expression" dxfId="168" priority="13">
      <formula>$J22="not testable"</formula>
    </cfRule>
    <cfRule type="expression" dxfId="167" priority="14">
      <formula>$J22="permissible deviation"</formula>
    </cfRule>
    <cfRule type="expression" dxfId="166" priority="15" stopIfTrue="1">
      <formula>$G22=""</formula>
    </cfRule>
  </conditionalFormatting>
  <conditionalFormatting sqref="J9:M11">
    <cfRule type="expression" dxfId="165" priority="173">
      <formula>$J9="not testable"</formula>
    </cfRule>
    <cfRule type="expression" dxfId="164" priority="174">
      <formula>$J9="permissible deviation"</formula>
    </cfRule>
    <cfRule type="expression" dxfId="163" priority="175">
      <formula>$G9=""</formula>
    </cfRule>
  </conditionalFormatting>
  <conditionalFormatting sqref="J45:M54">
    <cfRule type="expression" dxfId="162" priority="143">
      <formula>$J45="not testable"</formula>
    </cfRule>
    <cfRule type="expression" dxfId="161" priority="144">
      <formula>$J45="permissible deviation"</formula>
    </cfRule>
  </conditionalFormatting>
  <conditionalFormatting sqref="J7:N7">
    <cfRule type="expression" dxfId="160" priority="389" stopIfTrue="1">
      <formula>$J7="OK"</formula>
    </cfRule>
    <cfRule type="expression" dxfId="159" priority="390" stopIfTrue="1">
      <formula>$J7="failed"</formula>
    </cfRule>
    <cfRule type="expression" dxfId="158" priority="396">
      <formula>$J7="not testable"</formula>
    </cfRule>
    <cfRule type="expression" dxfId="157" priority="397">
      <formula>$J7="permissible deviation"</formula>
    </cfRule>
    <cfRule type="expression" dxfId="156" priority="398">
      <formula>$G7=""</formula>
    </cfRule>
  </conditionalFormatting>
  <conditionalFormatting sqref="J9:N11 J18:N22 J31:N31 L71:N79 J75:K79">
    <cfRule type="expression" dxfId="155" priority="65" stopIfTrue="1">
      <formula>$J9="failed"</formula>
    </cfRule>
  </conditionalFormatting>
  <conditionalFormatting sqref="J18:N21">
    <cfRule type="expression" dxfId="154" priority="196">
      <formula>$J18="not testable"</formula>
    </cfRule>
    <cfRule type="expression" dxfId="153" priority="197">
      <formula>$J18="permissible deviation"</formula>
    </cfRule>
    <cfRule type="expression" dxfId="152" priority="198">
      <formula>$G18=""</formula>
    </cfRule>
  </conditionalFormatting>
  <conditionalFormatting sqref="J18:N22 J31:N31 L71:M74 N71:N79 J9:N11 J75:M79">
    <cfRule type="expression" dxfId="151" priority="64" stopIfTrue="1">
      <formula>$J9="OK"</formula>
    </cfRule>
  </conditionalFormatting>
  <conditionalFormatting sqref="J29:N29 J34:J36 L34:N36 J42:K42 J43:N44 J56 L56:N56 L58:N58 J70:K74 L74:M76 J75:J76">
    <cfRule type="expression" dxfId="150" priority="451" stopIfTrue="1">
      <formula>$J29="OK"</formula>
    </cfRule>
  </conditionalFormatting>
  <conditionalFormatting sqref="J29:N29 J34:J36 L34:N36 J42:K42 J43:N44 J56 L56:N56 L58:N58">
    <cfRule type="expression" dxfId="149" priority="452" stopIfTrue="1">
      <formula>$J29="failed"</formula>
    </cfRule>
  </conditionalFormatting>
  <conditionalFormatting sqref="J29:N29 J42:N44 K15:N15 J24:N24">
    <cfRule type="expression" dxfId="148" priority="443" stopIfTrue="1">
      <formula>$J15="OK"</formula>
    </cfRule>
  </conditionalFormatting>
  <conditionalFormatting sqref="J29:N29 J42:N44 L34:N36 J56 L56:N56 J58:N58">
    <cfRule type="expression" dxfId="147" priority="448">
      <formula>$J29="not testable"</formula>
    </cfRule>
  </conditionalFormatting>
  <conditionalFormatting sqref="J29:N29 L34:N36 J42:K42 J43:N44 J56 L56:N56 L58:N58 J70:J76 L74:M76 J34:J36">
    <cfRule type="expression" dxfId="146" priority="450" stopIfTrue="1">
      <formula>$G29=""</formula>
    </cfRule>
  </conditionalFormatting>
  <conditionalFormatting sqref="J29:N29 L34:N36 J42:N44 J56 L56:N56 J58:N58 J70:K76 L74:M76">
    <cfRule type="expression" dxfId="145" priority="449">
      <formula>$J29="permissible deviation"</formula>
    </cfRule>
  </conditionalFormatting>
  <conditionalFormatting sqref="J31:N31">
    <cfRule type="expression" dxfId="144" priority="387">
      <formula>$J31="permissible deviation"</formula>
    </cfRule>
    <cfRule type="expression" dxfId="143" priority="388">
      <formula>$G31=""</formula>
    </cfRule>
    <cfRule type="expression" dxfId="142" priority="386">
      <formula>$J31="not testable"</formula>
    </cfRule>
  </conditionalFormatting>
  <conditionalFormatting sqref="J33:N33">
    <cfRule type="expression" dxfId="141" priority="280" stopIfTrue="1">
      <formula>$J33="OK"</formula>
    </cfRule>
    <cfRule type="expression" dxfId="140" priority="281" stopIfTrue="1">
      <formula>$J33="failed"</formula>
    </cfRule>
    <cfRule type="expression" dxfId="139" priority="279" stopIfTrue="1">
      <formula>$G33=""</formula>
    </cfRule>
    <cfRule type="expression" dxfId="138" priority="278">
      <formula>$J33="permissible deviation"</formula>
    </cfRule>
    <cfRule type="expression" dxfId="137" priority="277">
      <formula>$J33="not testable"</formula>
    </cfRule>
  </conditionalFormatting>
  <conditionalFormatting sqref="J56:N56">
    <cfRule type="expression" dxfId="136" priority="241" stopIfTrue="1">
      <formula>$J56="OK"</formula>
    </cfRule>
    <cfRule type="expression" dxfId="135" priority="242" stopIfTrue="1">
      <formula>$J56="failed"</formula>
    </cfRule>
  </conditionalFormatting>
  <conditionalFormatting sqref="J58:N59">
    <cfRule type="expression" dxfId="134" priority="25" stopIfTrue="1">
      <formula>$J58="failed"</formula>
    </cfRule>
    <cfRule type="expression" dxfId="133" priority="24" stopIfTrue="1">
      <formula>$J58="OK"</formula>
    </cfRule>
  </conditionalFormatting>
  <conditionalFormatting sqref="J61:N61">
    <cfRule type="expression" dxfId="132" priority="129">
      <formula>$G61=""</formula>
    </cfRule>
    <cfRule type="expression" dxfId="131" priority="119" stopIfTrue="1">
      <formula>$J61="OK"</formula>
    </cfRule>
    <cfRule type="expression" dxfId="130" priority="128">
      <formula>$J61="permissible deviation"</formula>
    </cfRule>
    <cfRule type="expression" dxfId="129" priority="127">
      <formula>$J61="not testable"</formula>
    </cfRule>
    <cfRule type="expression" dxfId="128" priority="120" stopIfTrue="1">
      <formula>$J61="failed"</formula>
    </cfRule>
  </conditionalFormatting>
  <conditionalFormatting sqref="J134:N134">
    <cfRule type="expression" dxfId="127" priority="542" stopIfTrue="1">
      <formula>$J134="OK"</formula>
    </cfRule>
    <cfRule type="expression" dxfId="126" priority="543" stopIfTrue="1">
      <formula>$J134&lt;&gt;"OK"</formula>
    </cfRule>
    <cfRule type="expression" dxfId="125" priority="541" stopIfTrue="1">
      <formula>$G134=""</formula>
    </cfRule>
  </conditionalFormatting>
  <conditionalFormatting sqref="J211:N233">
    <cfRule type="expression" dxfId="124" priority="468" stopIfTrue="1">
      <formula>$J211="OK"</formula>
    </cfRule>
    <cfRule type="expression" dxfId="123" priority="467" stopIfTrue="1">
      <formula>$G211=""</formula>
    </cfRule>
    <cfRule type="expression" dxfId="122" priority="469" stopIfTrue="1">
      <formula>$J211&lt;&gt;"OK"</formula>
    </cfRule>
  </conditionalFormatting>
  <conditionalFormatting sqref="K33:K36">
    <cfRule type="expression" dxfId="121" priority="272" stopIfTrue="1">
      <formula>$J33="OK"</formula>
    </cfRule>
    <cfRule type="expression" dxfId="120" priority="273" stopIfTrue="1">
      <formula>$J33="failed"</formula>
    </cfRule>
  </conditionalFormatting>
  <conditionalFormatting sqref="K34:K35">
    <cfRule type="expression" dxfId="119" priority="274">
      <formula>$J34="not testable"</formula>
    </cfRule>
    <cfRule type="expression" dxfId="118" priority="276">
      <formula>$G34=""</formula>
    </cfRule>
    <cfRule type="expression" dxfId="117" priority="275">
      <formula>$J34="permissible deviation"</formula>
    </cfRule>
  </conditionalFormatting>
  <conditionalFormatting sqref="K36">
    <cfRule type="expression" dxfId="116" priority="271" stopIfTrue="1">
      <formula>$G36=""</formula>
    </cfRule>
  </conditionalFormatting>
  <conditionalFormatting sqref="K36:K40">
    <cfRule type="expression" dxfId="115" priority="266" stopIfTrue="1">
      <formula>$J36="OK"</formula>
    </cfRule>
    <cfRule type="expression" dxfId="114" priority="267" stopIfTrue="1">
      <formula>$J36="failed"</formula>
    </cfRule>
    <cfRule type="expression" dxfId="113" priority="268">
      <formula>$J36="not testable"</formula>
    </cfRule>
    <cfRule type="expression" dxfId="112" priority="269">
      <formula>$J36="permissible deviation"</formula>
    </cfRule>
  </conditionalFormatting>
  <conditionalFormatting sqref="K37:K40">
    <cfRule type="expression" dxfId="111" priority="270">
      <formula>$G37=""</formula>
    </cfRule>
  </conditionalFormatting>
  <conditionalFormatting sqref="K45:K54">
    <cfRule type="expression" dxfId="110" priority="145">
      <formula>$G45=""</formula>
    </cfRule>
  </conditionalFormatting>
  <conditionalFormatting sqref="K56">
    <cfRule type="expression" dxfId="109" priority="237" stopIfTrue="1">
      <formula>$J56="failed"</formula>
    </cfRule>
    <cfRule type="expression" dxfId="108" priority="238">
      <formula>$J56="not testable"</formula>
    </cfRule>
    <cfRule type="expression" dxfId="107" priority="239">
      <formula>$J56="permissible deviation"</formula>
    </cfRule>
    <cfRule type="expression" dxfId="106" priority="240" stopIfTrue="1">
      <formula>$G56=""</formula>
    </cfRule>
    <cfRule type="expression" dxfId="105" priority="236" stopIfTrue="1">
      <formula>$J56="OK"</formula>
    </cfRule>
  </conditionalFormatting>
  <conditionalFormatting sqref="K45:M54">
    <cfRule type="expression" dxfId="104" priority="141" stopIfTrue="1">
      <formula>$J45="OK"</formula>
    </cfRule>
    <cfRule type="expression" dxfId="103" priority="142" stopIfTrue="1">
      <formula>$J45="failed"</formula>
    </cfRule>
  </conditionalFormatting>
  <conditionalFormatting sqref="K6:N6">
    <cfRule type="expression" dxfId="102" priority="399" stopIfTrue="1">
      <formula>$J6="OK"</formula>
    </cfRule>
    <cfRule type="expression" dxfId="101" priority="400" stopIfTrue="1">
      <formula>$J6="failed"</formula>
    </cfRule>
    <cfRule type="expression" dxfId="100" priority="401">
      <formula>$J6="not testable"</formula>
    </cfRule>
    <cfRule type="expression" dxfId="99" priority="402">
      <formula>$J6="permissible deviation"</formula>
    </cfRule>
    <cfRule type="expression" dxfId="98" priority="403">
      <formula>$G6=""</formula>
    </cfRule>
  </conditionalFormatting>
  <conditionalFormatting sqref="K12:N12">
    <cfRule type="expression" dxfId="97" priority="420" stopIfTrue="1">
      <formula>$J12="OK"</formula>
    </cfRule>
    <cfRule type="expression" dxfId="96" priority="421" stopIfTrue="1">
      <formula>$J12="failed"</formula>
    </cfRule>
    <cfRule type="expression" dxfId="95" priority="422">
      <formula>$J12="not testable"</formula>
    </cfRule>
    <cfRule type="expression" dxfId="94" priority="424">
      <formula>$G12=""</formula>
    </cfRule>
    <cfRule type="expression" dxfId="93" priority="423">
      <formula>$J12="permissible deviation"</formula>
    </cfRule>
  </conditionalFormatting>
  <conditionalFormatting sqref="K15:N15 J24:N24 J29 J34:J36 J42:J44 J56 J83:N133 J135:N210 J234:N763">
    <cfRule type="expression" dxfId="92" priority="460">
      <formula>$J15="permissible deviation"</formula>
    </cfRule>
  </conditionalFormatting>
  <conditionalFormatting sqref="K15:N15 J24:N24 J29:N29 J42:N44">
    <cfRule type="expression" dxfId="91" priority="444" stopIfTrue="1">
      <formula>$J15="failed"</formula>
    </cfRule>
  </conditionalFormatting>
  <conditionalFormatting sqref="K26:N26">
    <cfRule type="expression" dxfId="90" priority="342" stopIfTrue="1">
      <formula>$J26="OK"</formula>
    </cfRule>
    <cfRule type="expression" dxfId="89" priority="344">
      <formula>$J26="not testable"</formula>
    </cfRule>
    <cfRule type="expression" dxfId="88" priority="343" stopIfTrue="1">
      <formula>$J26="failed"</formula>
    </cfRule>
    <cfRule type="expression" dxfId="87" priority="345">
      <formula>$J26="permissible deviation"</formula>
    </cfRule>
    <cfRule type="expression" dxfId="86" priority="346">
      <formula>$G26=""</formula>
    </cfRule>
  </conditionalFormatting>
  <conditionalFormatting sqref="K30:N30">
    <cfRule type="expression" dxfId="85" priority="4">
      <formula>$J30="permissible deviation"</formula>
    </cfRule>
    <cfRule type="expression" dxfId="84" priority="3">
      <formula>$J30="not testable"</formula>
    </cfRule>
    <cfRule type="expression" dxfId="83" priority="2" stopIfTrue="1">
      <formula>$J30="failed"</formula>
    </cfRule>
    <cfRule type="expression" dxfId="82" priority="1" stopIfTrue="1">
      <formula>$J30="OK"</formula>
    </cfRule>
    <cfRule type="expression" dxfId="81" priority="5">
      <formula>$G30=""</formula>
    </cfRule>
  </conditionalFormatting>
  <conditionalFormatting sqref="L45:M54">
    <cfRule type="expression" dxfId="80" priority="148" stopIfTrue="1">
      <formula>$J45="failed"</formula>
    </cfRule>
    <cfRule type="expression" dxfId="79" priority="147" stopIfTrue="1">
      <formula>$J45="OK"</formula>
    </cfRule>
    <cfRule type="expression" dxfId="78" priority="146" stopIfTrue="1">
      <formula>$G45=""</formula>
    </cfRule>
  </conditionalFormatting>
  <conditionalFormatting sqref="L33:N40 J37">
    <cfRule type="expression" dxfId="77" priority="297" stopIfTrue="1">
      <formula>$J33="OK"</formula>
    </cfRule>
    <cfRule type="expression" dxfId="76" priority="298" stopIfTrue="1">
      <formula>$J33="failed"</formula>
    </cfRule>
  </conditionalFormatting>
  <conditionalFormatting sqref="L37:N40 J37">
    <cfRule type="expression" dxfId="75" priority="296" stopIfTrue="1">
      <formula>$G37=""</formula>
    </cfRule>
  </conditionalFormatting>
  <conditionalFormatting sqref="L37:N40">
    <cfRule type="expression" dxfId="74" priority="295">
      <formula>$J37="permissible deviation"</formula>
    </cfRule>
    <cfRule type="expression" dxfId="73" priority="294">
      <formula>$J37="not testable"</formula>
    </cfRule>
    <cfRule type="expression" dxfId="72" priority="292" stopIfTrue="1">
      <formula>$J37="OK"</formula>
    </cfRule>
    <cfRule type="expression" dxfId="71" priority="293" stopIfTrue="1">
      <formula>$J37="failed"</formula>
    </cfRule>
  </conditionalFormatting>
  <conditionalFormatting sqref="L63:N63">
    <cfRule type="expression" dxfId="70" priority="202" stopIfTrue="1">
      <formula>$J63="OK"</formula>
    </cfRule>
    <cfRule type="expression" dxfId="69" priority="205" stopIfTrue="1">
      <formula>$J63="failed"</formula>
    </cfRule>
    <cfRule type="expression" dxfId="68" priority="204" stopIfTrue="1">
      <formula>$J63="OK"</formula>
    </cfRule>
    <cfRule type="expression" dxfId="67" priority="203" stopIfTrue="1">
      <formula>$J63="failed"</formula>
    </cfRule>
    <cfRule type="expression" dxfId="66" priority="201" stopIfTrue="1">
      <formula>$G63=""</formula>
    </cfRule>
    <cfRule type="expression" dxfId="65" priority="200">
      <formula>$J63="permissible deviation"</formula>
    </cfRule>
    <cfRule type="expression" dxfId="64" priority="199">
      <formula>$J63="not testable"</formula>
    </cfRule>
  </conditionalFormatting>
  <conditionalFormatting sqref="L66:N66">
    <cfRule type="expression" dxfId="63" priority="83" stopIfTrue="1">
      <formula>$G66=""</formula>
    </cfRule>
    <cfRule type="expression" dxfId="62" priority="87" stopIfTrue="1">
      <formula>$J66="failed"</formula>
    </cfRule>
    <cfRule type="expression" dxfId="61" priority="86" stopIfTrue="1">
      <formula>$J66="OK"</formula>
    </cfRule>
    <cfRule type="expression" dxfId="60" priority="85" stopIfTrue="1">
      <formula>$J66="failed"</formula>
    </cfRule>
    <cfRule type="expression" dxfId="59" priority="84" stopIfTrue="1">
      <formula>$J66="OK"</formula>
    </cfRule>
    <cfRule type="expression" dxfId="58" priority="82">
      <formula>$J66="permissible deviation"</formula>
    </cfRule>
    <cfRule type="expression" dxfId="57" priority="81">
      <formula>$J66="not testable"</formula>
    </cfRule>
  </conditionalFormatting>
  <conditionalFormatting sqref="L70:N70">
    <cfRule type="expression" dxfId="56" priority="209" stopIfTrue="1">
      <formula>$J70="OK"</formula>
    </cfRule>
    <cfRule type="expression" dxfId="55" priority="210" stopIfTrue="1">
      <formula>$J70="failed"</formula>
    </cfRule>
  </conditionalFormatting>
  <conditionalFormatting sqref="L70:N71">
    <cfRule type="expression" dxfId="54" priority="214" stopIfTrue="1">
      <formula>$J70="OK"</formula>
    </cfRule>
    <cfRule type="expression" dxfId="53" priority="213" stopIfTrue="1">
      <formula>$G70=""</formula>
    </cfRule>
    <cfRule type="expression" dxfId="52" priority="212">
      <formula>$J70="permissible deviation"</formula>
    </cfRule>
    <cfRule type="expression" dxfId="51" priority="211">
      <formula>$J70="not testable"</formula>
    </cfRule>
    <cfRule type="expression" dxfId="50" priority="215" stopIfTrue="1">
      <formula>$J70="failed"</formula>
    </cfRule>
  </conditionalFormatting>
  <conditionalFormatting sqref="L72:N72 N74:N75">
    <cfRule type="expression" dxfId="49" priority="208" stopIfTrue="1">
      <formula>$G72=""</formula>
    </cfRule>
    <cfRule type="expression" dxfId="48" priority="206">
      <formula>$J72="not testable"</formula>
    </cfRule>
    <cfRule type="expression" dxfId="47" priority="207">
      <formula>$J72="permissible deviation"</formula>
    </cfRule>
  </conditionalFormatting>
  <conditionalFormatting sqref="M22:N22 J37">
    <cfRule type="expression" dxfId="46" priority="300">
      <formula>$J22="permissible deviation"</formula>
    </cfRule>
  </conditionalFormatting>
  <conditionalFormatting sqref="N9:N11">
    <cfRule type="expression" dxfId="45" priority="66">
      <formula>$J9="not testable"</formula>
    </cfRule>
    <cfRule type="expression" dxfId="44" priority="67">
      <formula>$J9="permissible deviation"</formula>
    </cfRule>
    <cfRule type="expression" dxfId="43" priority="68">
      <formula>$G9=""</formula>
    </cfRule>
  </conditionalFormatting>
  <conditionalFormatting sqref="N45:N48">
    <cfRule type="expression" dxfId="42" priority="63">
      <formula>$G45=""</formula>
    </cfRule>
    <cfRule type="expression" dxfId="41" priority="62">
      <formula>$J45="permissible deviation"</formula>
    </cfRule>
    <cfRule type="expression" dxfId="40" priority="61">
      <formula>$J45="not testable"</formula>
    </cfRule>
  </conditionalFormatting>
  <conditionalFormatting sqref="N45:N49">
    <cfRule type="expression" dxfId="39" priority="59" stopIfTrue="1">
      <formula>$J45="OK"</formula>
    </cfRule>
    <cfRule type="expression" dxfId="38" priority="60" stopIfTrue="1">
      <formula>$J45="failed"</formula>
    </cfRule>
  </conditionalFormatting>
  <conditionalFormatting sqref="N45:N54">
    <cfRule type="expression" dxfId="37" priority="26" stopIfTrue="1">
      <formula>#REF!=1</formula>
    </cfRule>
    <cfRule type="expression" dxfId="36" priority="27" stopIfTrue="1">
      <formula>#REF!=2</formula>
    </cfRule>
    <cfRule type="expression" dxfId="35" priority="28" stopIfTrue="1">
      <formula>#REF!=3</formula>
    </cfRule>
  </conditionalFormatting>
  <conditionalFormatting sqref="N49">
    <cfRule type="expression" dxfId="34" priority="56">
      <formula>$J49="not testable"</formula>
    </cfRule>
    <cfRule type="expression" dxfId="33" priority="58" stopIfTrue="1">
      <formula>$G49=""</formula>
    </cfRule>
    <cfRule type="expression" dxfId="32" priority="57">
      <formula>$J49="permissible deviation"</formula>
    </cfRule>
  </conditionalFormatting>
  <conditionalFormatting sqref="N49:N50">
    <cfRule type="expression" dxfId="31" priority="55" stopIfTrue="1">
      <formula>$J49="failed"</formula>
    </cfRule>
    <cfRule type="expression" dxfId="30" priority="54" stopIfTrue="1">
      <formula>$J49="OK"</formula>
    </cfRule>
  </conditionalFormatting>
  <conditionalFormatting sqref="N50">
    <cfRule type="expression" dxfId="29" priority="51">
      <formula>$J50="not testable"</formula>
    </cfRule>
    <cfRule type="expression" dxfId="28" priority="53" stopIfTrue="1">
      <formula>$G50=""</formula>
    </cfRule>
    <cfRule type="expression" dxfId="27" priority="52">
      <formula>$J50="permissible deviation"</formula>
    </cfRule>
  </conditionalFormatting>
  <conditionalFormatting sqref="N50:N51">
    <cfRule type="expression" dxfId="26" priority="49" stopIfTrue="1">
      <formula>$J50="OK"</formula>
    </cfRule>
    <cfRule type="expression" dxfId="25" priority="50" stopIfTrue="1">
      <formula>$J50="failed"</formula>
    </cfRule>
  </conditionalFormatting>
  <conditionalFormatting sqref="N51">
    <cfRule type="expression" dxfId="24" priority="46">
      <formula>$J51="not testable"</formula>
    </cfRule>
    <cfRule type="expression" dxfId="23" priority="47">
      <formula>$J51="permissible deviation"</formula>
    </cfRule>
    <cfRule type="expression" dxfId="22" priority="48" stopIfTrue="1">
      <formula>$G51=""</formula>
    </cfRule>
  </conditionalFormatting>
  <conditionalFormatting sqref="N51:N52">
    <cfRule type="expression" dxfId="21" priority="44" stopIfTrue="1">
      <formula>$J51="OK"</formula>
    </cfRule>
    <cfRule type="expression" dxfId="20" priority="45" stopIfTrue="1">
      <formula>$J51="failed"</formula>
    </cfRule>
  </conditionalFormatting>
  <conditionalFormatting sqref="N52">
    <cfRule type="expression" dxfId="19" priority="41">
      <formula>$J52="not testable"</formula>
    </cfRule>
    <cfRule type="expression" dxfId="18" priority="42">
      <formula>$J52="permissible deviation"</formula>
    </cfRule>
    <cfRule type="expression" dxfId="17" priority="43" stopIfTrue="1">
      <formula>$G52=""</formula>
    </cfRule>
  </conditionalFormatting>
  <conditionalFormatting sqref="N52:N53">
    <cfRule type="expression" dxfId="16" priority="39" stopIfTrue="1">
      <formula>$J52="OK"</formula>
    </cfRule>
    <cfRule type="expression" dxfId="15" priority="40" stopIfTrue="1">
      <formula>$J52="failed"</formula>
    </cfRule>
  </conditionalFormatting>
  <conditionalFormatting sqref="N53">
    <cfRule type="expression" dxfId="14" priority="38" stopIfTrue="1">
      <formula>$G53=""</formula>
    </cfRule>
    <cfRule type="expression" dxfId="13" priority="36">
      <formula>$J53="not testable"</formula>
    </cfRule>
    <cfRule type="expression" dxfId="12" priority="37">
      <formula>$J53="permissible deviation"</formula>
    </cfRule>
  </conditionalFormatting>
  <conditionalFormatting sqref="N53:N54">
    <cfRule type="expression" dxfId="11" priority="34" stopIfTrue="1">
      <formula>$J53="OK"</formula>
    </cfRule>
    <cfRule type="expression" dxfId="10" priority="35" stopIfTrue="1">
      <formula>$J53="failed"</formula>
    </cfRule>
  </conditionalFormatting>
  <conditionalFormatting sqref="N54">
    <cfRule type="expression" dxfId="9" priority="29" stopIfTrue="1">
      <formula>$J54="OK"</formula>
    </cfRule>
    <cfRule type="expression" dxfId="8" priority="30" stopIfTrue="1">
      <formula>$J54="failed"</formula>
    </cfRule>
    <cfRule type="expression" dxfId="7" priority="31">
      <formula>$J54="not testable"</formula>
    </cfRule>
    <cfRule type="expression" dxfId="6" priority="33" stopIfTrue="1">
      <formula>$G54=""</formula>
    </cfRule>
    <cfRule type="expression" dxfId="5" priority="32">
      <formula>$J54="permissible deviation"</formula>
    </cfRule>
  </conditionalFormatting>
  <conditionalFormatting sqref="N59">
    <cfRule type="expression" dxfId="4" priority="23" stopIfTrue="1">
      <formula>$G59=""</formula>
    </cfRule>
    <cfRule type="expression" dxfId="3" priority="22">
      <formula>$J59="permissible deviation"</formula>
    </cfRule>
    <cfRule type="expression" dxfId="2" priority="21">
      <formula>$J59="not testable"</formula>
    </cfRule>
    <cfRule type="expression" dxfId="1" priority="20" stopIfTrue="1">
      <formula>$J59="failed"</formula>
    </cfRule>
    <cfRule type="expression" dxfId="0" priority="19" stopIfTrue="1">
      <formula>$J59="OK"</formula>
    </cfRule>
  </conditionalFormatting>
  <printOptions horizontalCentered="1" headings="1" gridLines="1"/>
  <pageMargins left="0.78740157480314965" right="0.78740157480314965" top="0.59055118110236227" bottom="0.98425196850393704" header="0.11811023622047245" footer="0.51181102362204722"/>
  <pageSetup paperSize="9" scale="53" fitToHeight="0" orientation="landscape" r:id="rId1"/>
  <headerFooter alignWithMargins="0">
    <oddFooter>&amp;L&amp;D&amp;C&amp;F &amp;"Arial,Fett"&amp;A&amp;R&amp;P von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4"/>
  <dimension ref="A1:E80"/>
  <sheetViews>
    <sheetView workbookViewId="0">
      <selection activeCell="C11" sqref="C11"/>
    </sheetView>
  </sheetViews>
  <sheetFormatPr defaultColWidth="11.42578125" defaultRowHeight="12.75" x14ac:dyDescent="0.2"/>
  <cols>
    <col min="2" max="2" width="11.42578125" style="110"/>
    <col min="3" max="3" width="54.42578125" customWidth="1"/>
    <col min="4" max="4" width="15.5703125" customWidth="1"/>
  </cols>
  <sheetData>
    <row r="1" spans="1:5" ht="50.1" customHeight="1" thickBot="1" x14ac:dyDescent="0.25">
      <c r="A1" s="152" t="s">
        <v>278</v>
      </c>
      <c r="B1" s="147" t="s">
        <v>279</v>
      </c>
      <c r="C1" s="153" t="s">
        <v>280</v>
      </c>
      <c r="D1" s="154" t="s">
        <v>281</v>
      </c>
      <c r="E1" s="5"/>
    </row>
    <row r="2" spans="1:5" ht="12.75" customHeight="1" thickTop="1" x14ac:dyDescent="0.2">
      <c r="A2" s="33">
        <v>44428</v>
      </c>
      <c r="B2" s="113" t="s">
        <v>282</v>
      </c>
      <c r="C2" s="38" t="s">
        <v>283</v>
      </c>
      <c r="D2" s="181" t="s">
        <v>76</v>
      </c>
      <c r="E2" s="5"/>
    </row>
    <row r="3" spans="1:5" ht="38.25" x14ac:dyDescent="0.2">
      <c r="A3" s="29">
        <v>44428</v>
      </c>
      <c r="B3" s="107" t="s">
        <v>282</v>
      </c>
      <c r="C3" s="40" t="s">
        <v>284</v>
      </c>
      <c r="D3" s="181" t="s">
        <v>178</v>
      </c>
    </row>
    <row r="4" spans="1:5" x14ac:dyDescent="0.2">
      <c r="A4" s="29">
        <v>44431</v>
      </c>
      <c r="B4" s="107" t="s">
        <v>282</v>
      </c>
      <c r="C4" s="27" t="s">
        <v>285</v>
      </c>
      <c r="D4" s="32" t="s">
        <v>286</v>
      </c>
    </row>
    <row r="5" spans="1:5" x14ac:dyDescent="0.2">
      <c r="A5" s="33">
        <v>44530</v>
      </c>
      <c r="B5" s="148" t="s">
        <v>287</v>
      </c>
      <c r="C5" s="27" t="s">
        <v>288</v>
      </c>
      <c r="D5" s="32" t="s">
        <v>289</v>
      </c>
    </row>
    <row r="6" spans="1:5" ht="25.5" x14ac:dyDescent="0.2">
      <c r="A6" s="33">
        <v>44533</v>
      </c>
      <c r="B6" s="107" t="s">
        <v>290</v>
      </c>
      <c r="C6" s="38" t="s">
        <v>291</v>
      </c>
      <c r="D6" s="182" t="s">
        <v>233</v>
      </c>
    </row>
    <row r="7" spans="1:5" x14ac:dyDescent="0.2">
      <c r="A7" s="33">
        <v>44200</v>
      </c>
      <c r="B7" s="107" t="s">
        <v>290</v>
      </c>
      <c r="C7" s="38" t="s">
        <v>292</v>
      </c>
      <c r="D7" s="35"/>
    </row>
    <row r="8" spans="1:5" ht="25.5" x14ac:dyDescent="0.2">
      <c r="A8" s="33">
        <v>44200</v>
      </c>
      <c r="B8" s="107" t="s">
        <v>290</v>
      </c>
      <c r="C8" s="38" t="s">
        <v>293</v>
      </c>
      <c r="D8" s="35"/>
    </row>
    <row r="9" spans="1:5" x14ac:dyDescent="0.2">
      <c r="A9" s="33">
        <v>45135</v>
      </c>
      <c r="B9" s="107" t="s">
        <v>299</v>
      </c>
      <c r="C9" s="38" t="s">
        <v>300</v>
      </c>
      <c r="D9" s="209" t="s">
        <v>298</v>
      </c>
    </row>
    <row r="10" spans="1:5" ht="25.5" x14ac:dyDescent="0.2">
      <c r="A10" s="33">
        <v>45190</v>
      </c>
      <c r="B10" s="148" t="s">
        <v>302</v>
      </c>
      <c r="C10" s="25" t="s">
        <v>303</v>
      </c>
      <c r="D10" s="35"/>
    </row>
    <row r="11" spans="1:5" x14ac:dyDescent="0.2">
      <c r="A11" s="33"/>
      <c r="B11" s="148"/>
      <c r="C11" s="25"/>
      <c r="D11" s="35"/>
    </row>
    <row r="12" spans="1:5" x14ac:dyDescent="0.2">
      <c r="A12" s="33"/>
      <c r="B12" s="148"/>
      <c r="C12" s="25"/>
      <c r="D12" s="35"/>
    </row>
    <row r="13" spans="1:5" x14ac:dyDescent="0.2">
      <c r="A13" s="33"/>
      <c r="B13" s="148"/>
      <c r="C13" s="25"/>
      <c r="D13" s="35"/>
    </row>
    <row r="14" spans="1:5" x14ac:dyDescent="0.2">
      <c r="A14" s="33"/>
      <c r="B14" s="148"/>
      <c r="C14" s="38"/>
      <c r="D14" s="28"/>
    </row>
    <row r="15" spans="1:5" x14ac:dyDescent="0.2">
      <c r="A15" s="33"/>
      <c r="B15" s="148"/>
      <c r="C15" s="25"/>
      <c r="D15" s="28"/>
    </row>
    <row r="16" spans="1:5" x14ac:dyDescent="0.2">
      <c r="A16" s="33"/>
      <c r="B16" s="107"/>
      <c r="C16" s="38"/>
      <c r="D16" s="28"/>
    </row>
    <row r="17" spans="1:4" x14ac:dyDescent="0.2">
      <c r="A17" s="33"/>
      <c r="B17" s="107"/>
      <c r="C17" s="38"/>
      <c r="D17" s="28"/>
    </row>
    <row r="18" spans="1:4" x14ac:dyDescent="0.2">
      <c r="A18" s="33"/>
      <c r="B18" s="148"/>
      <c r="C18" s="25"/>
      <c r="D18" s="28"/>
    </row>
    <row r="19" spans="1:4" x14ac:dyDescent="0.2">
      <c r="A19" s="33"/>
      <c r="B19" s="148"/>
      <c r="C19" s="38"/>
      <c r="D19" s="28"/>
    </row>
    <row r="20" spans="1:4" x14ac:dyDescent="0.2">
      <c r="A20" s="33"/>
      <c r="B20" s="148"/>
      <c r="C20" s="25"/>
      <c r="D20" s="28"/>
    </row>
    <row r="21" spans="1:4" x14ac:dyDescent="0.2">
      <c r="A21" s="33"/>
      <c r="B21" s="148"/>
      <c r="C21" s="25"/>
      <c r="D21" s="28"/>
    </row>
    <row r="22" spans="1:4" x14ac:dyDescent="0.2">
      <c r="A22" s="33"/>
      <c r="B22" s="148"/>
      <c r="C22" s="25"/>
      <c r="D22" s="28"/>
    </row>
    <row r="23" spans="1:4" x14ac:dyDescent="0.2">
      <c r="A23" s="33"/>
      <c r="B23" s="148"/>
      <c r="C23" s="25"/>
      <c r="D23" s="28"/>
    </row>
    <row r="24" spans="1:4" x14ac:dyDescent="0.2">
      <c r="A24" s="33"/>
      <c r="B24" s="148"/>
      <c r="C24" s="25"/>
      <c r="D24" s="28"/>
    </row>
    <row r="25" spans="1:4" x14ac:dyDescent="0.2">
      <c r="A25" s="33"/>
      <c r="B25" s="148"/>
      <c r="C25" s="25"/>
      <c r="D25" s="28"/>
    </row>
    <row r="26" spans="1:4" x14ac:dyDescent="0.2">
      <c r="A26" s="140"/>
      <c r="B26" s="149"/>
      <c r="C26" s="47"/>
      <c r="D26" s="141"/>
    </row>
    <row r="27" spans="1:4" x14ac:dyDescent="0.2">
      <c r="A27" s="140"/>
      <c r="B27" s="149"/>
      <c r="C27" s="38"/>
      <c r="D27" s="142"/>
    </row>
    <row r="28" spans="1:4" x14ac:dyDescent="0.2">
      <c r="A28" s="140"/>
      <c r="B28" s="149"/>
      <c r="C28" s="38"/>
      <c r="D28" s="142"/>
    </row>
    <row r="29" spans="1:4" x14ac:dyDescent="0.2">
      <c r="A29" s="140"/>
      <c r="B29" s="149"/>
      <c r="C29" s="38"/>
      <c r="D29" s="142"/>
    </row>
    <row r="30" spans="1:4" x14ac:dyDescent="0.2">
      <c r="A30" s="33"/>
      <c r="B30" s="150"/>
      <c r="C30" s="38"/>
      <c r="D30" s="142"/>
    </row>
    <row r="31" spans="1:4" x14ac:dyDescent="0.2">
      <c r="A31" s="33"/>
      <c r="B31" s="150"/>
      <c r="C31" s="38"/>
      <c r="D31" s="142"/>
    </row>
    <row r="32" spans="1:4" x14ac:dyDescent="0.2">
      <c r="A32" s="33"/>
      <c r="B32" s="150"/>
      <c r="C32" s="38"/>
      <c r="D32" s="142"/>
    </row>
    <row r="33" spans="1:4" x14ac:dyDescent="0.2">
      <c r="A33" s="33"/>
      <c r="B33" s="111"/>
      <c r="C33" s="38"/>
      <c r="D33" s="142"/>
    </row>
    <row r="34" spans="1:4" x14ac:dyDescent="0.2">
      <c r="A34" s="33"/>
      <c r="B34" s="111"/>
      <c r="C34" s="38"/>
      <c r="D34" s="142"/>
    </row>
    <row r="35" spans="1:4" x14ac:dyDescent="0.2">
      <c r="A35" s="33"/>
      <c r="B35" s="111"/>
      <c r="C35" s="38"/>
      <c r="D35" s="142"/>
    </row>
    <row r="36" spans="1:4" x14ac:dyDescent="0.2">
      <c r="A36" s="33"/>
      <c r="B36" s="111"/>
      <c r="C36" s="38"/>
      <c r="D36" s="142"/>
    </row>
    <row r="37" spans="1:4" x14ac:dyDescent="0.2">
      <c r="A37" s="33"/>
      <c r="B37" s="111"/>
      <c r="C37" s="38"/>
      <c r="D37" s="142"/>
    </row>
    <row r="38" spans="1:4" ht="12.75" customHeight="1" x14ac:dyDescent="0.2">
      <c r="A38" s="33"/>
      <c r="B38" s="111"/>
      <c r="C38" s="38"/>
      <c r="D38" s="142"/>
    </row>
    <row r="39" spans="1:4" x14ac:dyDescent="0.2">
      <c r="A39" s="33"/>
      <c r="B39" s="111"/>
      <c r="C39" s="38"/>
      <c r="D39" s="142"/>
    </row>
    <row r="40" spans="1:4" x14ac:dyDescent="0.2">
      <c r="A40" s="33"/>
      <c r="B40" s="113"/>
      <c r="C40" s="38"/>
      <c r="D40" s="142"/>
    </row>
    <row r="41" spans="1:4" ht="52.5" customHeight="1" x14ac:dyDescent="0.2">
      <c r="A41" s="33"/>
      <c r="B41" s="111"/>
      <c r="C41" s="38"/>
      <c r="D41" s="142"/>
    </row>
    <row r="42" spans="1:4" x14ac:dyDescent="0.2">
      <c r="A42" s="33"/>
      <c r="B42" s="111"/>
      <c r="C42" s="38"/>
      <c r="D42" s="142"/>
    </row>
    <row r="43" spans="1:4" x14ac:dyDescent="0.2">
      <c r="A43" s="33"/>
      <c r="B43" s="111"/>
      <c r="C43" s="38"/>
      <c r="D43" s="142"/>
    </row>
    <row r="44" spans="1:4" ht="53.25" customHeight="1" x14ac:dyDescent="0.2">
      <c r="A44" s="33"/>
      <c r="B44" s="111"/>
      <c r="C44" s="38"/>
      <c r="D44" s="142"/>
    </row>
    <row r="45" spans="1:4" ht="39.75" customHeight="1" x14ac:dyDescent="0.2">
      <c r="A45" s="33"/>
      <c r="B45" s="111"/>
      <c r="C45" s="38"/>
      <c r="D45" s="142"/>
    </row>
    <row r="46" spans="1:4" ht="29.25" customHeight="1" x14ac:dyDescent="0.2">
      <c r="A46" s="33"/>
      <c r="B46" s="111"/>
      <c r="C46" s="38"/>
      <c r="D46" s="142"/>
    </row>
    <row r="47" spans="1:4" x14ac:dyDescent="0.2">
      <c r="A47" s="33"/>
      <c r="B47" s="111"/>
      <c r="C47" s="38"/>
      <c r="D47" s="142"/>
    </row>
    <row r="48" spans="1:4" x14ac:dyDescent="0.2">
      <c r="A48" s="33"/>
      <c r="B48" s="111"/>
      <c r="C48" s="38"/>
      <c r="D48" s="142"/>
    </row>
    <row r="49" spans="1:4" x14ac:dyDescent="0.2">
      <c r="A49" s="33"/>
      <c r="B49" s="111"/>
      <c r="C49" s="38"/>
      <c r="D49" s="142"/>
    </row>
    <row r="50" spans="1:4" x14ac:dyDescent="0.2">
      <c r="A50" s="33"/>
      <c r="B50" s="111"/>
      <c r="C50" s="38"/>
      <c r="D50" s="142"/>
    </row>
    <row r="51" spans="1:4" x14ac:dyDescent="0.2">
      <c r="A51" s="33"/>
      <c r="B51" s="111"/>
      <c r="C51" s="38"/>
      <c r="D51" s="142"/>
    </row>
    <row r="52" spans="1:4" x14ac:dyDescent="0.2">
      <c r="A52" s="33"/>
      <c r="B52" s="113"/>
      <c r="C52" s="38"/>
      <c r="D52" s="142"/>
    </row>
    <row r="53" spans="1:4" x14ac:dyDescent="0.2">
      <c r="A53" s="33"/>
      <c r="B53" s="113"/>
      <c r="C53" s="38"/>
      <c r="D53" s="142"/>
    </row>
    <row r="54" spans="1:4" x14ac:dyDescent="0.2">
      <c r="A54" s="33"/>
      <c r="B54" s="111"/>
      <c r="C54" s="38"/>
      <c r="D54" s="142"/>
    </row>
    <row r="55" spans="1:4" x14ac:dyDescent="0.2">
      <c r="A55" s="33"/>
      <c r="B55" s="111"/>
      <c r="C55" s="38"/>
      <c r="D55" s="142"/>
    </row>
    <row r="56" spans="1:4" x14ac:dyDescent="0.2">
      <c r="A56" s="33"/>
      <c r="B56" s="111"/>
      <c r="C56" s="38"/>
      <c r="D56" s="142"/>
    </row>
    <row r="57" spans="1:4" x14ac:dyDescent="0.2">
      <c r="A57" s="33"/>
      <c r="B57" s="111"/>
      <c r="C57" s="38"/>
      <c r="D57" s="142"/>
    </row>
    <row r="58" spans="1:4" x14ac:dyDescent="0.2">
      <c r="A58" s="33"/>
      <c r="B58" s="111"/>
      <c r="C58" s="38"/>
      <c r="D58" s="142"/>
    </row>
    <row r="59" spans="1:4" x14ac:dyDescent="0.2">
      <c r="A59" s="33"/>
      <c r="B59" s="111"/>
      <c r="C59" s="38"/>
      <c r="D59" s="142"/>
    </row>
    <row r="60" spans="1:4" x14ac:dyDescent="0.2">
      <c r="A60" s="33"/>
      <c r="B60" s="111"/>
      <c r="C60" s="38"/>
      <c r="D60" s="142"/>
    </row>
    <row r="61" spans="1:4" x14ac:dyDescent="0.2">
      <c r="A61" s="33"/>
      <c r="B61" s="111"/>
      <c r="C61" s="38"/>
      <c r="D61" s="142"/>
    </row>
    <row r="62" spans="1:4" x14ac:dyDescent="0.2">
      <c r="A62" s="33"/>
      <c r="B62" s="111"/>
      <c r="C62" s="38"/>
      <c r="D62" s="142"/>
    </row>
    <row r="63" spans="1:4" x14ac:dyDescent="0.2">
      <c r="A63" s="33"/>
      <c r="B63" s="111"/>
      <c r="C63" s="38"/>
      <c r="D63" s="142"/>
    </row>
    <row r="64" spans="1:4" x14ac:dyDescent="0.2">
      <c r="A64" s="33"/>
      <c r="B64" s="111"/>
      <c r="C64" s="38"/>
      <c r="D64" s="142"/>
    </row>
    <row r="65" spans="1:4" x14ac:dyDescent="0.2">
      <c r="A65" s="33"/>
      <c r="B65" s="111"/>
      <c r="C65" s="38"/>
      <c r="D65" s="142"/>
    </row>
    <row r="66" spans="1:4" x14ac:dyDescent="0.2">
      <c r="A66" s="33"/>
      <c r="B66" s="111"/>
      <c r="C66" s="38"/>
      <c r="D66" s="142"/>
    </row>
    <row r="67" spans="1:4" x14ac:dyDescent="0.2">
      <c r="A67" s="33"/>
      <c r="B67" s="111"/>
      <c r="C67" s="38"/>
      <c r="D67" s="142"/>
    </row>
    <row r="68" spans="1:4" x14ac:dyDescent="0.2">
      <c r="A68" s="33"/>
      <c r="B68" s="111"/>
      <c r="C68" s="38"/>
      <c r="D68" s="142"/>
    </row>
    <row r="69" spans="1:4" x14ac:dyDescent="0.2">
      <c r="A69" s="33"/>
      <c r="B69" s="111"/>
      <c r="C69" s="38"/>
      <c r="D69" s="142"/>
    </row>
    <row r="70" spans="1:4" x14ac:dyDescent="0.2">
      <c r="A70" s="33"/>
      <c r="B70" s="111"/>
      <c r="C70" s="38"/>
      <c r="D70" s="142"/>
    </row>
    <row r="71" spans="1:4" x14ac:dyDescent="0.2">
      <c r="A71" s="33"/>
      <c r="B71" s="111"/>
      <c r="C71" s="38"/>
      <c r="D71" s="142"/>
    </row>
    <row r="72" spans="1:4" x14ac:dyDescent="0.2">
      <c r="A72" s="33"/>
      <c r="B72" s="111"/>
      <c r="C72" s="38"/>
      <c r="D72" s="142"/>
    </row>
    <row r="73" spans="1:4" x14ac:dyDescent="0.2">
      <c r="A73" s="33"/>
      <c r="B73" s="111"/>
      <c r="C73" s="38"/>
      <c r="D73" s="142"/>
    </row>
    <row r="74" spans="1:4" x14ac:dyDescent="0.2">
      <c r="A74" s="33"/>
      <c r="B74" s="111"/>
      <c r="C74" s="38"/>
      <c r="D74" s="142"/>
    </row>
    <row r="75" spans="1:4" x14ac:dyDescent="0.2">
      <c r="A75" s="33"/>
      <c r="B75" s="111"/>
      <c r="C75" s="38"/>
      <c r="D75" s="142"/>
    </row>
    <row r="76" spans="1:4" x14ac:dyDescent="0.2">
      <c r="A76" s="143"/>
      <c r="B76" s="111"/>
      <c r="C76" s="38"/>
      <c r="D76" s="142"/>
    </row>
    <row r="77" spans="1:4" x14ac:dyDescent="0.2">
      <c r="A77" s="143"/>
      <c r="B77" s="111"/>
      <c r="C77" s="38"/>
      <c r="D77" s="142"/>
    </row>
    <row r="78" spans="1:4" x14ac:dyDescent="0.2">
      <c r="A78" s="143"/>
      <c r="B78" s="111"/>
      <c r="C78" s="38"/>
      <c r="D78" s="142"/>
    </row>
    <row r="79" spans="1:4" x14ac:dyDescent="0.2">
      <c r="A79" s="143"/>
      <c r="B79" s="111"/>
      <c r="C79" s="38"/>
      <c r="D79" s="142"/>
    </row>
    <row r="80" spans="1:4" ht="13.5" thickBot="1" x14ac:dyDescent="0.25">
      <c r="A80" s="144"/>
      <c r="B80" s="151"/>
      <c r="C80" s="145"/>
      <c r="D80" s="146"/>
    </row>
  </sheetData>
  <phoneticPr fontId="16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&amp;C&amp;"Arial,Fett"&amp;12Historie</oddHeader>
    <oddFooter>&amp;RSeite 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Cover</vt:lpstr>
      <vt:lpstr>EoL 1 Modul Samsung</vt:lpstr>
      <vt:lpstr>EoL 1 Modul LG</vt:lpstr>
      <vt:lpstr>History</vt:lpstr>
      <vt:lpstr>Cover!_Toc524409620</vt:lpstr>
      <vt:lpstr>'EoL 1 Modul LG'!Print_Area</vt:lpstr>
      <vt:lpstr>'EoL 1 Modul Samsung'!Print_Area</vt:lpstr>
      <vt:lpstr>'EoL 1 Modul LG'!Print_Titles</vt:lpstr>
      <vt:lpstr>'EoL 1 Modul Samsung'!Print_Titles</vt:lpstr>
    </vt:vector>
  </TitlesOfParts>
  <Manager/>
  <Company>ITQ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210901_UHE_Modul_Station1_Volvo_V_1_1-DRAFT</dc:title>
  <dc:subject/>
  <dc:creator>Daniel Echler</dc:creator>
  <cp:keywords/>
  <dc:description/>
  <cp:lastModifiedBy>Evans, John (Seneca)</cp:lastModifiedBy>
  <cp:revision/>
  <cp:lastPrinted>2023-07-31T08:47:17Z</cp:lastPrinted>
  <dcterms:created xsi:type="dcterms:W3CDTF">2002-12-04T09:58:41Z</dcterms:created>
  <dcterms:modified xsi:type="dcterms:W3CDTF">2026-05-12T16:53:23Z</dcterms:modified>
  <cp:category/>
  <cp:contentStatus/>
</cp:coreProperties>
</file>