
<file path=[Content_Types].xml><?xml version="1.0" encoding="utf-8"?>
<Types xmlns="http://schemas.openxmlformats.org/package/2006/content-types">
  <Default Extension="xml" ContentType="application/vnd.openxmlformats-officedocument.spreadsheetml.sheet.main+xml"/>
  <Default Extension="png" ContentType="image/png"/>
  <Default Extension="emf" ContentType="image/x-emf"/>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drawings/drawing2.xml" ContentType="application/vnd.openxmlformats-officedocument.drawing+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3.xml" ContentType="application/vnd.openxmlformats-officedocument.drawing+xml"/>
  <Override PartName="/xl/worksheets/sheet13.xml" ContentType="application/vnd.openxmlformats-officedocument.spreadsheetml.worksheet+xml"/>
  <Override PartName="/xl/drawings/drawing4.xml" ContentType="application/vnd.openxmlformats-officedocument.drawing+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43ce60a5e64c1f" /></Relationships>
</file>

<file path=xl/workbook.xml><?xml version="1.0" encoding="utf-8"?>
<x:workbook xmlns:x="http://schemas.openxmlformats.org/spreadsheetml/2006/main">
  <x:sheets>
    <x:sheet xmlns:r="http://schemas.openxmlformats.org/officeDocument/2006/relationships" name="Cover Sheet" sheetId="1" r:id="Re3025f5431b84911"/>
    <x:sheet xmlns:r="http://schemas.openxmlformats.org/officeDocument/2006/relationships" name="Customer Req - System" sheetId="2" r:id="Reed2bbb66238426e"/>
    <x:sheet xmlns:r="http://schemas.openxmlformats.org/officeDocument/2006/relationships" name="Department Req" sheetId="3" r:id="Rf4be406c2ea344da"/>
    <x:sheet xmlns:r="http://schemas.openxmlformats.org/officeDocument/2006/relationships" name="Measures" sheetId="4" r:id="Rf18e51b022c94b4e"/>
    <x:sheet xmlns:r="http://schemas.openxmlformats.org/officeDocument/2006/relationships" name="Description" sheetId="5" r:id="R583f0f886b5e4eab"/>
    <x:sheet xmlns:r="http://schemas.openxmlformats.org/officeDocument/2006/relationships" name="Lists" sheetId="6" r:id="R005d8776205e47f7"/>
    <x:sheet xmlns:r="http://schemas.openxmlformats.org/officeDocument/2006/relationships" name="EEPROM Write Flow" sheetId="7" r:id="R4922a13156b1484e"/>
    <x:sheet xmlns:r="http://schemas.openxmlformats.org/officeDocument/2006/relationships" name="EEPROM Content Flags" sheetId="8" r:id="R4509a45c5e9140c9"/>
    <x:sheet xmlns:r="http://schemas.openxmlformats.org/officeDocument/2006/relationships" name="isoSPI EEPROM Init" sheetId="9" r:id="R9248af07bd044854"/>
    <x:sheet xmlns:r="http://schemas.openxmlformats.org/officeDocument/2006/relationships" name="EEPROM Memory Layout" sheetId="10" r:id="R4f5bc3288d1e4c9b"/>
    <x:sheet xmlns:r="http://schemas.openxmlformats.org/officeDocument/2006/relationships" name="BMU Memory Layout" sheetId="11" r:id="R12b52c65f1ae433c"/>
    <x:sheet xmlns:r="http://schemas.openxmlformats.org/officeDocument/2006/relationships" name="Temp Sensor Assignment" sheetId="12" r:id="R29f7ffe57ddc483d"/>
    <x:sheet xmlns:r="http://schemas.openxmlformats.org/officeDocument/2006/relationships" name="Schematic Structure" sheetId="13" r:id="Rd0aef57f0b9b4087"/>
    <x:sheet xmlns:r="http://schemas.openxmlformats.org/officeDocument/2006/relationships" name="isoSPI Error Flags" sheetId="14" r:id="R93eb245424604331"/>
  </x:sheets>
  <x:definedNames>
    <x:definedName name="Arbeitsergebnisse">#REF!</x:definedName>
    <x:definedName name="BMU_Adressierung_via_DIO_Inputs">#REF!</x:definedName>
    <x:definedName name="BMU_Selbsthaltung">#REF!</x:definedName>
    <x:definedName name="Deaktivierung_des_externen_Watchdogs_während_der_Bootloader_Phase">#REF!</x:definedName>
    <x:definedName name="DIA">#REF!</x:definedName>
    <x:definedName name="External_Watchdog">#REF!</x:definedName>
    <x:definedName name="Hardware_Versionserkennung_via_ADC_Inputs">#REF!</x:definedName>
    <x:definedName name="Independency">#REF!</x:definedName>
    <x:definedName name="Ja_Nein">#REF!</x:definedName>
    <x:definedName name="Kompatibilitätsliste">#REF!</x:definedName>
    <x:definedName name="MaterialNummern">[1]STUECKLISTE!$C$11:$C$135</x:definedName>
    <x:definedName name="Meilensteine">#REF!</x:definedName>
    <x:definedName name="Meilensteintyp">#REF!</x:definedName>
    <x:definedName name="ndklsö">#REF!</x:definedName>
    <x:definedName name="Pin_Belegung_für_CAN_Knoten_0_der_BMU">#REF!</x:definedName>
    <x:definedName name="Pin_Belegung_für_den_CAN_Bootloader_der_BMU">#REF!</x:definedName>
    <x:definedName name="QS_Status">#REF!</x:definedName>
    <x:definedName name="Rhythmus">#REF!</x:definedName>
    <x:definedName name="Status">#REF!</x:definedName>
    <x:definedName name="Versionsverwaltung">#REF!</x:definedName>
    <x:definedName name="Watchdog_verhindern">#REF!</x:definedName>
    <x:definedName name="Watchdog_zulassen">#REF!</x:definedName>
    <x:definedName name="Zustandsbeschreibung_für_P23.3">#REF!</x:definedName>
    <x:definedName name="Arbeitsergebnisse" localSheetId="2">#REF!</x:definedName>
    <x:definedName name="DIA" localSheetId="2">#REF!</x:definedName>
    <x:definedName name="Independency" localSheetId="2">#REF!</x:definedName>
    <x:definedName name="Ja_Nein" localSheetId="2">#REF!</x:definedName>
    <x:definedName name="Meilensteine" localSheetId="2">#REF!</x:definedName>
    <x:definedName name="Meilensteintyp" localSheetId="2">#REF!</x:definedName>
    <x:definedName name="ndklsö" localSheetId="2">#REF!</x:definedName>
    <x:definedName name="QS_Status" localSheetId="2">#REF!</x:definedName>
    <x:definedName name="Rhythmus" localSheetId="2">#REF!</x:definedName>
    <x:definedName name="Status" localSheetId="2">#REF!</x:definedName>
    <x:definedName name="Versionsverwaltung" localSheetId="2">#REF!</x:definedName>
    <x:definedName name="Arbeitsergebnisse" localSheetId="1">#REF!</x:definedName>
    <x:definedName name="DIA" localSheetId="1">#REF!</x:definedName>
    <x:definedName name="Independency" localSheetId="1">#REF!</x:definedName>
    <x:definedName name="Ja_Nein" localSheetId="1">#REF!</x:definedName>
    <x:definedName name="Meilensteine" localSheetId="1">#REF!</x:definedName>
    <x:definedName name="Meilensteintyp" localSheetId="1">#REF!</x:definedName>
    <x:definedName name="ndklsö" localSheetId="1">#REF!</x:definedName>
    <x:definedName name="QS_Status" localSheetId="1">#REF!</x:definedName>
    <x:definedName name="Rhythmus" localSheetId="1">#REF!</x:definedName>
    <x:definedName name="Status" localSheetId="1">#REF!</x:definedName>
    <x:definedName name="Versionsverwaltung" localSheetId="1">#REF!</x:definedName>
  </x:definedNames>
</x:workbook>
</file>

<file path=xl/sharedStrings.xml><?xml version="1.0" encoding="utf-8"?>
<x:sst xmlns:x="http://schemas.openxmlformats.org/spreadsheetml/2006/main">
  <x:si>
    <x:t xml:space="preserve">Requirements specification</x:t>
  </x:si>
  <x:si>
    <x:t xml:space="preserve">Project</x:t>
  </x:si>
  <x:si>
    <x:t xml:space="preserve">UHE isoSPI</x:t>
  </x:si>
  <x:si>
    <x:t xml:space="preserve">Date</x:t>
  </x:si>
  <x:si>
    <x:t xml:space="preserve">Change history</x:t>
  </x:si>
  <x:si>
    <x:t xml:space="preserve">Version</x:t>
  </x:si>
  <x:si>
    <x:t xml:space="preserve">Change description</x:t>
  </x:si>
  <x:si>
    <x:t xml:space="preserve">Status</x:t>
  </x:si>
  <x:si>
    <x:t xml:space="preserve">Author</x:t>
  </x:si>
  <x:si>
    <x:t xml:space="preserve">1.0.0</x:t>
  </x:si>
  <x:si>
    <x:t xml:space="preserve">Initial</x:t>
  </x:si>
  <x:si>
    <x:t xml:space="preserve">In progress</x:t>
  </x:si>
  <x:si>
    <x:t xml:space="preserve">RRa</x:t>
  </x:si>
  <x:si>
    <x:t xml:space="preserve">1.0.1</x:t>
  </x:si>
  <x:si>
    <x:t xml:space="preserve">EEPROM requirements added</x:t>
  </x:si>
  <x:si>
    <x:t xml:space="preserve">1.0.2</x:t>
  </x:si>
  <x:si>
    <x:t xml:space="preserve">Requirements for the safety measures (with RRa, DWe, MFl, JEr)</x:t>
  </x:si>
  <x:si>
    <x:t xml:space="preserve">WIn</x:t>
  </x:si>
  <x:si>
    <x:t xml:space="preserve">1.0.3</x:t>
  </x:si>
  <x:si>
    <x:t xml:space="preserve">1.0.4</x:t>
  </x:si>
  <x:si>
    <x:t xml:space="preserve">1.0.5</x:t>
  </x:si>
  <x:si>
    <x:t xml:space="preserve">1.0.6</x:t>
  </x:si>
  <x:si>
    <x:t xml:space="preserve">EEPROM memory layout revised</x:t>
  </x:si>
  <x:si>
    <x:t xml:space="preserve">PSc</x:t>
  </x:si>
  <x:si>
    <x:t xml:space="preserve">1.0.7</x:t>
  </x:si>
  <x:si>
    <x:t xml:space="preserve">Requirements for the safety measures (with RRa, DWe, JEr)</x:t>
  </x:si>
  <x:si>
    <x:t xml:space="preserve">1.0.8</x:t>
  </x:si>
  <x:si>
    <x:t xml:space="preserve">Update open points</x:t>
  </x:si>
  <x:si>
    <x:t xml:space="preserve">1.0.9</x:t>
  </x:si>
  <x:si>
    <x:t xml:space="preserve">initial requirements for error handling</x:t>
  </x:si>
  <x:si>
    <x:t xml:space="preserve">1.0.10</x:t>
  </x:si>
  <x:si>
    <x:t xml:space="preserve">Requirements for error handling in the safety measures (with JEr, DWe, RMa)</x:t>
  </x:si>
  <x:si>
    <x:t xml:space="preserve">1.0.11</x:t>
  </x:si>
  <x:si>
    <x:t xml:space="preserve">Addition of open points (see JIRA BMU-292)</x:t>
  </x:si>
  <x:si>
    <x:t xml:space="preserve">1.0.12</x:t>
  </x:si>
  <x:si>
    <x:t xml:space="preserve">isoSPI cell balancing requirements (with JEr, MFl)</x:t>
  </x:si>
  <x:si>
    <x:t xml:space="preserve">1.0.13</x:t>
  </x:si>
  <x:si>
    <x:t xml:space="preserve">Requirements for the SMs adjusted according to Safety Manual V1.6 (with JEr, RMr)</x:t>
  </x:si>
  <x:si>
    <x:t xml:space="preserve">Rra</x:t>
  </x:si>
  <x:si>
    <x:t xml:space="preserve">1.0.14</x:t>
  </x:si>
  <x:si>
    <x:t xml:space="preserve">"Department Requirements" updates:
- Requirement IDs added
- source reference (Safety Manual ID) to higher-level requirements added
- ID REQ_LTC_SM_017 adjusted
- IDs REQ_LTC_SM_016 &amp; 021 &amp; 034 &amp; 036-044 deleted</x:t>
  </x:si>
  <x:si>
    <x:t xml:space="preserve">RMr</x:t>
  </x:si>
  <x:si>
    <x:t xml:space="preserve">1.0.15</x:t>
  </x:si>
  <x:si>
    <x:t xml:space="preserve">Update requirements</x:t>
  </x:si>
  <x:si>
    <x:t xml:space="preserve">Rra, Nra, PSc</x:t>
  </x:si>
  <x:si>
    <x:t xml:space="preserve">Document approval</x:t>
  </x:si>
  <x:si>
    <x:t xml:space="preserve">Review evidence</x:t>
  </x:si>
  <x:si>
    <x:t xml:space="preserve">Review</x:t>
  </x:si>
  <x:si>
    <x:t xml:space="preserve">Approval</x:t>
  </x:si>
  <x:si>
    <x:t xml:space="preserve">Document description</x:t>
  </x:si>
  <x:si>
    <x:t xml:space="preserve">Document number </x:t>
  </x:si>
  <x:si>
    <x:t xml:space="preserve">Document name</x:t>
  </x:si>
  <x:si>
    <x:t xml:space="preserve">Open points</x:t>
  </x:si>
  <x:si>
    <x:t xml:space="preserve">Approval process</x:t>
  </x:si>
  <x:si>
    <x:t xml:space="preserve">Role</x:t>
  </x:si>
  <x:si>
    <x:t xml:space="preserve">Name</x:t>
  </x:si>
  <x:si>
    <x:t xml:space="preserve">Signature</x:t>
  </x:si>
  <x:si>
    <x:t xml:space="preserve">Created by</x:t>
  </x:si>
  <x:si>
    <x:t xml:space="preserve">Reviewed by</x:t>
  </x:si>
  <x:si>
    <x:t xml:space="preserve">Approved by</x:t>
  </x:si>
  <x:si>
    <x:t xml:space="preserve">Chapter heading</x:t>
  </x:si>
  <x:si>
    <x:t xml:space="preserve">Customer requirement</x:t>
  </x:si>
  <x:si>
    <x:t xml:space="preserve">Component</x:t>
  </x:si>
  <x:si>
    <x:t xml:space="preserve">JIRA</x:t>
  </x:si>
  <x:si>
    <x:t xml:space="preserve">Sample status</x:t>
  </x:si>
  <x:si>
    <x:t xml:space="preserve">Implementation, comments, evidence</x:t>
  </x:si>
  <x:si>
    <x:t xml:space="preserve">Department abbreviation</x:t>
  </x:si>
  <x:si>
    <x:t xml:space="preserve">Special characteristic</x:t>
  </x:si>
  <x:si>
    <x:t xml:space="preserve">Relevant for supplier</x:t>
  </x:si>
  <x:si>
    <x:t xml:space="preserve">Must = 0;
Optional = 1;
Info = Information</x:t>
  </x:si>
  <x:si>
    <x:t xml:space="preserve">Requirement ID</x:t>
  </x:si>
  <x:si>
    <x:t xml:space="preserve">Requirement description</x:t>
  </x:si>
  <x:si>
    <x:t xml:space="preserve">affected component</x:t>
  </x:si>
  <x:si>
    <x:t xml:space="preserve">Ticket No.</x:t>
  </x:si>
  <x:si>
    <x:t xml:space="preserve">A sample, B sample, C sample, Series production</x:t>
  </x:si>
  <x:si>
    <x:t xml:space="preserve">Implementation description: release and solution / reference to solution</x:t>
  </x:si>
  <x:si>
    <x:t xml:space="preserve">PM/SI/EE/
ME/SW</x:t>
  </x:si>
  <x:si>
    <x:t xml:space="preserve">DS / DZ</x:t>
  </x:si>
  <x:si>
    <x:t xml:space="preserve">open / work / implemented / withdrawn verified</x:t>
  </x:si>
  <x:si>
    <x:t xml:space="preserve">QSPI interface</x:t>
  </x:si>
  <x:si>
    <x:t xml:space="preserve">AK.UHE.SW.0001</x:t>
  </x:si>
  <x:si>
    <x:t xml:space="preserve">The isoSPI interface shall be addressed using QSPI3.
The CS (chip select) of the standard isoSPI must be controlled via P23.5 and the reverse isoSPI via P23.4.</x:t>
  </x:si>
  <x:si>
    <x:t xml:space="preserve">BMU</x:t>
  </x:si>
  <x:si>
    <x:t xml:space="preserve">AKATOOL-156</x:t>
  </x:si>
  <x:si>
    <x:t xml:space="preserve">A sample</x:t>
  </x:si>
  <x:si>
    <x:t xml:space="preserve">implemented</x:t>
  </x:si>
  <x:si>
    <x:t xml:space="preserve">Inf</x:t>
  </x:si>
  <x:si>
    <x:t xml:space="preserve">Info01</x:t>
  </x:si>
  <x:si>
    <x:t xml:space="preserve">The baud rate of the QSPI module is set to 1 Mb/s.</x:t>
  </x:si>
  <x:si>
    <x:t xml:space="preserve">Info02</x:t>
  </x:si>
  <x:si>
    <x:t xml:space="preserve">The QSPI module is operated with CPHA = 1 and CPOL = 0.</x:t>
  </x:si>
  <x:si>
    <x:t xml:space="preserve">!CPHA, if Markus makes the changes</x:t>
  </x:si>
  <x:si>
    <x:t xml:space="preserve">LTC681x configuration</x:t>
  </x:si>
  <x:si>
    <x:t xml:space="preserve">AK.UHE.SW.0002</x:t>
  </x:si>
  <x:si>
    <x:t xml:space="preserve">The ADCs of the LTC681x shall be operated in normal mode at 7 kHz.</x:t>
  </x:si>
  <x:si>
    <x:t xml:space="preserve">isoSPI</x:t>
  </x:si>
  <x:si>
    <x:t xml:space="preserve">Info03</x:t>
  </x:si>
  <x:si>
    <x:t xml:space="preserve">At startup, no cell is discharged.</x:t>
  </x:si>
  <x:si>
    <x:t xml:space="preserve">Info04</x:t>
  </x:si>
  <x:si>
    <x:t xml:space="preserve">At startup, the Discharge Timeout is disabled.</x:t>
  </x:si>
  <x:si>
    <x:t xml:space="preserve">AK.UHE.SW.0003</x:t>
  </x:si>
  <x:si>
    <x:t xml:space="preserve">All LTC681x internal GPIO pull-downs shall always be parameterized as inactive.</x:t>
  </x:si>
  <x:si>
    <x:t xml:space="preserve">AK.UHE.SW.0004</x:t>
  </x:si>
  <x:si>
    <x:t xml:space="preserve">The maximum cell voltage shall be set to 4.3 V and the minimum cell voltage to 2.5 V. The minimum and maximum cell-voltage values shall be written to the configuration registers of the LTC681x. The readable over- and undervoltage flags of the individual cells are derived from this.</x:t>
  </x:si>
  <x:si>
    <x:t xml:space="preserve">AK.UHE.SW.0005</x:t>
  </x:si>
  <x:si>
    <x:t xml:space="preserve">The LTC681x shall continuously remain in the REFUP state (configurable via the configuration register). This avoids a long waiting time during AD conversion.</x:t>
  </x:si>
  <x:si>
    <x:t xml:space="preserve">Info05</x:t>
  </x:si>
  <x:si>
    <x:t xml:space="preserve">LTC681x functionalities that contribute to functional safety, and reverse isoSPI, are not yet considered.</x:t>
  </x:si>
  <x:si>
    <x:t xml:space="preserve">isoSPI module</x:t>
  </x:si>
  <x:si>
    <x:t xml:space="preserve">AK.UHE.SW.0006</x:t>
  </x:si>
  <x:si>
    <x:t xml:space="preserve">The task period duration shall be set to 1 s. This corresponds to the previous repeat rate of the CAN messages from the BMS-S (CSC).</x:t>
  </x:si>
  <x:si>
    <x:t xml:space="preserve">adjustment may be necessary</x:t>
  </x:si>
  <x:si>
    <x:t xml:space="preserve">AK.UHE.SW.0007</x:t>
  </x:si>
  <x:si>
    <x:t xml:space="preserve">The isoSPI task shall run on Core 1. Moving it to Core 0 is currently not planned because of the limited available memory.</x:t>
  </x:si>
  <x:si>
    <x:t xml:space="preserve">AK.UHE.SW.0008</x:t>
  </x:si>
  <x:si>
    <x:t xml:space="preserve">The number of modules and cells to be measured, as well as the LTC ICs per module, shall be configurable via macros.</x:t>
  </x:si>
  <x:si>
    <x:t xml:space="preserve">AK.UHE.SW.0009</x:t>
  </x:si>
  <x:si>
    <x:t xml:space="preserve">The isoSPI task shall send CAN messages that correspond to the adjusted akaCAN matrix "AkaCAN_Matrix_BMU_UHE.xlsx".</x:t>
  </x:si>
  <x:si>
    <x:t xml:space="preserve">AK.UHE.SW.0010</x:t>
  </x:si>
  <x:si>
    <x:t xml:space="preserve">The isoSPI task shall receive CAN messages for writing data to the module's own EEPROM.</x:t>
  </x:si>
  <x:si>
    <x:t xml:space="preserve">AK.UHE.SW.0011</x:t>
  </x:si>
  <x:si>
    <x:t xml:space="preserve">The isoSPI task shall send internal messages to the BMS-M and SCU task containing the current module data and error flags.</x:t>
  </x:si>
  <x:si>
    <x:t xml:space="preserve">AK.UHE.SW.0054</x:t>
  </x:si>
  <x:si>
    <x:t xml:space="preserve">All values should be stored as u16 except:
- temperatures (f)
- currents (s32)
- over-/undervoltage flags (u32)
- thermal shutdown occurred (b)</x:t>
  </x:si>
  <x:si>
    <x:t xml:space="preserve">AK.UHE.SW.0012</x:t>
  </x:si>
  <x:si>
    <x:t xml:space="preserve">Since the number of temperature sensors does not match the number of measured cell voltages, the measured temperatures shall be assigned to the voltages as follows.</x:t>
  </x:si>
  <x:si>
    <x:t xml:space="preserve">Info07</x:t>
  </x:si>
  <x:si>
    <x:t xml:space="preserve">Currents and temperatures are determined from voltage measurements at the GPIOs. Conversion is required.</x:t>
  </x:si>
  <x:si>
    <x:t xml:space="preserve">AK.UHE.SW.0013</x:t>
  </x:si>
  <x:si>
    <x:t xml:space="preserve">The two shunt current sensors shall have an option for offset calibration. For this purpose, the current-sensor values must be recorded in the current-free state. The signal to start offset calibration must come from the SCU via the signal "Start_Curr_Sens_Calib" over CAN.
If the measured current in the current-free state is &lt; 4%, it is stored separately for each current sensor in the current-calibration value memory of the EEPROM.
If the measured current in the current-free state is &gt;= 4%, the error flag "BMU_ISOSPI_Error_I_Sensor_Calibration" shall be set and the current-calibration value memory of the EEPROM shall be set to zero.</x:t>
  </x:si>
  <x:si>
    <x:t xml:space="preserve">Required additional information:
- adapt CAN matrix
- EEPROM memory layout
- ERROR flag list
Current measurement by CSC deleted until further notice.</x:t>
  </x:si>
  <x:si>
    <x:t xml:space="preserve">withdrawn</x:t>
  </x:si>
  <x:si>
    <x:t xml:space="preserve">Info08</x:t>
  </x:si>
  <x:si>
    <x:t xml:space="preserve">Data received from LTC681x:
First, all AD conversions are started and completed. The corresponding registers are then read out.</x:t>
  </x:si>
  <x:si>
    <x:t xml:space="preserve">Info09</x:t>
  </x:si>
  <x:si>
    <x:t xml:space="preserve">With one command, the conversion of several register groups can be started. The status of the AD conversion is polled. During this time, the LTC681x must not be interrupted. The conversion duration is specified in the data sheet.</x:t>
  </x:si>
  <x:si>
    <x:t xml:space="preserve">AK.UHE.SW.0014</x:t>
  </x:si>
  <x:si>
    <x:t xml:space="preserve">If no poll result is available within 5 ms, the error flag "BMU_ISOSPI_Error_Timeout_Saf" shall be set and the previously active value shall be retained for all data.
If a timeout has occurred, the ICs shall be awakened again and the configuration registers shall be written.
If the timeout error occurs permanently, it is very likely that too many modules are connected.</x:t>
  </x:si>
  <x:si>
    <x:t xml:space="preserve">AKATOOL-162</x:t>
  </x:si>
  <x:si>
    <x:t xml:space="preserve">must be adapted if ADC mode is changed (AK.UHE.SW.0002)</x:t>
  </x:si>
  <x:si>
    <x:t xml:space="preserve">AK.UHE.SW.0052</x:t>
  </x:si>
  <x:si>
    <x:t xml:space="preserve">If a polling timeout occurs, reading of the registers shall be aborted.</x:t>
  </x:si>
  <x:si>
    <x:t xml:space="preserve">AK.UHE.SW.0033</x:t>
  </x:si>
  <x:si>
    <x:t xml:space="preserve">When polling the GPIOs, the polling time shall also be queried.
If the polling time is greater than 5 ms, the error flag "BMU_ISOSPI_Error_Too_many_Modules" shall be set to signal that more than the configured number of modules are connected.</x:t>
  </x:si>
  <x:si>
    <x:t xml:space="preserve">deleted because, under certain circumstances, a distinction between timeout and too many modules cannot be made.</x:t>
  </x:si>
  <x:si>
    <x:t xml:space="preserve">AK.UHE.SW.0034</x:t>
  </x:si>
  <x:si>
    <x:t xml:space="preserve">If no data has yet been received from the LTC681x, the voltage and temperature values shall be assigned the initial value 0xFFFE.</x:t>
  </x:si>
  <x:si>
    <x:t xml:space="preserve">Added value?</x:t>
  </x:si>
  <x:si>
    <x:t xml:space="preserve">AK.UHE.SW.0035</x:t>
  </x:si>
  <x:si>
    <x:t xml:space="preserve">All data to be sent shall be protected with a CRC by the LTC681x and also transmitted. After the data is received, it shall be checked against the corresponding CRC.
If a CRC error is detected, the corresponding error flag shall be set and the value 0xFFAF shall be used for the affected data. This allows the SCU and BMS-M to distinguish between corrupted and correct data.</x:t>
  </x:si>
  <x:si>
    <x:t xml:space="preserve">AK.UHE.SW.0015</x:t>
  </x:si>
  <x:si>
    <x:t xml:space="preserve">The EEPROM memory layout shall be implemented accordingly.</x:t>
  </x:si>
  <x:si>
    <x:t xml:space="preserve">AK.UHE.SW.0016</x:t>
  </x:si>
  <x:si>
    <x:t xml:space="preserve">The number of LTC chips per module must be configurable via a configuration structure in order to address each chip correctly.</x:t>
  </x:si>
  <x:si>
    <x:t xml:space="preserve">B sample</x:t>
  </x:si>
  <x:si>
    <x:t xml:space="preserve">Is a cross-check against the configured chip count on the UHE board required here?</x:t>
  </x:si>
  <x:si>
    <x:t xml:space="preserve">AK.UHE.SW.0017</x:t>
  </x:si>
  <x:si>
    <x:t xml:space="preserve">The number of temperature sensors per LTC chip and module must be configurable via a configuration structure in order to read the correct number of temperature sensors.</x:t>
  </x:si>
  <x:si>
    <x:t xml:space="preserve">AK.UHE.SW.0018</x:t>
  </x:si>
  <x:si>
    <x:t xml:space="preserve">The number of voltage measurement channels per LTC chip and module must be configurable via a configuration structure in order to read the correct number of voltage channels.</x:t>
  </x:si>
  <x:si>
    <x:t xml:space="preserve">AK.UHE.SW.0019</x:t>
  </x:si>
  <x:si>
    <x:t xml:space="preserve">The assignment of the LTC DIO channels must be configurable via a configuration structure, since it may change for different UHE variants.</x:t>
  </x:si>
  <x:si>
    <x:t xml:space="preserve">UHE module calibration</x:t>
  </x:si>
  <x:si>
    <x:t xml:space="preserve">Initially, no calibration shall be performed. However, calibration shall be provided for in the EEPROM memory layout.</x:t>
  </x:si>
  <x:si>
    <x:t xml:space="preserve">Cell-voltage measurements are more accurate than total-voltage measurements. Therefore, an inaccuracy of ... must be considered during plausibility checking.</x:t>
  </x:si>
  <x:si>
    <x:t xml:space="preserve">Requirement for System Engineering?</x:t>
  </x:si>
  <x:si>
    <x:t xml:space="preserve">EEPROM</x:t>
  </x:si>
  <x:si>
    <x:t xml:space="preserve">Info19</x:t>
  </x:si>
  <x:si>
    <x:t xml:space="preserve">Each module contains one EEPROM (connected to LTC A).</x:t>
  </x:si>
  <x:si>
    <x:t xml:space="preserve">Info20</x:t>
  </x:si>
  <x:si>
    <x:t xml:space="preserve">The installed EEPROMs are model M24C08-A125. The EEPROM has a size of 1k (= standard pages). In addition, the EEPROM has a so-called identification page (= ID Page); this has a size of 16 bytes. Write access can be permanently disabled (ID Page Lock).</x:t>
  </x:si>
  <x:si>
    <x:t xml:space="preserve">Info21</x:t>
  </x:si>
  <x:si>
    <x:t xml:space="preserve">Due to the module design and data transmission using shift registers, all actions apply to all connected EEPROMs. This means, for example, that all EEPROMs are read (/written / ID Page status queried, etc.) "simultaneously".</x:t>
  </x:si>
  <x:si>
    <x:t xml:space="preserve">AK.UHE.SW.0038</x:t>
  </x:si>
  <x:si>
    <x:t xml:space="preserve">The memory layout of the EEPROMs installed on the modules shall be implemented as follows.</x:t>
  </x:si>
  <x:si>
    <x:t xml:space="preserve">AKATOOL-163</x:t>
  </x:si>
  <x:si>
    <x:t xml:space="preserve">Info22</x:t>
  </x:si>
  <x:si>
    <x:t xml:space="preserve">Safety and Static Area are stored redundantly for safety reasons. Safety Area A is stored in the ID Page of the EEPROM so that these values can never be written after the Page Lock.
Since the dynamic area is written periodically during operation, Dynamic Area A and Dynamic Area B are written alternately. This ensures that, in theory, there is always one area with correct data. To distinguish the write sequence, both dynamic areas contain a counter that is incremented with every write access.
A CRC at the beginning of each area allows the correctness of the data to be checked.</x:t>
  </x:si>
  <x:si>
    <x:t xml:space="preserve">AK.UHE.SW.0053</x:t>
  </x:si>
  <x:si>
    <x:t xml:space="preserve">The CRC of the Safety Area shall be protected using CRC16 (polynomial: 0xAC9A; HD=5 at 241 bits). The other areas shall be protected using the standardized CRC32 (HD=5 at 2974 bits).</x:t>
  </x:si>
  <x:si>
    <x:t xml:space="preserve">0</x:t>
  </x:si>
  <x:si>
    <x:t xml:space="preserve">AK.UHE.SW.0039</x:t>
  </x:si>
  <x:si>
    <x:t xml:space="preserve">A BMU-internal copy of the contents of all EEPROMs of the connected modules shall be created (mirrored EEPROM).</x:t>
  </x:si>
  <x:si>
    <x:t xml:space="preserve">AK.UHE.SW.0057</x:t>
  </x:si>
  <x:si>
    <x:t xml:space="preserve">Error flags are set per module. This allows errors to be analyzed module-wise.</x:t>
  </x:si>
  <x:si>
    <x:t xml:space="preserve">Info24</x:t>
  </x:si>
  <x:si>
    <x:t xml:space="preserve">EEPROM read errors are triggered either by an error in isoSPI communication or in I²C communication. The corresponding error flags ("BadCRC" or "I2CCommunicationFail") are set at driver level.</x:t>
  </x:si>
  <x:si>
    <x:t xml:space="preserve">Info25</x:t>
  </x:si>
  <x:si>
    <x:t xml:space="preserve">The desired initialization sequence of the EEPROMs is described below. A flowchart is also shown on the linked page. (not fully up to date)</x:t>
  </x:si>
  <x:si>
    <x:t xml:space="preserve">AK.UHE.SW.0040</x:t>
  </x:si>
  <x:si>
    <x:t xml:space="preserve">During BMU startup, all contents of the EEPROMs (standard pages + ID Page) shall be copied into the mirrored EEPROMs. If an error occurs while reading the EEPROMs, the error flag "EEPROMReadFail" (standard pages) or "SafAreaReadFail" (ID Page) shall be set. Writing to the EEPROMs during the further program flow shall be prevented (EEPROM write protection).</x:t>
  </x:si>
  <x:si>
    <x:t xml:space="preserve">AK.UHE.SW.0041</x:t>
  </x:si>
  <x:si>
    <x:t xml:space="preserve">After the EEPROM data has been read successfully, the content of the EEPROMs shall be checked for correctness and corresponding error flags or write protection shall be set if necessary.</x:t>
  </x:si>
  <x:si>
    <x:t xml:space="preserve">AK.UHE.SW.0097</x:t>
  </x:si>
  <x:si>
    <x:t xml:space="preserve">If one of the dynamic areas in a module contains an incorrect CRC, the area with the incorrect CRC shall be written next.</x:t>
  </x:si>
  <x:si>
    <x:t xml:space="preserve">AK.UHE.SW.0042</x:t>
  </x:si>
  <x:si>
    <x:t xml:space="preserve">During initialization, the statuses (locked/unlocked) of all EEPROM ID Pages shall also be read. If a read error occurs, the error flag "IDPageStatusReadFail" shall be set.</x:t>
  </x:si>
  <x:si>
    <x:t xml:space="preserve"> </x:t>
  </x:si>
  <x:si>
    <x:t xml:space="preserve">AK.UHE.SW.0043</x:t>
  </x:si>
  <x:si>
    <x:t xml:space="preserve">After successfully reading the status of all ID Pages, the error flag "IDPageNotLocked" shall be set for the respective module if it is not locked.</x:t>
  </x:si>
  <x:si>
    <x:t xml:space="preserve">AK.UHE.SW.0098</x:t>
  </x:si>
  <x:si>
    <x:t xml:space="preserve">The data in the Dynamic Area can be set module-wise via the message Mxxx_WriteEEPROMData. The received data packets shall be stored in the internally mirrored EEPROM. (Info: Permanent storage is performed via the message Mxxx_StartLTCTransmission for all modules.)</x:t>
  </x:si>
  <x:si>
    <x:t xml:space="preserve">AK.UHE.SW.0099</x:t>
  </x:si>
  <x:si>
    <x:t xml:space="preserve">The data in the Safety Area or Static Area can be set module-wise via the message Mxxx_ConfigurationMessage. The received data packets shall be stored in the internally mirrored EEPROM. (Info: Permanent storage is performed via the message Mxxx_StartLTCTransmission for all modules.)</x:t>
  </x:si>
  <x:si>
    <x:t xml:space="preserve">AK.UHE.SW.0044</x:t>
  </x:si>
  <x:si>
    <x:t xml:space="preserve">The following actions related to all (!) EEPROMs shall be triggered via the CAN message Mxxx_StartLTCTransmission (the signal Mxxx_val_ActionIndex in the CAN message is used to distinguish different actions):
Index 0: write Safety Area
Index 1: write Static Area
Index 2: write Dynamic Area
Index 3: reread all EEPROMs (including reading ID Page status and checking contents)
Index 4: read ID Page status
Index 5: lock (all) ID Pages for write accesses (ID Page lock)
Index 6: (EOL only) initialize Dynamic Area (set counter + CRC)</x:t>
  </x:si>
  <x:si>
    <x:t xml:space="preserve">Info26</x:t>
  </x:si>
  <x:si>
    <x:t xml:space="preserve">The desired program sequence regarding the EEPROM functionalities is described below. A flowchart is also shown on the linked page.</x:t>
  </x:si>
  <x:si>
    <x:t xml:space="preserve">Info27</x:t>
  </x:si>
  <x:si>
    <x:t xml:space="preserve">Safety and Static Area are written only at EOL. Likewise, the ID Page is locked only at EOL.</x:t>
  </x:si>
  <x:si>
    <x:t xml:space="preserve">AK.UHE.SW.0055</x:t>
  </x:si>
  <x:si>
    <x:t xml:space="preserve">- Add a requirement specifying the handling of EOL messages during normal operation
- Formulate requirements for this or another software component that describe flashing the EEPROMs during EOL.</x:t>
  </x:si>
  <x:si>
    <x:t xml:space="preserve">not ready specified</x:t>
  </x:si>
  <x:si>
    <x:t xml:space="preserve">Info28</x:t>
  </x:si>
  <x:si>
    <x:t xml:space="preserve">Data intended to be stored in EEPROM is transmitted via CAN.</x:t>
  </x:si>
  <x:si>
    <x:t xml:space="preserve">AK.UHE.SW.0045</x:t>
  </x:si>
  <x:si>
    <x:t xml:space="preserve">The sequence of a write operation for an area shall be as follows: First, the area shall be written to the EEPROM. After successful writing, the content of the written area shall be read back into a buffer. After successful reading, the contents of the written and read areas shall be compared. If all three steps were successful, the write operation is complete.
In case of an error, depending on the area written and the step (write, read, verify) in which the error occurs, an error flag shall be set:
- Mxxx_flag_(Saf/Stat/Dyn)AreaWriteFail
- Mxxx_flag_(Saf/Stat/Dyn)AreaReadFail
- Mxxx_flag_Verify(Saf/Stat/Dyn)WriteFail</x:t>
  </x:si>
  <x:si>
    <x:t xml:space="preserve">AK.UHE.SW.0046</x:t>
  </x:si>
  <x:si>
    <x:t xml:space="preserve">Error flags shall be reset within the isoSPI module before the start of the respective action during which they are set.
It must be ensured that resetting only takes place after the associated data (and the error flags) have been sent.</x:t>
  </x:si>
  <x:si>
    <x:t xml:space="preserve">AK.UHE.SW.0056</x:t>
  </x:si>
  <x:si>
    <x:t xml:space="preserve">Behavior regarding all error flags</x:t>
  </x:si>
  <x:si>
    <x:t xml:space="preserve">BMS-M</x:t>
  </x:si>
  <x:si>
    <x:t xml:space="preserve">SCU</x:t>
  </x:si>
  <x:si>
    <x:t xml:space="preserve">AK.UHE.SW.0047</x:t>
  </x:si>
  <x:si>
    <x:t xml:space="preserve">The specification of which dynamic area shall be written during the next write operation can be made via a flag set by the BMS master (true = Area A, false = Area B).
The area to be written next is transmitted to the BMS master via CAN as a flag (true = Area A, false = Area B). In this context, the BMS master must determine whether one area or the other has been written several times in succession.
For this purpose, the BMS master shall store a counter in FRAM for each area; the counter is incremented if one area is written multiple times in succession instead of alternately.
If the counter at BMU startup is greater than 2, a warning shall be issued.
If the counter at BMU startup is greater than 4, the battery must not be connected. (The counter levels may still be adjusted with regard to availability.)
If the areas can be written alternately again, the counters in FRAM shall be reset to zero.</x:t>
  </x:si>
  <x:si>
    <x:t xml:space="preserve">open</x:t>
  </x:si>
  <x:si>
    <x:t xml:space="preserve">AK.UHE.SW.0048</x:t>
  </x:si>
  <x:si>
    <x:t xml:space="preserve">The specification of which dynamic area shall be written during the next write operation can be made via a flag transmitted to the isoSPI module via the CAN message Mxxx_EEPROMChangeDynArea (true = Area A, false = Area B).
The CAN message Mxxx_EEPROMData contains the information about which Dynamic Area will be written next.</x:t>
  </x:si>
  <x:si>
    <x:t xml:space="preserve">AK.UHE.SW.0100</x:t>
  </x:si>
  <x:si>
    <x:t xml:space="preserve">The data in the Dynamic Area shall be transmitted module-wise on akaCAN via the message Mxxx_EEPROMData using a MUX.</x:t>
  </x:si>
  <x:si>
    <x:t xml:space="preserve">AK.UHE.SW.0101</x:t>
  </x:si>
  <x:si>
    <x:t xml:space="preserve">The previously defined EEPROM error flags shall be transmitted module-wise on akaCAN via the message Mxxx_BMSInfo.</x:t>
  </x:si>
  <x:si>
    <x:t xml:space="preserve">AK.UHE.SW.0102</x:t>
  </x:si>
  <x:si>
    <x:t xml:space="preserve">CellType and Topology shall be transmitted module-wise on akaCAN via the message Mxxx_ModuleInformation.</x:t>
  </x:si>
  <x:si>
    <x:t xml:space="preserve">AK.UHE.SW.0103</x:t>
  </x:si>
  <x:si>
    <x:t xml:space="preserve">The module serial number (high and low) shall be transmitted module-wise on akaCAN via the message Mxxx_SlaveSerials.</x:t>
  </x:si>
  <x:si>
    <x:t xml:space="preserve">UHE EOL tester (EEPROM)</x:t>
  </x:si>
  <x:si>
    <x:t xml:space="preserve">Info29</x:t>
  </x:si>
  <x:si>
    <x:t xml:space="preserve">UHE cell balancing</x:t>
  </x:si>
  <x:si>
    <x:t xml:space="preserve">Info30</x:t>
  </x:si>
  <x:si>
    <x:t xml:space="preserve">Cell balancing of the LTC681x can be controlled via the DCCx flags in the configuration register groups or via the S pins using the S-Pin/PWM register groups.</x:t>
  </x:si>
  <x:si>
    <x:t xml:space="preserve">AK.UHE.SW.0058</x:t>
  </x:si>
  <x:si>
    <x:t xml:space="preserve">For cell balancing, the S pins in the S-Pin/PWM register groups shall be used.</x:t>
  </x:si>
  <x:si>
    <x:t xml:space="preserve">AK.UHE.SW.0060</x:t>
  </x:si>
  <x:si>
    <x:t xml:space="preserve">After each write of the configuration register groups, the S-Pin/PWM register groups must be written again.</x:t>
  </x:si>
  <x:si>
    <x:t xml:space="preserve">AK.UHE.SW.0059</x:t>
  </x:si>
  <x:si>
    <x:t xml:space="preserve">The balancing flags shall be received via CAN as before and initially stored in the mirrored internal LTC registers. Once per second, the values from the mirrored registers shall be written to the LTCs.</x:t>
  </x:si>
  <x:si>
    <x:t xml:space="preserve">AK.UHE.SW.0061</x:t>
  </x:si>
  <x:si>
    <x:t xml:space="preserve">During cell-voltage measurement, balancing shall be switched off. The MUTE and UNMUTE commands shall be used for this. A delay (1 ms) shall be inserted after the MUTE command so that the influence of balancing currents is no longer visible. (see section "DISCHARGE CONTROL DURING CELL MEASUREMENTS" in the data sheet)</x:t>
  </x:si>
  <x:si>
    <x:t xml:space="preserve">Info31</x:t>
  </x:si>
  <x:si>
    <x:t xml:space="preserve">It is possible to continue balancing even after a watchdog timeout of the LTCs if DTEN is connected to VREG (which is the case for us). The balancing duration after a timeout can be set to a defined duration using the "DCTO" bits in the configuration register groups.</x:t>
  </x:si>
  <x:si>
    <x:t xml:space="preserve">AK.UHE.SW.0062</x:t>
  </x:si>
  <x:si>
    <x:t xml:space="preserve">After a watchdog timeout, balancing shall not continue. The DCTO bits shall therefore be set to 0.</x:t>
  </x:si>
  <x:si>
    <x:t xml:space="preserve">-&gt; Wear of electronic components?</x:t>
  </x:si>
  <x:si>
    <x:t xml:space="preserve">Internal requirements</x:t>
  </x:si>
  <x:si>
    <x:t xml:space="preserve">Implementation</x:t>
  </x:si>
  <x:si>
    <x:t xml:space="preserve">Must = 0;
Optional = 1</x:t>
  </x:si>
  <x:si>
    <x:t xml:space="preserve">Safety Manual-ID</x:t>
  </x:si>
  <x:si>
    <x:t xml:space="preserve">affected control units</x:t>
  </x:si>
  <x:si>
    <x:t xml:space="preserve">Prototype, Pre-Series, Prototype + Pre-Series</x:t>
  </x:si>
  <x:si>
    <x:t xml:space="preserve">SI/EE/
ME/SW</x:t>
  </x:si>
  <x:si>
    <x:t xml:space="preserve">REQ_LTC_SM_001</x:t>
  </x:si>
  <x:si>
    <x:t xml:space="preserve">5.3_SM1</x:t>
  </x:si>
  <x:si>
    <x:t xml:space="preserve">The safety mechanism "MUX Decoder Check" shall be performed at least every x seconds (x (fault-detection time) still to be defined by system development).</x:t>
  </x:si>
  <x:si>
    <x:t xml:space="preserve">Prototype + Pre-Series</x:t>
  </x:si>
  <x:si>
    <x:t xml:space="preserve">SI</x:t>
  </x:si>
  <x:si>
    <x:t xml:space="preserve">REQ_LTC_SM_002</x:t>
  </x:si>
  <x:si>
    <x:t xml:space="preserve">After a failed MUX Decoder Check, the BMU_ISOPSI software shall set an error flag (t.b.d.) in BMS_Info.</x:t>
  </x:si>
  <x:si>
    <x:t xml:space="preserve">SW</x:t>
  </x:si>
  <x:si>
    <x:t xml:space="preserve">REQ_LTC_SM_003</x:t>
  </x:si>
  <x:si>
    <x:t xml:space="preserve">A CLRSTAT must be performed before the MUX Decoder Check.</x:t>
  </x:si>
  <x:si>
    <x:t xml:space="preserve">REQ_LTC_SM_004</x:t>
  </x:si>
  <x:si>
    <x:t xml:space="preserve">5.3_SM2</x:t>
  </x:si>
  <x:si>
    <x:t xml:space="preserve">Within the fault-detection time (minimum of the detection time for temperature monitoring and voltage monitoring), the voltage VREF2 shall be measured cyclically. The value of this voltage must be in the range 2.990 V to 3.014 V.</x:t>
  </x:si>
  <x:si>
    <x:t xml:space="preserve">REQ_LTC_SM_005</x:t>
  </x:si>
  <x:si>
    <x:t xml:space="preserve">The measured voltage VREF2 for IC1 and IC2 shall be sent for each module on AkaCAN in the signals Mxxx_act_U_DigiPower_IC1_mV and Mxxx_act_U_DigiPower_IC2_mV.</x:t>
  </x:si>
  <x:si>
    <x:t xml:space="preserve">BMU_ISOSPI</x:t>
  </x:si>
  <x:si>
    <x:t xml:space="preserve">INF_LTC_SM_001</x:t>
  </x:si>
  <x:si>
    <x:t xml:space="preserve">The requirements for evaluation by SCU and BMSM are still missing.</x:t>
  </x:si>
  <x:si>
    <x:t xml:space="preserve">REQ_LTC_SM_006</x:t>
  </x:si>
  <x:si>
    <x:t xml:space="preserve">5.3_SM3</x:t>
  </x:si>
  <x:si>
    <x:t xml:space="preserve">Within the fault-detection time (minimum of the detection time for temperature monitoring and voltage monitoring), the voltage VREG shall be measured cyclically. The value of this voltage must be in the range 4.5 V to 5.5 V.</x:t>
  </x:si>
  <x:si>
    <x:t xml:space="preserve">REQ_LTC_SM_007</x:t>
  </x:si>
  <x:si>
    <x:t xml:space="preserve">Within the fault-detection time (minimum of the detection time for temperature monitoring and voltage monitoring), the voltage VREGD shall be measured cyclically. The value of this voltage must be in the range 2.7 V to 3.6 V.</x:t>
  </x:si>
  <x:si>
    <x:t xml:space="preserve">REQ_LTC_SM_008</x:t>
  </x:si>
  <x:si>
    <x:t xml:space="preserve">The measured voltages VREG and VREGD for IC1 and IC2 shall be sent for each module on AkaCAN in the signals Mxxx_act_U_DigiPower_IC1_mV and Mxxx_act_U_DigiPower_IC2_mV.</x:t>
  </x:si>
  <x:si>
    <x:t xml:space="preserve">INF_LTC_SM_002</x:t>
  </x:si>
  <x:si>
    <x:t xml:space="preserve">REQ_LTC_SM_009</x:t>
  </x:si>
  <x:si>
    <x:t xml:space="preserve">5.3_SM4</x:t>
  </x:si>
  <x:si>
    <x:t xml:space="preserve">Within the fault-detection time for voltage monitoring, an open-wire check CV shall be performed cyclically. (SM4)</x:t>
  </x:si>
  <x:si>
    <x:t xml:space="preserve">REQ_LTC_SM_010</x:t>
  </x:si>
  <x:si>
    <x:t xml:space="preserve">5.3_SM5</x:t>
  </x:si>
  <x:si>
    <x:t xml:space="preserve">The redundant filtering of the ADC values ADCV, ADOW, ADAXD, ADSTATD, AXOW, ADCVAX, ADCVSC, CVST, ADOL, AXST, STATST shall be performed in configuration PS[1:0] = 00. (SM5)
Info: will be implemented after V1.1</x:t>
  </x:si>
  <x:si>
    <x:t xml:space="preserve">REQ_LTC_SM_011</x:t>
  </x:si>
  <x:si>
    <x:t xml:space="preserve">5.3_SM13</x:t>
  </x:si>
  <x:si>
    <x:t xml:space="preserve">The redundant filtering of the ADC values ADAXD shall be performed in configuration PS[1:0] = 00.
(SM13)</x:t>
  </x:si>
  <x:si>
    <x:t xml:space="preserve">INF_LTC_SM_003</x:t>
  </x:si>
  <x:si>
    <x:t xml:space="preserve">Test info: The FDRF command can be used for fault injection for these filters.</x:t>
  </x:si>
  <x:si>
    <x:t xml:space="preserve">REQ_LTC_SM_012</x:t>
  </x:si>
  <x:si>
    <x:t xml:space="preserve">Within the fault-detection time (minimum of the detection time for temperature monitoring and voltage monitoring), the result of the redundancy checks of the digital filters for the cell voltages shall be evaluated cyclically.</x:t>
  </x:si>
  <x:si>
    <x:t xml:space="preserve">INF_LTC_SM_004</x:t>
  </x:si>
  <x:si>
    <x:t xml:space="preserve">Test note: In the configuration register, an FDRF flag can be set to make these checks fail (fault injection).</x:t>
  </x:si>
  <x:si>
    <x:t xml:space="preserve">5.3_SM6</x:t>
  </x:si>
  <x:si>
    <x:t xml:space="preserve">Before each cell-voltage measurement, the registers used to store the measured values shall be set to FFFF with the CLRCELL command. (SM6: clear CV prior to any cell measurement)</x:t>
  </x:si>
  <x:si>
    <x:t xml:space="preserve">REQ_LTC_SM_013</x:t>
  </x:si>
  <x:si>
    <x:t xml:space="preserve">5.3_SM9</x:t>
  </x:si>
  <x:si>
    <x:t xml:space="preserve">Before each measurement of the GPIOs, the AUX registers used to store the measured values shall be set to FFFF with the CLRAUX command. (SM9: clear AUX prior to any GPIO measurement)</x:t>
  </x:si>
  <x:si>
    <x:t xml:space="preserve">REQ_LTC_SM_014</x:t>
  </x:si>
  <x:si>
    <x:t xml:space="preserve">5.3_SM7</x:t>
  </x:si>
  <x:si>
    <x:t xml:space="preserve">Within the fault-detection time for voltage monitoring, the "digital filter &amp; memory check CV" shall be performed cyclically in Fast Mode with the values 0x9565 and 0x6A9A. (SM7)</x:t>
  </x:si>
  <x:si>
    <x:t xml:space="preserve">REQ_LTC_SM_015</x:t>
  </x:si>
  <x:si>
    <x:t xml:space="preserve">5.3_SM11</x:t>
  </x:si>
  <x:si>
    <x:t xml:space="preserve">Within the fault-detection time for temperature monitoring, the "digital filter &amp; memory check AUX" shall be performed cyclically in Fast Mode with the values 0x9565 and 0x6A9A. (SM11)</x:t>
  </x:si>
  <x:si>
    <x:t xml:space="preserve">REQ_LTC_SM_016</x:t>
  </x:si>
  <x:si>
    <x:t xml:space="preserve">5.3_SM12</x:t>
  </x:si>
  <x:si>
    <x:t xml:space="preserve">V1.1:
Within the fault-detection time (minimum of the detection time for temperature monitoring and voltage monitoring), the "digital filter &amp; memory check STAT" shall be performed cyclically in Fast Mode with the values 0x9565 and 0x6A9A. (SM12)</x:t>
  </x:si>
  <x:si>
    <x:t xml:space="preserve">REQ_LTC_SM_017</x:t>
  </x:si>
  <x:si>
    <x:t xml:space="preserve">5.3_SM8</x:t>
  </x:si>
  <x:si>
    <x:t xml:space="preserve">Within the fault-detection time for voltage monitoring, the "overlap cell measurement" check shall be performed cyclically in Normal Mode (7 kHz sample rate). The maximum deviation is
V1.1:
0.7 mV if U_cell &lt; 3.3 V
0.8 mV if 3.3 V &lt;= U_cell &lt; 4.2 V
1.0 mV if 4.2 V &lt; U_Cell
V1.6:
1.2 mV if U_cell &lt; 0.8 V
2.3 mV if 0.8 V &lt;= U_cell &lt; 2 V
3.4 mV if 2 V &lt;= U_cell &lt; 3.3 V
4.2 mV if 3.3 V &lt;= U_cell &lt; 4.2 V
7.0 mV if 5 V &lt; U_Cell.</x:t>
  </x:si>
  <x:si>
    <x:t xml:space="preserve">INF_LTC_SM_005</x:t>
  </x:si>
  <x:si>
    <x:t xml:space="preserve">Info: For this check, only cell 6 with ADC 1 and ADC 2 is used. ADC 3 and cell 11 are not used in the system and are not considered in this check.</x:t>
  </x:si>
  <x:si>
    <x:t xml:space="preserve">REQ_LTC_SM_018</x:t>
  </x:si>
  <x:si>
    <x:t xml:space="preserve">5.3_SM14</x:t>
  </x:si>
  <x:si>
    <x:t xml:space="preserve">Info: SM14 does not need to be performed because, according to the Safety Manual, we perform SM21, SM30 and a plausibility check of the measured temperatures.</x:t>
  </x:si>
  <x:si>
    <x:t xml:space="preserve">REQ_LTC_SM_019</x:t>
  </x:si>
  <x:si>
    <x:t xml:space="preserve">5.3_SM16</x:t>
  </x:si>
  <x:si>
    <x:t xml:space="preserve">The BMU software shall check the CRC of every data packet received from the slaves via ISOSPI. (SM16)</x:t>
  </x:si>
  <x:si>
    <x:t xml:space="preserve">REQ_LTC_SM_020</x:t>
  </x:si>
  <x:si>
    <x:t xml:space="preserve">All data packets and commands sent to the slaves shall be protected with a CRC. (SM16)</x:t>
  </x:si>
  <x:si>
    <x:t xml:space="preserve">REQ_LTC_SM_021</x:t>
  </x:si>
  <x:si>
    <x:t xml:space="preserve">5.3_SM17</x:t>
  </x:si>
  <x:si>
    <x:t xml:space="preserve">SM 17 still needs to be defined
2020-06-23, JEr, DWe, RRa, WIN: Requirements have been created; this information is obsolete.
2020-08-05: RRa, JEr, RMr: will be deleted after V1.6 and therefore shall not be implemented.</x:t>
  </x:si>
  <x:si>
    <x:t xml:space="preserve">REQ_LTC_SM_022</x:t>
  </x:si>
  <x:si>
    <x:t xml:space="preserve">5.3_SM18</x:t>
  </x:si>
  <x:si>
    <x:t xml:space="preserve">Within the fault-detection time for voltage monitoring, the software shall check for all cell voltages whether they are within the permitted cell-voltage range (according to the parameter sheet). If the value is too low, error code 1 is output; if overvoltage occurs, error code 2 is output. (SM18)</x:t>
  </x:si>
  <x:si>
    <x:t xml:space="preserve">REQ_LTC_SM_023</x:t>
  </x:si>
  <x:si>
    <x:t xml:space="preserve">5.3_SM19</x:t>
  </x:si>
  <x:si>
    <x:t xml:space="preserve">Within the fault-detection time (minimum of the detection time for temperature monitoring and voltage monitoring), the RDCFGA command with an incorrect CRC shall be sent cyclically to all LTCs. If a slave returns anything other than an empty data set, an error is present. (SM19)</x:t>
  </x:si>
  <x:si>
    <x:t xml:space="preserve">REQ_LTC_SM_024</x:t>
  </x:si>
  <x:si>
    <x:t xml:space="preserve">5.3_SM20</x:t>
  </x:si>
  <x:si>
    <x:t xml:space="preserve">Within the fault-detection time for temperature monitoring, the software shall check for all cell temperatures whether they are within the permitted range (according to the parameter sheet). If the value is too low, error code 18 (during charging) or 20 (during discharging) is output; if the value is too high, error code 17 (during charging) or 19 (during discharging) is output. (SM20)</x:t>
  </x:si>
  <x:si>
    <x:t xml:space="preserve">REQ_LTC_SM_025</x:t>
  </x:si>
  <x:si>
    <x:t xml:space="preserve">5.3_SM21</x:t>
  </x:si>
  <x:si>
    <x:t xml:space="preserve">Within the fault-detection time for temperature monitoring, an open-wire check AUX shall be performed cyclically. (SM21) For availability reasons, only GPIOs with thermistors shall be checked.
A timing analysis is still required to determine how this check and others can be accommodated within the fault-detection time.</x:t>
  </x:si>
  <x:si>
    <x:t xml:space="preserve">REQ_LTC_SM_026</x:t>
  </x:si>
  <x:si>
    <x:t xml:space="preserve">5.3_SM22</x:t>
  </x:si>
  <x:si>
    <x:t xml:space="preserve">Within the fault-detection time (minimum of the detection time for temperature monitoring and voltage monitoring), the die temperature of the LTCs shall be checked cyclically. The limit from the Safety Manual applies (-40°C...125°C). (SM22)</x:t>
  </x:si>
  <x:si>
    <x:t xml:space="preserve">REQ_LTC_SM_027</x:t>
  </x:si>
  <x:si>
    <x:t xml:space="preserve">5.3_SM23</x:t>
  </x:si>
  <x:si>
    <x:t xml:space="preserve">Within the fault-detection time for voltage monitoring, the sum of the cell voltages shall be plausibility-checked against the module voltage for each module. The limit from the parameter sheet applies to the deviation. (SM23)</x:t>
  </x:si>
  <x:si>
    <x:t xml:space="preserve">INF_LTC_SM_006</x:t>
  </x:si>
  <x:si>
    <x:t xml:space="preserve">Info: The measurement of module voltages is less accurate than the measurement of cell voltages. The limit in the parameter sheet may need to be adjusted.</x:t>
  </x:si>
  <x:si>
    <x:t xml:space="preserve">REQ_LTC_SM_028</x:t>
  </x:si>
  <x:si>
    <x:t xml:space="preserve">5.3_SM26</x:t>
  </x:si>
  <x:si>
    <x:t xml:space="preserve">Within the fault-detection time (minimum of the detection time for temperature monitoring and voltage monitoring), the correct setting of Path Selection shall be checked cyclically by fault injection (SM26).</x:t>
  </x:si>
  <x:si>
    <x:t xml:space="preserve">INF_LTC_SM_007</x:t>
  </x:si>
  <x:si>
    <x:t xml:space="preserve">Info: For PS=00 and the measurement of cells 5, 10, 15, ADC 3 is used contrary to the LTC data sheet. This checks the value for cell 15. This error in the data sheet was confirmed by Analog Devices.</x:t>
  </x:si>
  <x:si>
    <x:t xml:space="preserve">REQ_LTC_SM_029</x:t>
  </x:si>
  <x:si>
    <x:t xml:space="preserve">5.3_SM27</x:t>
  </x:si>
  <x:si>
    <x:t xml:space="preserve">Within the fault-detection time for voltage monitoring, the correct function of the discharge circuit shall be checked cyclically. For this purpose, the difference between the measured cell voltage with discharge open and with discharge closed shall be determined for all cells. For cell n, the following shall apply:
0.8 * (2*1 Ohm * cell voltage / (2*1 Ohm + 36 Ohm (resistors) + 4 (R_DS(on) of the FETs)) &lt;
CV_old(n) - CV_new(n)
&lt; 1.2 * (2*1 Ohm * cell voltage / (2*1 Ohm + 36 Ohm (resistors) + 4 (R_DS(on) of the FETs)).
(SM27)</x:t>
  </x:si>
  <x:si>
    <x:t xml:space="preserve">INF_LTC_SM_008</x:t>
  </x:si>
  <x:si>
    <x:t xml:space="preserve">In addition to SM27, a feature can be implemented to check whether one of the parallel discharge resistors has a fault.</x:t>
  </x:si>
  <x:si>
    <x:t xml:space="preserve">REQ_LTC_SM_030</x:t>
  </x:si>
  <x:si>
    <x:t xml:space="preserve">5.3_SM29</x:t>
  </x:si>
  <x:si>
    <x:t xml:space="preserve">Within the fault-detection time for voltage monitoring, a measurement with open wire and Pull-Up=low shall be performed for cell 1. The following shall apply to the difference between this measurement and the CV measurement:
VADCV-VADOW &gt;= 20mV.
(SM29)</x:t>
  </x:si>
  <x:si>
    <x:t xml:space="preserve">REQ_LTC_SM_031</x:t>
  </x:si>
  <x:si>
    <x:t xml:space="preserve">Within the fault-detection time for voltage monitoring, a measurement with open wire and Pull-Up=high shall be performed for cell 10. The following shall apply to the difference between this measurement and the CV measurement:
VADCV-VADOW &gt; 20mV.
(SM29)</x:t>
  </x:si>
  <x:si>
    <x:t xml:space="preserve">INF_LTC_SM_009</x:t>
  </x:si>
  <x:si>
    <x:t xml:space="preserve">Info: Unlike the Safety Manual, cell 10 is used because only 10 cells per LTC are installed in the system.</x:t>
  </x:si>
  <x:si>
    <x:t xml:space="preserve">REQ_LTC_SM_032</x:t>
  </x:si>
  <x:si>
    <x:t xml:space="preserve">5.3_SM30</x:t>
  </x:si>
  <x:si>
    <x:t xml:space="preserve">Within the fault-detection time for temperature monitoring, all GPIOs connected to a temperature sensor shall be checked for short circuits. For this purpose, every second GPIO to be tested is set to low and the neighboring GPIOs are set to high, then the system waits 1 ms (discharging the capacitors) and reads back the set values. An error is present if the GPIO to be tested shows 0 V or changes noticeably.
The following ranges are defined as logical 0 depending on the GPIO:
- Temperature input: &lt;= 22mV
- Humidity sensor: &lt;= 37.4mV
- I²C pins: &lt;= 140mV
- LED: &lt;= 437mV
(Calculation of the limits can be viewed in Jira BMU-292)
A noticeable change is present if the measured value changes by 10°C.
(SM30)</x:t>
  </x:si>
  <x:si>
    <x:t xml:space="preserve">REQ_LTC_SM_033</x:t>
  </x:si>
  <x:si>
    <x:t xml:space="preserve">5.3_SM31</x:t>
  </x:si>
  <x:si>
    <x:t xml:space="preserve">Within the fault-detection time for temperature monitoring, a measurement with open wire and Pull-Up=high shall be performed for all GPIOs. The following shall apply to the difference between this measurement and the GPIO measurement:
VADAX-VAXOW = &lt;value to be defined&gt; mV.
(SM31)</x:t>
  </x:si>
  <x:si>
    <x:t xml:space="preserve">REQ_LTC_SM_034</x:t>
  </x:si>
  <x:si>
    <x:t xml:space="preserve">Within the fault-detection time for temperature monitoring, a measurement with open wire and Pull-Down=high shall be performed for all GPIOs. The following shall apply to the difference between this measurement and the CV measurement:
20mV &lt;= VADAX-VAXOW &lt;= 40mV.
(SM31)</x:t>
  </x:si>
  <x:si>
    <x:t xml:space="preserve">REQ_LTC_SM_035</x:t>
  </x:si>
  <x:si>
    <x:t xml:space="preserve">5.3_SM32</x:t>
  </x:si>
  <x:si>
    <x:t xml:space="preserve">Within the fault-detection time (minimum of the detection time for temperature monitoring and voltage monitoring), the "clear command functionality check" shall be performed cyclically.</x:t>
  </x:si>
  <x:si>
    <x:t xml:space="preserve">REQ_LTC_SM_036</x:t>
  </x:si>
  <x:si>
    <x:t xml:space="preserve">V1.1:
Before each ADCV measurement, the clear command shall be performed. (This sets the registers to 0xFFFF.) After the measurement, it shall be checked whether a value != 0xFFFF was entered in each register for the cell-voltage measurement.</x:t>
  </x:si>
  <x:si>
    <x:t xml:space="preserve">REQ_LTC_SM_037</x:t>
  </x:si>
  <x:si>
    <x:t xml:space="preserve">V1.1:
After each ADOW measurement (SM4, SM29), the result of cell 1 with PUP=0 shall be compared with the measured cell voltage. The following shall apply to the difference between the values:
|VADCV-VADOW| &gt;= 100mV.</x:t>
  </x:si>
  <x:si>
    <x:t xml:space="preserve">REQ_LTC_SM_038</x:t>
  </x:si>
  <x:si>
    <x:t xml:space="preserve">After each ADOW measurement (SM4, SM29), the result of cell 10 with PUP=1 shall be compared with the measured cell voltage. The following shall apply to the difference between the values:
|VADCV-VADOW| &gt;= 100mV.</x:t>
  </x:si>
  <x:si>
    <x:t xml:space="preserve">REQ_LTC_SM_039</x:t>
  </x:si>
  <x:si>
    <x:t xml:space="preserve">Before each ADAX and ADAXD measurement, the clear command shall be performed. (This sets the AUX registers to 0xFFFF.) After the measurement, it shall be checked whether a value != 0xFFFF was entered in each register for the AUX voltage measurement.</x:t>
  </x:si>
  <x:si>
    <x:t xml:space="preserve">REQ_LTC_SM_040</x:t>
  </x:si>
  <x:si>
    <x:t xml:space="preserve">After each AXOW measurement (SM21, SM31), the result of all GPIOs with PUP=0 shall be compared with the measured cell voltage. The following shall apply to the difference between the values:
VADAX(D)-VAXOW &gt;= 20mV.</x:t>
  </x:si>
  <x:si>
    <x:t xml:space="preserve">REQ_LTC_SM_041</x:t>
  </x:si>
  <x:si>
    <x:t xml:space="preserve">Before each read of the status registers, the clear command shall be performed. (This sets the registers to 0xFFFF.) After the measurement, it shall be checked whether a value != 0xFFFF was entered in the registers "sum of cell", "die temperature", "VA" and "VD".</x:t>
  </x:si>
  <x:si>
    <x:t xml:space="preserve">REQ_LTC_SM_042</x:t>
  </x:si>
  <x:si>
    <x:t xml:space="preserve">For every(?) read of cell voltage, it shall be checked whether the measured value is actually read from the register after performing a cell-voltage measurement and then reading the register. Safety measure: check one channel every 1000 ms according to SM17 with a preceding clear command. This ensures that the safety measure is performed for each sensor/register at least every 5000 ms.</x:t>
  </x:si>
  <x:si>
    <x:t xml:space="preserve">REQ_LTC_SM_043</x:t>
  </x:si>
  <x:si>
    <x:t xml:space="preserve">For every(?) read of cell temperatures, it shall be checked whether the measured value is actually read from the register after performing a temperature measurement and then reading the register.
Safety measure: check one channel every 1000 ms according to SM17 with a preceding clear command. This ensures that the safety measure is performed for each sensor/register at least every 6000 ms.</x:t>
  </x:si>
  <x:si>
    <x:t xml:space="preserve">REQ_LTC_SM_044</x:t>
  </x:si>
  <x:si>
    <x:t xml:space="preserve">After each write of the configuration registers, the written value shall be read out and checked against the target value.
For the GPIO registers, the analog value must be read after setting. The permitted voltage is subject to the limit up to which the GPIOs are considered 0 (see requirement for SM30).</x:t>
  </x:si>
  <x:si>
    <x:t xml:space="preserve">REQ_LTC_SM_045</x:t>
  </x:si>
  <x:si>
    <x:t xml:space="preserve">No "retries" shall be performed during error handling.
Execution of the Safety Mechanism shall be aborted if an error occurs during the query. The error flag associated with the aborted SM shall be set (error flags still need to be extended).</x:t>
  </x:si>
  <x:si>
    <x:t xml:space="preserve">INF_LTC_SM_010</x:t>
  </x:si>
  <x:si>
    <x:t xml:space="preserve">If more frequent errors occur during execution of the Safety Mechanisms, "retries" may need to be introduced.</x:t>
  </x:si>
  <x:si>
    <x:t xml:space="preserve">REQ_LTC_SM_046</x:t>
  </x:si>
  <x:si>
    <x:t xml:space="preserve">For all Safety Mechanisms that are not already queried by the standard measurement (e.g. 2nd Ref, VRDG, VREGD), an error flag shall be introduced. In addition, error flags shall be introduced for errors that occur during execution of the Safety Mechanisms:
- SM_badCRC
- SM_pollingTimeout
- SM_digRedFail
- SM_ClrRegsFail
- SM_CmdVerFail</x:t>
  </x:si>
  <x:si>
    <x:t xml:space="preserve">EN 50272-3</x:t>
  </x:si>
  <x:si>
    <x:t xml:space="preserve">10.1</x:t>
  </x:si>
  <x:si>
    <x:t xml:space="preserve">Adjust BMS cable routing</x:t>
  </x:si>
  <x:si>
    <x:t xml:space="preserve">ECE R100</x:t>
  </x:si>
  <x:si>
    <x:t xml:space="preserve">Measurement setup for determining the ISO resistance</x:t>
  </x:si>
  <x:si>
    <x:t xml:space="preserve">ID assignment:</x:t>
  </x:si>
  <x:si>
    <x:t xml:space="preserve">If a customer requirement with a customer ID exists, it shall be used.</x:t>
  </x:si>
  <x:si>
    <x:t xml:space="preserve">If a customer requirement without a customer ID exists, an ID shall be assigned:</x:t>
  </x:si>
  <x:si>
    <x:t xml:space="preserve">AAA.BBBB.EX.CC.xxxx</x:t>
  </x:si>
  <x:si>
    <x:t xml:space="preserve">AAA: Customer abbreviation, maximum 3 letters; can also be shortened, e.g. BT</x:t>
  </x:si>
  <x:si>
    <x:t xml:space="preserve">BBBB: Product abbreviation, maximum 4 letters; can also be shortened</x:t>
  </x:si>
  <x:si>
    <x:t xml:space="preserve">EX: identifier indicating that an external requirement exists</x:t>
  </x:si>
  <x:si>
    <x:t xml:space="preserve">CC: AKASOL area: SI, EE, ME, SW (systems engineering, electrical/electronics, mechanical, software)</x:t>
  </x:si>
  <x:si>
    <x:t xml:space="preserve">xxxx: consecutive no.</x:t>
  </x:si>
  <x:si>
    <x:t xml:space="preserve">If a requirement is created / derived internally, an ID shall be assigned according to the following nomenclature:</x:t>
  </x:si>
  <x:si>
    <x:t xml:space="preserve">AAA.BBBB.CC.xxxx</x:t>
  </x:si>
  <x:si>
    <x:t xml:space="preserve">CC: AKASOL area</x:t>
  </x:si>
  <x:si>
    <x:t xml:space="preserve">Marking of changes</x:t>
  </x:si>
  <x:si>
    <x:t xml:space="preserve">To increase processing efficiency, changes to requirements from one version to the next shall be marked as follows:</x:t>
  </x:si>
  <x:si>
    <x:t xml:space="preserve">White: no change</x:t>
  </x:si>
  <x:si>
    <x:t xml:space="preserve">Light blue: formal change, but no content change (e.g. wording clarified, ID changed, ...)</x:t>
  </x:si>
  <x:si>
    <x:t xml:space="preserve">Orange: new or changed requirement</x:t>
  </x:si>
  <x:si>
    <x:t xml:space="preserve">Gray and strikethrough: no longer applicable.</x:t>
  </x:si>
  <x:si>
    <x:t xml:space="preserve">Yellow: not yet valid; still to be evaluated / detailed, etc.</x:t>
  </x:si>
  <x:si>
    <x:t xml:space="preserve">MSM</x:t>
  </x:si>
  <x:si>
    <x:t xml:space="preserve">Multi String Manager</x:t>
  </x:si>
  <x:si>
    <x:t xml:space="preserve">Heading</x:t>
  </x:si>
  <x:si>
    <x:t xml:space="preserve">Prototype</x:t>
  </x:si>
  <x:si>
    <x:t xml:space="preserve">DS</x:t>
  </x:si>
  <x:si>
    <x:t xml:space="preserve">Special characteristic: safety-relevant</x:t>
  </x:si>
  <x:si>
    <x:t xml:space="preserve">Comment</x:t>
  </x:si>
  <x:si>
    <x:t xml:space="preserve">Pre-Series</x:t>
  </x:si>
  <x:si>
    <x:t xml:space="preserve">work</x:t>
  </x:si>
  <x:si>
    <x:t xml:space="preserve">DZ</x:t>
  </x:si>
  <x:si>
    <x:t xml:space="preserve">Special characteristic: certification-relevant</x:t>
  </x:si>
  <x:si>
    <x:t xml:space="preserve">BMS-S</x:t>
  </x:si>
  <x:si>
    <x:t xml:space="preserve">Functional Req.</x:t>
  </x:si>
  <x:si>
    <x:t xml:space="preserve">C sample</x:t>
  </x:si>
  <x:si>
    <x:t xml:space="preserve">MSM, BMS-M</x:t>
  </x:si>
  <x:si>
    <x:t xml:space="preserve">Non-Functional Req.</x:t>
  </x:si>
  <x:si>
    <x:t xml:space="preserve">Series production</x:t>
  </x:si>
  <x:si>
    <x:t xml:space="preserve">MSM, BMS-S</x:t>
  </x:si>
  <x:si>
    <x:t xml:space="preserve">verified</x:t>
  </x:si>
  <x:si>
    <x:t xml:space="preserve">MSM, BMS-M, BMS-S</x:t>
  </x:si>
  <x:si>
    <x:t xml:space="preserve">BMS-M, BMS-S</x:t>
  </x:si>
  <x:si>
    <x:t xml:space="preserve">TCU</x:t>
  </x:si>
  <x:si>
    <x:t xml:space="preserve">Thermal Conditioning Unit</x:t>
  </x:si>
  <x:si>
    <x:t xml:space="preserve">MSM, TCU</x:t>
  </x:si>
  <x:si>
    <x:t xml:space="preserve">BC</x:t>
  </x:si>
  <x:si>
    <x:t xml:space="preserve">Battery Composition</x:t>
  </x:si>
  <x:si>
    <x:t xml:space="preserve">BS</x:t>
  </x:si>
  <x:si>
    <x:t xml:space="preserve">Battery Strings</x:t>
  </x:si>
  <x:si>
    <x:t xml:space="preserve">Initial safety checks</x:t>
  </x:si>
  <x:si>
    <x:t xml:space="preserve">area</x:t>
  </x:si>
  <x:si>
    <x:t xml:space="preserve">A+B -&gt; Bad CRC</x:t>
  </x:si>
  <x:si>
    <x:t xml:space="preserve">A Bad CRC</x:t>
  </x:si>
  <x:si>
    <x:t xml:space="preserve">B Bad CRC</x:t>
  </x:si>
  <x:si>
    <x:t xml:space="preserve">A is not equal to B (correct CRC)</x:t>
  </x:si>
  <x:si>
    <x:t xml:space="preserve">ID page is not locked</x:t>
  </x:si>
  <x:si>
    <x:t xml:space="preserve">action</x:t>
  </x:si>
  <x:si>
    <x:t xml:space="preserve">flag</x:t>
  </x:si>
  <x:si>
    <x:t xml:space="preserve">flag </x:t>
  </x:si>
  <x:si>
    <x:t xml:space="preserve">dynamic </x:t>
  </x:si>
  <x:si>
    <x:t xml:space="preserve">X</x:t>
  </x:si>
  <x:si>
    <x:t xml:space="preserve">CompleteAreaCRCMismatchDyn</x:t>
  </x:si>
  <x:si>
    <x:t xml:space="preserve">take B</x:t>
  </x:si>
  <x:si>
    <x:r>
      <x:t xml:space="preserve">SingleAreaCorrupted</x:t>
    </x:r>
    <x:r>
      <x:rPr>
        <x:sz val="11"/>
        <x:color rgb="FF000000"/>
        <x:rFont val="Calibri"/>
        <x:family val="2"/>
      </x:rPr>
      <x:t xml:space="preserve">, counter for multiple successive write calls to one area only</x:t>
    </x:r>
  </x:si>
  <x:si>
    <x:t xml:space="preserve">take A</x:t>
  </x:si>
  <x:si>
    <x:t xml:space="preserve">Y</x:t>
  </x:si>
  <x:si>
    <x:t xml:space="preserve">-</x:t>
  </x:si>
  <x:si>
    <x:t xml:space="preserve">static</x:t>
  </x:si>
  <x:si>
    <x:t xml:space="preserve">CompleteAreaCRCMismatchSafStat</x:t>
  </x:si>
  <x:si>
    <x:t xml:space="preserve">SingleAreaCorrupted</x:t>
  </x:si>
  <x:si>
    <x:t xml:space="preserve">take A </x:t>
  </x:si>
  <x:si>
    <x:t xml:space="preserve">AreaMismatch</x:t>
  </x:si>
  <x:si>
    <x:t xml:space="preserve">safety</x:t>
  </x:si>
  <x:si>
    <x:t xml:space="preserve">IDPageNotLocked</x:t>
  </x:si>
  <x:si>
    <x:t xml:space="preserve">-&gt; corrupted areas (bad CRC) will not be repaired (in case one area still is correct)</x:t>
  </x:si>
  <x:si>
    <x:t xml:space="preserve">X = broken</x:t>
  </x:si>
  <x:si>
    <x:t xml:space="preserve">Y = correct</x:t>
  </x:si>
  <x:si>
    <x:t xml:space="preserve">ISO SPI 1k Byte EEPROM</x:t>
  </x:si>
  <x:si>
    <x:t xml:space="preserve">Memory Area</x:t>
  </x:si>
  <x:si>
    <x:t xml:space="preserve">Size [byte = 8bit]</x:t>
  </x:si>
  <x:si>
    <x:t xml:space="preserve">Offset Address</x:t>
  </x:si>
  <x:si>
    <x:t xml:space="preserve">Offset Address in hex</x:t>
  </x:si>
  <x:si>
    <x:t xml:space="preserve">Total Size in Byte</x:t>
  </x:si>
  <x:si>
    <x:t xml:space="preserve">Description</x:t>
  </x:si>
  <x:si>
    <x:t xml:space="preserve">Array index</x:t>
  </x:si>
  <x:si>
    <x:t xml:space="preserve">Example values</x:t>
  </x:si>
  <x:si>
    <x:t xml:space="preserve">Total Memory size in Byte </x:t>
  </x:si>
  <x:si>
    <x:t xml:space="preserve">ID
(ODP)</x:t>
  </x:si>
  <x:si>
    <x:t xml:space="preserve">CRC16</x:t>
  </x:si>
  <x:si>
    <x:t xml:space="preserve">0x6DA1</x:t>
  </x:si>
  <x:si>
    <x:t xml:space="preserve">=Safety-relevant area</x:t>
  </x:si>
  <x:si>
    <x:t xml:space="preserve">cell type (major, Type)</x:t>
  </x:si>
  <x:si>
    <x:t xml:space="preserve">Major</x:t>
  </x:si>
  <x:si>
    <x:t xml:space="preserve">256 variation</x:t>
  </x:si>
  <x:si>
    <x:t xml:space="preserve">= Major represents the main number of a component</x:t>
  </x:si>
  <x:si>
    <x:t xml:space="preserve">cell type (minor, Index/Revision)</x:t>
  </x:si>
  <x:si>
    <x:t xml:space="preserve">Minor</x:t>
  </x:si>
  <x:si>
    <x:t xml:space="preserve">= Minor means that it is the index/revision of acomponent</x:t>
  </x:si>
  <x:si>
    <x:t xml:space="preserve">module type (major, Type)</x:t>
  </x:si>
  <x:si>
    <x:t xml:space="preserve">module type (minor, Index/Revision</x:t>
  </x:si>
  <x:si>
    <x:t xml:space="preserve">Module serial number(AKASOL)</x:t>
  </x:si>
  <x:si>
    <x:t xml:space="preserve">0x4121A60001000080</x:t>
  </x:si>
  <x:si>
    <x:t xml:space="preserve">PCB type (major, Type)</x:t>
  </x:si>
  <x:si>
    <x:t xml:space="preserve">PCB type (minor, Index/Revision)</x:t>
  </x:si>
  <x:si>
    <x:t xml:space="preserve">ID Backup</x:t>
  </x:si>
  <x:si>
    <x:t xml:space="preserve">Translation tables:</x:t>
  </x:si>
  <x:si>
    <x:t xml:space="preserve">Cell Type</x:t>
  </x:si>
  <x:si>
    <x:t xml:space="preserve">LG INR21700 M48 4,8Ah</x:t>
  </x:si>
  <x:si>
    <x:t xml:space="preserve">--&gt; Cell Type is continued based on the existing structure in CAN based system, starting at Value=32</x:t>
  </x:si>
  <x:si>
    <x:t xml:space="preserve">Samsung INR21700 50G 5Ah</x:t>
  </x:si>
  <x:si>
    <x:t xml:space="preserve">LG INR21700 M50L 5Ah, A Sample</x:t>
  </x:si>
  <x:si>
    <x:t xml:space="preserve">LG INR21700 M50L 5Ah</x:t>
  </x:si>
  <x:si>
    <x:t xml:space="preserve">Samsung INR21700 50W 5Ah, A1-Sample</x:t>
  </x:si>
  <x:si>
    <x:t xml:space="preserve">Samsung INR21700 50W 5Ah, A2-Sample</x:t>
  </x:si>
  <x:si>
    <x:t xml:space="preserve">Static Area 1</x:t>
  </x:si>
  <x:si>
    <x:t xml:space="preserve">CRC32</x:t>
  </x:si>
  <x:si>
    <x:t xml:space="preserve">0x8F98A232</x:t>
  </x:si>
  <x:si>
    <x:t xml:space="preserve">Samsung INR21700 50W 5Ah, B1-Sample</x:t>
  </x:si>
  <x:si>
    <x:t xml:space="preserve">topology, number of serial cells/module</x:t>
  </x:si>
  <x:si>
    <x:t xml:space="preserve">Samsung INR21700 48X 4,8Ah</x:t>
  </x:si>
  <x:si>
    <x:t xml:space="preserve">topology, number of parallel cells/module</x:t>
  </x:si>
  <x:si>
    <x:t xml:space="preserve">PCB serial number</x:t>
  </x:si>
  <x:si>
    <x:t xml:space="preserve">0x0001030405060708</x:t>
  </x:si>
  <x:si>
    <x:t xml:space="preserve">IC type (major, Index/Revision)</x:t>
  </x:si>
  <x:si>
    <x:t xml:space="preserve">Major Incrementation = Incompatible or changed mechanical/electrical/thermal properties of the sample, OEM specific, different module type</x:t>
  </x:si>
  <x:si>
    <x:t xml:space="preserve">IC type (minor, Type)</x:t>
  </x:si>
  <x:si>
    <x:t xml:space="preserve">Minor Incrementation = same properties, but compatible changes in the module itself</x:t>
  </x:si>
  <x:si>
    <x:t xml:space="preserve">2nd Life ID (at the beginning it is the pack SN)</x:t>
  </x:si>
  <x:si>
    <x:t xml:space="preserve">0x0000000000000000</x:t>
  </x:si>
  <x:si>
    <x:t xml:space="preserve">Module Type</x:t>
  </x:si>
  <x:si>
    <x:t xml:space="preserve">Locking recognition</x:t>
  </x:si>
  <x:si>
    <x:t xml:space="preserve">0xc3</x:t>
  </x:si>
  <x:si>
    <x:t xml:space="preserve">unspecified prototype</x:t>
  </x:si>
  <x:si>
    <x:t xml:space="preserve">Reserved for further developments</x:t>
  </x:si>
  <x:si>
    <x:t xml:space="preserve">AKAMODULE_CYC_20S30P_B0_Volvo</x:t>
  </x:si>
  <x:si>
    <x:t xml:space="preserve">Static Area 2</x:t>
  </x:si>
  <x:si>
    <x:t xml:space="preserve">AKAMODULE_CYC_20S30P_B1_Volvo</x:t>
  </x:si>
  <x:si>
    <x:t xml:space="preserve">AKAMODULE_CYC_20S30P_B2_Volvo</x:t>
  </x:si>
  <x:si>
    <x:t xml:space="preserve">AKAMODULE_CYC_20S30P_B2_Evobus</x:t>
  </x:si>
  <x:si>
    <x:t xml:space="preserve">AKAMODULE_CYC_20S30P_C0_Volvo</x:t>
  </x:si>
  <x:si>
    <x:t xml:space="preserve">(50GA Cell)</x:t>
  </x:si>
  <x:si>
    <x:t xml:space="preserve">(48X Cell)</x:t>
  </x:si>
  <x:si>
    <x:t xml:space="preserve">2nd Life ID state</x:t>
  </x:si>
  <x:si>
    <x:t xml:space="preserve">AKAMODULE_CYC_20S30P_C0_Evobus</x:t>
  </x:si>
  <x:si>
    <x:t xml:space="preserve">AKAMODULE_CYC_20S30P_C1_Volvo</x:t>
  </x:si>
  <x:si>
    <x:t xml:space="preserve">Dynamic Area 1</x:t>
  </x:si>
  <x:si>
    <x:t xml:space="preserve">0x4E70B86B</x:t>
  </x:si>
  <x:si>
    <x:t xml:space="preserve">counter (for writing data)</x:t>
  </x:si>
  <x:si>
    <x:t xml:space="preserve">0x02020304</x:t>
  </x:si>
  <x:si>
    <x:t xml:space="preserve">Unique ID (battery pack SN)</x:t>
  </x:si>
  <x:si>
    <x:t xml:space="preserve">0x0102010405060708</x:t>
  </x:si>
  <x:si>
    <x:t xml:space="preserve">PCB Type</x:t>
  </x:si>
  <x:si>
    <x:t xml:space="preserve">Time integral of battery alive [h]</x:t>
  </x:si>
  <x:si>
    <x:t xml:space="preserve">0x00000000</x:t>
  </x:si>
  <x:si>
    <x:t xml:space="preserve">Lifetime Discharge Ah counter [Ah]</x:t>
  </x:si>
  <x:si>
    <x:t xml:space="preserve">1E020145_00_CSC-LTC-ISOSPI-2X10S</x:t>
  </x:si>
  <x:si>
    <x:t xml:space="preserve">Counter overvoltage 1 (4,25V)</x:t>
  </x:si>
  <x:si>
    <x:t xml:space="preserve">0x00</x:t>
  </x:si>
  <x:si>
    <x:t xml:space="preserve">1E010154_00_AKM CYC 20s30p CSC-U v1.1</x:t>
  </x:si>
  <x:si>
    <x:t xml:space="preserve">Counter overvoltage 2 (4,3V)</x:t>
  </x:si>
  <x:si>
    <x:t xml:space="preserve">Counter undervoltage 1 (2,8V)</x:t>
  </x:si>
  <x:si>
    <x:t xml:space="preserve">1E020154_00_AKM CYC 20s30p CSC-U v1.2</x:t>
  </x:si>
  <x:si>
    <x:t xml:space="preserve">Counter undervoltage 2 (1,8V)</x:t>
  </x:si>
  <x:si>
    <x:t xml:space="preserve">1E030154_00_AKM CYC 20s30p CSC-U v1.3</x:t>
  </x:si>
  <x:si>
    <x:t xml:space="preserve">Counter overtemperature 1 (70°C)</x:t>
  </x:si>
  <x:si>
    <x:t xml:space="preserve">Counter overtemperature 2 (80°C)</x:t>
  </x:si>
  <x:si>
    <x:t xml:space="preserve">topology number</x:t>
  </x:si>
  <x:si>
    <x:t xml:space="preserve">Is set according to the electrical wiring of the module</x:t>
  </x:si>
  <x:si>
    <x:t xml:space="preserve">Counter Overcurrent discharge 1 (-100A)</x:t>
  </x:si>
  <x:si>
    <x:t xml:space="preserve">0=unspecified prototype</x:t>
  </x:si>
  <x:si>
    <x:t xml:space="preserve">Counter Overcurrent discharge 2 (-400A)</x:t>
  </x:si>
  <x:si>
    <x:t xml:space="preserve">FFFFh = SNA   </x:t>
  </x:si>
  <x:si>
    <x:t xml:space="preserve">Bit</x:t>
  </x:si>
  <x:si>
    <x:t xml:space="preserve">Counter Overcurrent charge 1 (+100A)</x:t>
  </x:si>
  <x:si>
    <x:t xml:space="preserve">Counter Overcurrent charge 2 (+240A)</x:t>
  </x:si>
  <x:si>
    <x:t xml:space="preserve">Module wiring type, translation table, EOL</x:t>
  </x:si>
  <x:si>
    <x:t xml:space="preserve">Project specific data (deratefac_cp [0.1%])</x:t>
  </x:si>
  <x:si>
    <x:t xml:space="preserve">0x0000</x:t>
  </x:si>
  <x:si>
    <x:t xml:space="preserve">Voltage calibration analogous to the current status: measure module voltage, divide among cell clusters by serial count.</x:t>
  </x:si>
  <x:si>
    <x:t xml:space="preserve">Project specific data (deratefac_dcp [0.1%])</x:t>
  </x:si>
  <x:si>
    <x:t xml:space="preserve">Project specific data (SoH_modulelevel)</x:t>
  </x:si>
  <x:si>
    <x:t xml:space="preserve">IC type</x:t>
  </x:si>
  <x:si>
    <x:t xml:space="preserve">Dynamic Area 2</x:t>
  </x:si>
  <x:si>
    <x:t xml:space="preserve">LTC6811</x:t>
  </x:si>
  <x:si>
    <x:t xml:space="preserve">&lt;--- Controlled via PCB Type, which determines which LTC performs the current measurement</x:t>
  </x:si>
  <x:si>
    <x:t xml:space="preserve">LTC6812I-1, 3E050156</x:t>
  </x:si>
  <x:si>
    <x:t xml:space="preserve">LTC6813</x:t>
  </x:si>
  <x:si>
    <x:t xml:space="preserve">&lt;-- When current is drawn</x:t>
  </x:si>
  <x:si>
    <x:t xml:space="preserve">FFFFh = SNA</x:t>
  </x:si>
  <x:si>
    <x:t xml:space="preserve">If numeric values only; if in ASCII, 8 bits per character</x:t>
  </x:si>
  <x:si>
    <x:t xml:space="preserve">isoSPI Controller</x:t>
  </x:si>
  <x:si>
    <x:t xml:space="preserve">Locking recognition for 2nd life ID</x:t>
  </x:si>
  <x:si>
    <x:t xml:space="preserve">Number of LTCs per module</x:t>
  </x:si>
  <x:si>
    <x:t xml:space="preserve">Number of controllers per module</x:t>
  </x:si>
  <x:si>
    <x:t xml:space="preserve">0xFF</x:t>
  </x:si>
  <x:si>
    <x:t xml:space="preserve">Systems in the field before using the 2nd life area initialisation in OEL</x:t>
  </x:si>
  <x:si>
    <x:t xml:space="preserve">0xC3</x:t>
  </x:si>
  <x:si>
    <x:t xml:space="preserve">Pack SN was written in the 2nd life area at the end of the OEL test</x:t>
  </x:si>
  <x:si>
    <x:t xml:space="preserve">Temperature tbd</x:t>
  </x:si>
  <x:si>
    <x:t xml:space="preserve">32bit/ea</x:t>
  </x:si>
  <x:si>
    <x:t xml:space="preserve">&lt;--- Historically defined and evaluates only offset calibration; factor calibration was decided against and must be reviewed here again</x:t>
  </x:si>
  <x:si>
    <x:t xml:space="preserve">0x99</x:t>
  </x:si>
  <x:si>
    <x:t xml:space="preserve">2nd life ID was written</x:t>
  </x:si>
  <x:si>
    <x:t xml:space="preserve">Rest</x:t>
  </x:si>
  <x:si>
    <x:t xml:space="preserve">Invalid</x:t>
  </x:si>
  <x:si>
    <x:t xml:space="preserve">Rest of storage, due to the requirement that areas should start with a multiple of 16</x:t>
  </x:si>
  <x:si>
    <x:t xml:space="preserve">BMU_memory_layout</x:t>
  </x:si>
  <x:si>
    <x:t xml:space="preserve">Logic
Sector</x:t>
  </x:si>
  <x:si>
    <x:t xml:space="preserve">Phys. Sub-Sector</x:t>
  </x:si>
  <x:si>
    <x:t xml:space="preserve">Size KB</x:t>
  </x:si>
  <x:si>
    <x:t xml:space="preserve">Total Size KB</x:t>
  </x:si>
  <x:si>
    <x:t xml:space="preserve">Write Permission</x:t>
  </x:si>
  <x:si>
    <x:t xml:space="preserve">S0</x:t>
  </x:si>
  <x:si>
    <x:t xml:space="preserve">PS0 (512 KB)</x:t>
  </x:si>
  <x:si>
    <x:r>
      <x:t xml:space="preserve">00'0000</x:t>
    </x:r>
    <x:r>
      <x:rPr>
        <x:sz val="11"/>
        <x:color rgb="FFFF0000"/>
        <x:rFont val="Calibri"/>
        <x:family val="2"/>
        <x:scheme val="minor"/>
      </x:rPr>
      <x:t xml:space="preserve">H</x:t>
    </x:r>
  </x:si>
  <x:si>
    <x:r>
      <x:t xml:space="preserve">A000'0000</x:t>
    </x:r>
    <x:r>
      <x:rPr>
        <x:sz val="11"/>
        <x:color theme="0"/>
        <x:rFont val="Calibri"/>
        <x:family val="2"/>
        <x:scheme val="minor"/>
      </x:rPr>
      <x:t xml:space="preserve">H</x:t>
    </x:r>
    <x:r>
      <x:rPr>
        <x:sz val="11"/>
        <x:color theme="0"/>
        <x:rFont val="Calibri"/>
        <x:family val="2"/>
        <x:scheme val="minor"/>
      </x:rPr>
      <x:t xml:space="preserve"> - A000'001F</x:t>
    </x:r>
    <x:r>
      <x:rPr>
        <x:sz val="11"/>
        <x:color theme="0"/>
        <x:rFont val="Calibri"/>
        <x:family val="2"/>
        <x:scheme val="minor"/>
      </x:rPr>
      <x:t xml:space="preserve">H</x:t>
    </x:r>
    <x:r>
      <x:rPr>
        <x:sz val="11"/>
        <x:color theme="0"/>
        <x:rFont val="Calibri"/>
        <x:family val="2"/>
        <x:scheme val="minor"/>
      </x:rPr>
      <x:t xml:space="preserve">
reserved by boot mode header</x:t>
    </x:r>
  </x:si>
  <x:si>
    <x:t xml:space="preserve">Offset address in red colour are address containing boot mode header  </x:t>
  </x:si>
  <x:si>
    <x:t xml:space="preserve">Area not accessible by Bootloader</x:t>
  </x:si>
  <x:si>
    <x:r>
      <x:t xml:space="preserve">Address Range PF0 (A000 0000</x:t>
    </x:r>
    <x:r>
      <x:rPr>
        <x:b/>
        <x:sz val="11"/>
        <x:color theme="1"/>
        <x:rFont val="Calibri"/>
        <x:family val="2"/>
        <x:scheme val="minor"/>
      </x:rPr>
      <x:t xml:space="preserve">H</x:t>
    </x:r>
    <x:r>
      <x:rPr>
        <x:b/>
        <x:sz val="11"/>
        <x:color theme="1"/>
        <x:rFont val="Calibri"/>
        <x:family val="2"/>
        <x:scheme val="minor"/>
      </x:rPr>
      <x:t xml:space="preserve">)</x:t>
    </x:r>
  </x:si>
  <x:si>
    <x:t xml:space="preserve">AkaBoot
bootloader </x:t>
  </x:si>
  <x:si>
    <x:t xml:space="preserve">S1</x:t>
  </x:si>
  <x:si>
    <x:r>
      <x:t xml:space="preserve">00'4000</x:t>
    </x:r>
    <x:r>
      <x:rPr>
        <x:sz val="11"/>
        <x:color theme="1"/>
        <x:rFont val="Calibri"/>
        <x:family val="2"/>
        <x:scheme val="minor"/>
      </x:rPr>
      <x:t xml:space="preserve">H</x:t>
    </x:r>
  </x:si>
  <x:si>
    <x:t xml:space="preserve">S2</x:t>
  </x:si>
  <x:si>
    <x:r>
      <x:t xml:space="preserve">00'8000</x:t>
    </x:r>
    <x:r>
      <x:rPr>
        <x:sz val="11"/>
        <x:color theme="1"/>
        <x:rFont val="Calibri"/>
        <x:family val="2"/>
        <x:scheme val="minor"/>
      </x:rPr>
      <x:t xml:space="preserve">H</x:t>
    </x:r>
  </x:si>
  <x:si>
    <x:t xml:space="preserve">S3</x:t>
  </x:si>
  <x:si>
    <x:r>
      <x:t xml:space="preserve">00'C000</x:t>
    </x:r>
    <x:r>
      <x:rPr>
        <x:sz val="11"/>
        <x:color theme="1"/>
        <x:rFont val="Calibri"/>
        <x:family val="2"/>
        <x:scheme val="minor"/>
      </x:rPr>
      <x:t xml:space="preserve">H</x:t>
    </x:r>
  </x:si>
  <x:si>
    <x:t xml:space="preserve">S4</x:t>
  </x:si>
  <x:si>
    <x:r>
      <x:t xml:space="preserve">01'0000</x:t>
    </x:r>
    <x:r>
      <x:rPr>
        <x:sz val="11"/>
        <x:color theme="1"/>
        <x:rFont val="Calibri"/>
        <x:family val="2"/>
        <x:scheme val="minor"/>
      </x:rPr>
      <x:t xml:space="preserve">H</x:t>
    </x:r>
  </x:si>
  <x:si>
    <x:t xml:space="preserve">S5</x:t>
  </x:si>
  <x:si>
    <x:r>
      <x:t xml:space="preserve">01'4000</x:t>
    </x:r>
    <x:r>
      <x:rPr>
        <x:sz val="11"/>
        <x:color theme="1"/>
        <x:rFont val="Calibri"/>
        <x:family val="2"/>
        <x:scheme val="minor"/>
      </x:rPr>
      <x:t xml:space="preserve">H</x:t>
    </x:r>
  </x:si>
  <x:si>
    <x:t xml:space="preserve">PIB bootloader </x:t>
  </x:si>
  <x:si>
    <x:t xml:space="preserve">S6</x:t>
  </x:si>
  <x:si>
    <x:r>
      <x:t xml:space="preserve">01'8000</x:t>
    </x:r>
    <x:r>
      <x:rPr>
        <x:sz val="11"/>
        <x:color theme="1"/>
        <x:rFont val="Calibri"/>
        <x:family val="2"/>
        <x:scheme val="minor"/>
      </x:rPr>
      <x:t xml:space="preserve">H</x:t>
    </x:r>
  </x:si>
  <x:si>
    <x:r>
      <x:t xml:space="preserve">A001'8000</x:t>
    </x:r>
    <x:r>
      <x:rPr>
        <x:sz val="11"/>
        <x:color theme="1"/>
        <x:rFont val="Calibri"/>
        <x:family val="2"/>
        <x:scheme val="minor"/>
      </x:rPr>
      <x:t xml:space="preserve">H</x:t>
    </x:r>
    <x:r>
      <x:rPr>
        <x:sz val="11"/>
        <x:color indexed="8"/>
        <x:rFont val="Calibri"/>
        <x:family val="2"/>
      </x:rPr>
      <x:t xml:space="preserve"> - A001'BFFF</x:t>
    </x:r>
    <x:r>
      <x:rPr>
        <x:sz val="11"/>
        <x:color theme="1"/>
        <x:rFont val="Calibri"/>
        <x:family val="2"/>
        <x:scheme val="minor"/>
      </x:rPr>
      <x:t xml:space="preserve">H</x:t>
    </x:r>
    <x:r>
      <x:rPr>
        <x:sz val="11"/>
        <x:color indexed="8"/>
        <x:rFont val="Calibri"/>
        <x:family val="2"/>
      </x:rPr>
      <x:t xml:space="preserve">
PIB of the
main application</x:t>
    </x:r>
  </x:si>
  <x:si>
    <x:t xml:space="preserve">The PIB is part of the main application hex file and will be flashed together with it </x:t>
  </x:si>
  <x:si>
    <x:t xml:space="preserve">Writable area by  bootloader</x:t>
  </x:si>
  <x:si>
    <x:t xml:space="preserve">S7</x:t>
  </x:si>
  <x:si>
    <x:r>
      <x:t xml:space="preserve">01'C000</x:t>
    </x:r>
    <x:r>
      <x:rPr>
        <x:sz val="11"/>
        <x:color theme="1"/>
        <x:rFont val="Calibri"/>
        <x:family val="2"/>
        <x:scheme val="minor"/>
      </x:rPr>
      <x:t xml:space="preserve">H</x:t>
    </x:r>
  </x:si>
  <x:si>
    <x:t xml:space="preserve">HIB BMU board with serial numbers</x:t>
  </x:si>
  <x:si>
    <x:t xml:space="preserve">Read-only area</x:t>
  </x:si>
  <x:si>
    <x:t xml:space="preserve">Only writable with special right</x:t>
  </x:si>
  <x:si>
    <x:t xml:space="preserve">S8</x:t>
  </x:si>
  <x:si>
    <x:r>
      <x:rPr>
        <x:sz val="11"/>
        <x:color rgb="FFFF0000"/>
        <x:rFont val="Calibri"/>
        <x:family val="2"/>
        <x:scheme val="minor"/>
      </x:rPr>
      <x:t xml:space="preserve">02'0000</x:t>
    </x:r>
    <x:r>
      <x:rPr>
        <x:sz val="11"/>
        <x:color rgb="FFFF0000"/>
        <x:rFont val="Calibri"/>
        <x:family val="2"/>
        <x:scheme val="minor"/>
      </x:rPr>
      <x:t xml:space="preserve">H</x:t>
    </x:r>
  </x:si>
  <x:si>
    <x:r>
      <x:t xml:space="preserve">A002'0000</x:t>
    </x:r>
    <x:r>
      <x:rPr>
        <x:sz val="11"/>
        <x:color theme="0"/>
        <x:rFont val="Calibri"/>
        <x:family val="2"/>
        <x:scheme val="minor"/>
      </x:rPr>
      <x:t xml:space="preserve">H</x:t>
    </x:r>
    <x:r>
      <x:rPr>
        <x:sz val="11"/>
        <x:color theme="0"/>
        <x:rFont val="Calibri"/>
        <x:family val="2"/>
        <x:scheme val="minor"/>
      </x:rPr>
      <x:t xml:space="preserve"> - A002'001F</x:t>
    </x:r>
    <x:r>
      <x:rPr>
        <x:sz val="11"/>
        <x:color theme="0"/>
        <x:rFont val="Calibri"/>
        <x:family val="2"/>
        <x:scheme val="minor"/>
      </x:rPr>
      <x:t xml:space="preserve">H</x:t>
    </x:r>
    <x:r>
      <x:rPr>
        <x:sz val="11"/>
        <x:color theme="0"/>
        <x:rFont val="Calibri"/>
        <x:family val="2"/>
        <x:scheme val="minor"/>
      </x:rPr>
      <x:t xml:space="preserve">
reserved by boot mode header</x:t>
    </x:r>
  </x:si>
  <x:si>
    <x:t xml:space="preserve">The boot mode header must be set to zero to prevent the application launch from this boot mode header.</x:t>
  </x:si>
  <x:si>
    <x:t xml:space="preserve">S9</x:t>
  </x:si>
  <x:si>
    <x:r>
      <x:t xml:space="preserve">02'8000</x:t>
    </x:r>
    <x:r>
      <x:rPr>
        <x:sz val="11"/>
        <x:color theme="1"/>
        <x:rFont val="Calibri"/>
        <x:family val="2"/>
        <x:scheme val="minor"/>
      </x:rPr>
      <x:t xml:space="preserve">H</x:t>
    </x:r>
  </x:si>
  <x:si>
    <x:t xml:space="preserve">A002'1000H - A01C'FFFFH
main
application</x:t>
  </x:si>
  <x:si>
    <x:t xml:space="preserve">Application withe
PXROS + Task Framework
and
SCU + BMS-Master</x:t>
  </x:si>
  <x:si>
    <x:t xml:space="preserve">S10</x:t>
  </x:si>
  <x:si>
    <x:r>
      <x:t xml:space="preserve">03'0000</x:t>
    </x:r>
    <x:r>
      <x:rPr>
        <x:sz val="11"/>
        <x:rFont val="Calibri"/>
        <x:family val="2"/>
        <x:scheme val="minor"/>
      </x:rPr>
      <x:t xml:space="preserve">H</x:t>
    </x:r>
  </x:si>
  <x:si>
    <x:t xml:space="preserve">S11</x:t>
  </x:si>
  <x:si>
    <x:r>
      <x:t xml:space="preserve">03'8000</x:t>
    </x:r>
    <x:r>
      <x:rPr>
        <x:sz val="11"/>
        <x:color theme="1"/>
        <x:rFont val="Calibri"/>
        <x:family val="2"/>
        <x:scheme val="minor"/>
      </x:rPr>
      <x:t xml:space="preserve">H</x:t>
    </x:r>
  </x:si>
  <x:si>
    <x:t xml:space="preserve">S12</x:t>
  </x:si>
  <x:si>
    <x:r>
      <x:t xml:space="preserve">04'0000</x:t>
    </x:r>
    <x:r>
      <x:rPr>
        <x:sz val="11"/>
        <x:color theme="1"/>
        <x:rFont val="Calibri"/>
        <x:family val="2"/>
        <x:scheme val="minor"/>
      </x:rPr>
      <x:t xml:space="preserve">H</x:t>
    </x:r>
  </x:si>
  <x:si>
    <x:t xml:space="preserve">S13</x:t>
  </x:si>
  <x:si>
    <x:r>
      <x:t xml:space="preserve">04'8000</x:t>
    </x:r>
    <x:r>
      <x:rPr>
        <x:sz val="11"/>
        <x:color theme="1"/>
        <x:rFont val="Calibri"/>
        <x:family val="2"/>
        <x:scheme val="minor"/>
      </x:rPr>
      <x:t xml:space="preserve">H</x:t>
    </x:r>
  </x:si>
  <x:si>
    <x:t xml:space="preserve">S14</x:t>
  </x:si>
  <x:si>
    <x:r>
      <x:t xml:space="preserve">05'0000</x:t>
    </x:r>
    <x:r>
      <x:rPr>
        <x:sz val="11"/>
        <x:color theme="1"/>
        <x:rFont val="Calibri"/>
        <x:family val="2"/>
        <x:scheme val="minor"/>
      </x:rPr>
      <x:t xml:space="preserve">H</x:t>
    </x:r>
  </x:si>
  <x:si>
    <x:t xml:space="preserve">S15</x:t>
  </x:si>
  <x:si>
    <x:r>
      <x:t xml:space="preserve">05'8000</x:t>
    </x:r>
    <x:r>
      <x:rPr>
        <x:sz val="11"/>
        <x:color theme="1"/>
        <x:rFont val="Calibri"/>
        <x:family val="2"/>
        <x:scheme val="minor"/>
      </x:rPr>
      <x:t xml:space="preserve">H</x:t>
    </x:r>
  </x:si>
  <x:si>
    <x:t xml:space="preserve">S16</x:t>
  </x:si>
  <x:si>
    <x:r>
      <x:t xml:space="preserve">06'0000</x:t>
    </x:r>
    <x:r>
      <x:rPr>
        <x:sz val="11"/>
        <x:color theme="1"/>
        <x:rFont val="Calibri"/>
        <x:family val="2"/>
        <x:scheme val="minor"/>
      </x:rPr>
      <x:t xml:space="preserve">H</x:t>
    </x:r>
  </x:si>
  <x:si>
    <x:t xml:space="preserve">S17</x:t>
  </x:si>
  <x:si>
    <x:r>
      <x:t xml:space="preserve">07'0000</x:t>
    </x:r>
    <x:r>
      <x:rPr>
        <x:sz val="11"/>
        <x:color theme="1"/>
        <x:rFont val="Calibri"/>
        <x:family val="2"/>
        <x:scheme val="minor"/>
      </x:rPr>
      <x:t xml:space="preserve">H</x:t>
    </x:r>
  </x:si>
  <x:si>
    <x:t xml:space="preserve">S18</x:t>
  </x:si>
  <x:si>
    <x:t xml:space="preserve">PS1 (512 KB)</x:t>
  </x:si>
  <x:si>
    <x:r>
      <x:t xml:space="preserve">08'0000</x:t>
    </x:r>
    <x:r>
      <x:rPr>
        <x:sz val="11"/>
        <x:color theme="1"/>
        <x:rFont val="Calibri"/>
        <x:family val="2"/>
        <x:scheme val="minor"/>
      </x:rPr>
      <x:t xml:space="preserve">H</x:t>
    </x:r>
  </x:si>
  <x:si>
    <x:t xml:space="preserve">S19</x:t>
  </x:si>
  <x:si>
    <x:r>
      <x:t xml:space="preserve">09'0000</x:t>
    </x:r>
    <x:r>
      <x:rPr>
        <x:sz val="11"/>
        <x:color theme="1"/>
        <x:rFont val="Calibri"/>
        <x:family val="2"/>
        <x:scheme val="minor"/>
      </x:rPr>
      <x:t xml:space="preserve">H</x:t>
    </x:r>
  </x:si>
  <x:si>
    <x:t xml:space="preserve">S20</x:t>
  </x:si>
  <x:si>
    <x:r>
      <x:t xml:space="preserve">0A'0000</x:t>
    </x:r>
    <x:r>
      <x:rPr>
        <x:sz val="11"/>
        <x:color theme="1"/>
        <x:rFont val="Calibri"/>
        <x:family val="2"/>
        <x:scheme val="minor"/>
      </x:rPr>
      <x:t xml:space="preserve">H</x:t>
    </x:r>
  </x:si>
  <x:si>
    <x:t xml:space="preserve">S21</x:t>
  </x:si>
  <x:si>
    <x:r>
      <x:t xml:space="preserve">0C'0000</x:t>
    </x:r>
    <x:r>
      <x:rPr>
        <x:sz val="11"/>
        <x:color theme="1"/>
        <x:rFont val="Calibri"/>
        <x:family val="2"/>
        <x:scheme val="minor"/>
      </x:rPr>
      <x:t xml:space="preserve">H</x:t>
    </x:r>
  </x:si>
  <x:si>
    <x:t xml:space="preserve">S22</x:t>
  </x:si>
  <x:si>
    <x:r>
      <x:t xml:space="preserve">0E'0000</x:t>
    </x:r>
    <x:r>
      <x:rPr>
        <x:sz val="11"/>
        <x:color theme="1"/>
        <x:rFont val="Calibri"/>
        <x:family val="2"/>
        <x:scheme val="minor"/>
      </x:rPr>
      <x:t xml:space="preserve">H</x:t>
    </x:r>
  </x:si>
  <x:si>
    <x:t xml:space="preserve">S23</x:t>
  </x:si>
  <x:si>
    <x:t xml:space="preserve">PS2 (512 KB)</x:t>
  </x:si>
  <x:si>
    <x:r>
      <x:t xml:space="preserve">10'0000</x:t>
    </x:r>
    <x:r>
      <x:rPr>
        <x:sz val="11"/>
        <x:color theme="1"/>
        <x:rFont val="Calibri"/>
        <x:family val="2"/>
        <x:scheme val="minor"/>
      </x:rPr>
      <x:t xml:space="preserve">H</x:t>
    </x:r>
  </x:si>
  <x:si>
    <x:t xml:space="preserve">S24</x:t>
  </x:si>
  <x:si>
    <x:r>
      <x:t xml:space="preserve">14'0000</x:t>
    </x:r>
    <x:r>
      <x:rPr>
        <x:sz val="11"/>
        <x:color theme="1"/>
        <x:rFont val="Calibri"/>
        <x:family val="2"/>
        <x:scheme val="minor"/>
      </x:rPr>
      <x:t xml:space="preserve">H</x:t>
    </x:r>
  </x:si>
  <x:si>
    <x:t xml:space="preserve">S25</x:t>
  </x:si>
  <x:si>
    <x:t xml:space="preserve">PS3 (512 KB)</x:t>
  </x:si>
  <x:si>
    <x:r>
      <x:t xml:space="preserve">18'0000</x:t>
    </x:r>
    <x:r>
      <x:rPr>
        <x:sz val="11"/>
        <x:color theme="1"/>
        <x:rFont val="Calibri"/>
        <x:family val="2"/>
        <x:scheme val="minor"/>
      </x:rPr>
      <x:t xml:space="preserve">H</x:t>
    </x:r>
  </x:si>
  <x:si>
    <x:t xml:space="preserve">S26</x:t>
  </x:si>
  <x:si>
    <x:r>
      <x:t xml:space="preserve">1C'0000</x:t>
    </x:r>
    <x:r>
      <x:rPr>
        <x:sz val="11"/>
        <x:color theme="1"/>
        <x:rFont val="Calibri"/>
        <x:family val="2"/>
        <x:scheme val="minor"/>
      </x:rPr>
      <x:t xml:space="preserve">H</x:t>
    </x:r>
  </x:si>
  <x:si>
    <x:r>
      <x:t xml:space="preserve">00'0000</x:t>
    </x:r>
    <x:r>
      <x:rPr>
        <x:sz val="11"/>
        <x:color theme="1"/>
        <x:rFont val="Calibri"/>
        <x:family val="2"/>
        <x:scheme val="minor"/>
      </x:rPr>
      <x:t xml:space="preserve">H</x:t>
    </x:r>
  </x:si>
  <x:si>
    <x:t xml:space="preserve">PIB configuration</x:t>
  </x:si>
  <x:si>
    <x:r>
      <x:t xml:space="preserve">Address Range PF1 (A020 0000</x:t>
    </x:r>
    <x:r>
      <x:rPr>
        <x:b/>
        <x:sz val="11"/>
        <x:color theme="1"/>
        <x:rFont val="Calibri"/>
        <x:family val="2"/>
        <x:scheme val="minor"/>
      </x:rPr>
      <x:t xml:space="preserve">H</x:t>
    </x:r>
    <x:r>
      <x:rPr>
        <x:b/>
        <x:sz val="11"/>
        <x:color theme="1"/>
        <x:rFont val="Calibri"/>
        <x:family val="2"/>
        <x:scheme val="minor"/>
      </x:rPr>
      <x:t xml:space="preserve">)</x:t>
    </x:r>
  </x:si>
  <x:si>
    <x:t xml:space="preserve">Configuration data</x:t>
  </x:si>
  <x:si>
    <x:t xml:space="preserve">free</x:t>
  </x:si>
  <x:si>
    <x:r>
      <x:t xml:space="preserve">02'0000</x:t>
    </x:r>
    <x:r>
      <x:rPr>
        <x:sz val="11"/>
        <x:color theme="1"/>
        <x:rFont val="Calibri"/>
        <x:family val="2"/>
        <x:scheme val="minor"/>
      </x:rPr>
      <x:t xml:space="preserve">H</x:t>
    </x:r>
  </x:si>
  <x:si>
    <x:t xml:space="preserve">isoSPI Error Flags</x:t>
  </x:si>
  <x:si>
    <x:t xml:space="preserve">  BMU_ISOSPI_Error_None</x:t>
  </x:si>
  <x:si>
    <x:t xml:space="preserve">  BMU_ISOSPI_Error_Bad_CRC</x:t>
  </x:si>
  <x:si>
    <x:t xml:space="preserve">  BMU_ISOSPI_Error_Timeout </x:t>
  </x:si>
  <x:si>
    <x:t xml:space="preserve">  BMU_ISOSPI_Error_Cv_Regs_Not_Cleared</x:t>
  </x:si>
  <x:si>
    <x:t xml:space="preserve">  BMU_ISOSPI_Error_Aux_Regs_Not_Cleared</x:t>
  </x:si>
  <x:si>
    <x:t xml:space="preserve">  BMU_ISOSPI_Error_Stat_Regs_Not_Cleared</x:t>
  </x:si>
  <x:si>
    <x:t xml:space="preserve">  BMU_ISOSPI_Error_Init_Fail</x:t>
  </x:si>
  <x:si>
    <x:t xml:space="preserve">  BMU_ISOSPI_Error_Cell_Regs_Check_Fail</x:t>
  </x:si>
  <x:si>
    <x:t xml:space="preserve">  BMU_ISOSPI_Error_Aux_Regs_Check_Fail</x:t>
  </x:si>
  <x:si>
    <x:t xml:space="preserve">  BMU_ISOSPI_Error_Stat_Regs_Check_Fail</x:t>
  </x:si>
  <x:si>
    <x:t xml:space="preserve">  BMU_ISOSPI_Error_Verify_Clear_Command_Fail</x:t>
  </x:si>
  <x:si>
    <x:t xml:space="preserve">  BMU_ISOSPI_Error_Digital_Redundancy_Fail</x:t>
  </x:si>
  <x:si>
    <x:t xml:space="preserve">  BMU_ISOSPI_I2C_Communication_Fail</x:t>
  </x:si>
  <x:si>
    <x:t xml:space="preserve">  BMU_ISOSPI_Error_Too_many_Modules</x:t>
  </x:si>
  <x:si>
    <x:t xml:space="preserve">  BMU_ISOSPI_Error_I_Sensor_Calibration</x:t>
  </x:si>
  <x:si>
    <x:t xml:space="preserve">name</x:t>
  </x:si>
  <x:si>
    <x:t xml:space="preserve">start bit</x:t>
  </x:si>
  <x:si>
    <x:t xml:space="preserve">function/is set when…</x:t>
  </x:si>
  <x:si>
    <x:t xml:space="preserve">consequence</x:t>
  </x:si>
  <x:si>
    <x:t xml:space="preserve">set</x:t>
  </x:si>
  <x:si>
    <x:t xml:space="preserve">reset</x:t>
  </x:si>
  <x:si>
    <x:t xml:space="preserve">badCRC_IC1</x:t>
  </x:si>
  <x:si>
    <x:t xml:space="preserve">CRC and data read from IC1 doesn't match</x:t>
  </x:si>
  <x:si>
    <x:t xml:space="preserve">erroneous data contains 0xFFEF </x:t>
  </x:si>
  <x:si>
    <x:t xml:space="preserve">x</x:t>
  </x:si>
  <x:si>
    <x:t xml:space="preserve">Start get measured values</x:t>
  </x:si>
  <x:si>
    <x:t xml:space="preserve">badCRC_IC2</x:t>
  </x:si>
  <x:si>
    <x:t xml:space="preserve">CRC and data read from IC2 doesn't match</x:t>
  </x:si>
  <x:si>
    <x:t xml:space="preserve">badCRC_IC3</x:t>
  </x:si>
  <x:si>
    <x:t xml:space="preserve">CRC and data read from IC3 doesn't match</x:t>
  </x:si>
  <x:si>
    <x:t xml:space="preserve">badCRC_IC4</x:t>
  </x:si>
  <x:si>
    <x:t xml:space="preserve">CRC and data read from IC4 doesn't match</x:t>
  </x:si>
  <x:si>
    <x:t xml:space="preserve">timeout</x:t>
  </x:si>
  <x:si>
    <x:t xml:space="preserve">ADC polling timeout</x:t>
  </x:si>
  <x:si>
    <x:t xml:space="preserve">no data or there might more module in chain than configured</x:t>
  </x:si>
  <x:si>
    <x:t xml:space="preserve">complSafAreaCRCErr</x:t>
  </x:si>
  <x:si>
    <x:t xml:space="preserve">both EEPROM safety area A and B contain a bad CRC</x:t>
  </x:si>
  <x:si>
    <x:t xml:space="preserve">ERROR, stop sending EEPROM write requests, EEPROM data  sent is corrupted</x:t>
  </x:si>
  <x:si>
    <x:t xml:space="preserve">retry initial EEPROM read</x:t>
  </x:si>
  <x:si>
    <x:t xml:space="preserve">complStatAreaCRCErr</x:t>
  </x:si>
  <x:si>
    <x:t xml:space="preserve">both EEPROM static A and B contain a bad CRC</x:t>
  </x:si>
  <x:si>
    <x:t xml:space="preserve">complDynAreaCRCErr</x:t>
  </x:si>
  <x:si>
    <x:t xml:space="preserve">both EEPROM dynamic area A and B contain a bad CRC</x:t>
  </x:si>
  <x:si>
    <x:t xml:space="preserve">ERROR, but limp-home possible, stop sending EEPROM write requests, EEPROM data  sent is corrupted</x:t>
  </x:si>
  <x:si>
    <x:t xml:space="preserve">initFail</x:t>
  </x:si>
  <x:si>
    <x:t xml:space="preserve">isoSPI module was not successfully initialised</x:t>
  </x:si>
  <x:si>
    <x:t xml:space="preserve">singleSafAreaCRCErr</x:t>
  </x:si>
  <x:si>
    <x:t xml:space="preserve">one of safety areas is corrupted</x:t>
  </x:si>
  <x:si>
    <x:t xml:space="preserve">WARNING</x:t>
  </x:si>
  <x:si>
    <x:t xml:space="preserve">singleStatAreaCRCErr</x:t>
  </x:si>
  <x:si>
    <x:t xml:space="preserve">one of static areas is corrupted</x:t>
  </x:si>
  <x:si>
    <x:t xml:space="preserve">singleDynAreaCRCErr</x:t>
  </x:si>
  <x:si>
    <x:t xml:space="preserve">one of dynamic areas is corrupted</x:t>
  </x:si>
  <x:si>
    <x:t xml:space="preserve">after writing??
retry initial EEPROM read</x:t>
  </x:si>
  <x:si>
    <x:t xml:space="preserve">safAreaMismatch</x:t>
  </x:si>
  <x:si>
    <x:t xml:space="preserve">EEPROM (duplicated) safety area content doesn't match even though both have a correct CRC</x:t>
  </x:si>
  <x:si>
    <x:t xml:space="preserve">WARNING </x:t>
  </x:si>
  <x:si>
    <x:t xml:space="preserve">statAreaMismatch</x:t>
  </x:si>
  <x:si>
    <x:t xml:space="preserve">EEPROM (duplicated) static area content doesn't match even though both have a correct CRC</x:t>
  </x:si>
  <x:si>
    <x:t xml:space="preserve">EEPROM safety area A (ID page) is not locked</x:t>
  </x:si>
  <x:si>
    <x:t xml:space="preserve">if locked at next check
retry initial EEPROM read</x:t>
  </x:si>
  <x:si>
    <x:t xml:space="preserve">I2CCommunicationFail</x:t>
  </x:si>
  <x:si>
    <x:t xml:space="preserve">error in the I2C communication to the EEPROM (might occur in combination with badCRC-error)</x:t>
  </x:si>
  <x:si>
    <x:t xml:space="preserve">data was not read/written</x:t>
  </x:si>
  <x:si>
    <x:t xml:space="preserve">Start write Safety Area
Start write Static Area
Start write Dynamic Area
retry initial EEPROM read</x:t>
  </x:si>
  <x:si>
    <x:t xml:space="preserve">EEPROMReadFail</x:t>
  </x:si>
  <x:si>
    <x:t xml:space="preserve">error occurs while reading the whole EEPROM for init</x:t>
  </x:si>
  <x:si>
    <x:t xml:space="preserve">ERROR, issue retry</x:t>
  </x:si>
  <x:si>
    <x:t xml:space="preserve">IDPageStatusReadFail</x:t>
  </x:si>
  <x:si>
    <x:t xml:space="preserve">error occurs while reading status of EEPROM ID page (locked/unlocked)</x:t>
  </x:si>
  <x:si>
    <x:t xml:space="preserve">ERROR, issue retry?</x:t>
  </x:si>
  <x:si>
    <x:t xml:space="preserve">Start read ID Page status</x:t>
  </x:si>
  <x:si>
    <x:t xml:space="preserve">SafAreaWriteFail</x:t>
  </x:si>
  <x:si>
    <x:t xml:space="preserve">error occures while writing safety area</x:t>
  </x:si>
  <x:si>
    <x:t xml:space="preserve">Start write Safety Area</x:t>
  </x:si>
  <x:si>
    <x:t xml:space="preserve">StatAreaWriteFail</x:t>
  </x:si>
  <x:si>
    <x:t xml:space="preserve">error occures while writing static area</x:t>
  </x:si>
  <x:si>
    <x:t xml:space="preserve">Start write Static Area</x:t>
  </x:si>
  <x:si>
    <x:t xml:space="preserve">DynAreaWriteFail</x:t>
  </x:si>
  <x:si>
    <x:t xml:space="preserve">error occures while writing dynamic area</x:t>
  </x:si>
  <x:si>
    <x:t xml:space="preserve">Start write DynArea</x:t>
  </x:si>
  <x:si>
    <x:t xml:space="preserve">SafAreaReadFail</x:t>
  </x:si>
  <x:si>
    <x:t xml:space="preserve">error occures while reading safety area after writing safety area</x:t>
  </x:si>
  <x:si>
    <x:t xml:space="preserve">Start write Safety Area
retry initial EEPROM read</x:t>
  </x:si>
  <x:si>
    <x:t xml:space="preserve">StatAreaReadFail</x:t>
  </x:si>
  <x:si>
    <x:t xml:space="preserve">error occures while reading static area after writing static area</x:t>
  </x:si>
  <x:si>
    <x:t xml:space="preserve">DynAreaReadFail</x:t>
  </x:si>
  <x:si>
    <x:t xml:space="preserve">error occures while reading dynamic area after writing dynamic area</x:t>
  </x:si>
  <x:si>
    <x:t xml:space="preserve">VerifySafWriteFail</x:t>
  </x:si>
  <x:si>
    <x:t xml:space="preserve">data written to and afterwards read from safety areas doesn't match</x:t>
  </x:si>
  <x:si>
    <x:t xml:space="preserve">VerifyStatWriteFail</x:t>
  </x:si>
  <x:si>
    <x:t xml:space="preserve">data written to and afterwards read from static areas doesn't match</x:t>
  </x:si>
  <x:si>
    <x:t xml:space="preserve">VerifyDynWriteFail</x:t>
  </x:si>
  <x:si>
    <x:t xml:space="preserve">data written to and afterwards read from dynamic areas doesn't match</x:t>
  </x:si>
</x:sst>
</file>

<file path=xl/styles.xml><?xml version="1.0" encoding="utf-8"?>
<x:styleSheet xmlns:x="http://schemas.openxmlformats.org/spreadsheetml/2006/main">
  <x:numFmts count="6">
    <x:numFmt numFmtId="164" formatCode="_([$€-2]* #,##0.00_);_([$€-2]* \(#,##0.00\);_([$€-2]* &quot;-&quot;??_)"/>
    <x:numFmt numFmtId="165" formatCode="#,##0\ .0;\(#,##0.0\)"/>
    <x:numFmt numFmtId="166" formatCode="#,##0\ .00;\(#,##0.00\)"/>
    <x:numFmt numFmtId="167" formatCode="0.0%"/>
    <x:numFmt numFmtId="168" formatCode="_-* #,##0.00\ &quot;DM&quot;_-;\-* #,##0.00\ &quot;DM&quot;_-;_-* &quot;-&quot;??\ &quot;DM&quot;_-;_-@_-"/>
    <x:numFmt numFmtId="169" formatCode="0\ &quot;Bit&quot;"/>
  </x:numFmts>
  <x:fonts count="64">
    <x:font>
      <x:sz val="11"/>
      <x:color indexed="8"/>
      <x:name val="Calibri"/>
    </x:font>
    <x:font>
      <x:sz val="11"/>
      <x:color theme="1"/>
      <x:name val="Calibri"/>
    </x:font>
    <x:font>
      <x:sz val="11"/>
      <x:color theme="1"/>
      <x:name val="Calibri"/>
    </x:font>
    <x:font>
      <x:sz val="11"/>
      <x:color theme="1"/>
      <x:name val="Calibri"/>
    </x:font>
    <x:font>
      <x:sz val="11"/>
      <x:color theme="1"/>
      <x:name val="Calibri"/>
    </x:font>
    <x:font>
      <x:sz val="11"/>
      <x:name val="Calibri"/>
    </x:font>
    <x:font>
      <x:sz val="10"/>
      <x:name val="Arial"/>
    </x:font>
    <x:font>
      <x:sz val="16"/>
      <x:name val="Arial Black"/>
    </x:font>
    <x:font>
      <x:b/>
      <x:sz val="16"/>
      <x:name val="Arial"/>
    </x:font>
    <x:font>
      <x:sz val="11"/>
      <x:color rgb="0F0498"/>
      <x:name val="Arial"/>
    </x:font>
    <x:font>
      <x:b/>
      <x:sz val="11"/>
      <x:name val="Arial"/>
    </x:font>
    <x:font>
      <x:sz val="9"/>
      <x:name val="Arial"/>
    </x:font>
    <x:font>
      <x:b/>
      <x:sz val="9"/>
      <x:name val="Arial"/>
    </x:font>
    <x:font>
      <x:sz val="9"/>
      <x:color indexed="8"/>
      <x:name val="Calibri"/>
    </x:font>
    <x:font>
      <x:b/>
      <x:sz val="10"/>
      <x:name val="Arial"/>
    </x:font>
    <x:font>
      <x:sz val="9"/>
      <x:color theme="10"/>
      <x:name val="Calibri"/>
    </x:font>
    <x:font>
      <x:sz val="12"/>
      <x:color indexed="8"/>
      <x:name val="Arial"/>
    </x:font>
    <x:font>
      <x:sz val="14"/>
      <x:color indexed="8"/>
      <x:name val="Arial"/>
    </x:font>
    <x:font>
      <x:b/>
      <x:sz val="12"/>
      <x:name val="Helv"/>
    </x:font>
    <x:font>
      <x:sz val="12"/>
      <x:name val="Helv"/>
    </x:font>
    <x:font>
      <x:sz val="8"/>
      <x:name val="Arial"/>
    </x:font>
    <x:font>
      <x:b/>
      <x:sz val="12"/>
      <x:name val="Arial"/>
    </x:font>
    <x:font>
      <x:sz val="11"/>
      <x:color theme="10"/>
      <x:name val="Calibri"/>
    </x:font>
    <x:font>
      <x:sz val="10"/>
      <x:name val="Times New Roman"/>
    </x:font>
    <x:font>
      <x:sz val="12"/>
      <x:name val="Arial"/>
    </x:font>
    <x:font>
      <x:sz val="10"/>
      <x:color theme="1"/>
      <x:name val="Arial"/>
    </x:font>
    <x:font>
      <x:sz val="11"/>
      <x:name val="ＭＳ Ｐゴシック"/>
    </x:font>
    <x:font>
      <x:sz val="11"/>
      <x:color rgb="006100"/>
      <x:name val="Calibri"/>
    </x:font>
    <x:font>
      <x:b/>
      <x:sz val="11"/>
      <x:color theme="0"/>
      <x:name val="Calibri"/>
    </x:font>
    <x:font>
      <x:b/>
      <x:sz val="7"/>
      <x:name val="Arial"/>
    </x:font>
    <x:font>
      <x:sz val="11"/>
      <x:color indexed="8"/>
      <x:name val="Calibri"/>
    </x:font>
    <x:font>
      <x:sz val="6"/>
      <x:name val="Arial"/>
    </x:font>
    <x:font>
      <x:sz val="10"/>
      <x:color indexed="8"/>
      <x:name val="Arial"/>
    </x:font>
    <x:font>
      <x:b/>
      <x:sz val="11"/>
      <x:color indexed="8"/>
      <x:name val="Calibri"/>
    </x:font>
    <x:font>
      <x:i/>
      <x:sz val="11"/>
      <x:name val="Arial"/>
    </x:font>
    <x:font>
      <x:sz val="11"/>
      <x:color rgb="FF0000"/>
      <x:name val="Calibri"/>
    </x:font>
    <x:font>
      <x:b/>
      <x:sz val="11"/>
      <x:color theme="1"/>
      <x:name val="Calibri"/>
    </x:font>
    <x:font>
      <x:sz val="11"/>
      <x:color theme="0"/>
      <x:name val="Calibri"/>
    </x:font>
    <x:font>
      <x:sz val="11"/>
      <x:name val="Calibri"/>
    </x:font>
    <x:font>
      <x:sz val="11"/>
      <x:color rgb="FF0000"/>
      <x:name val="Calibri"/>
    </x:font>
    <x:font>
      <x:b/>
      <x:sz val="11"/>
      <x:color theme="1"/>
      <x:name val="Calibri"/>
    </x:font>
    <x:font>
      <x:sz val="11"/>
      <x:color theme="1"/>
      <x:name val="Calibri"/>
    </x:font>
    <x:font>
      <x:sz val="11"/>
      <x:color theme="0"/>
      <x:name val="Calibri"/>
    </x:font>
    <x:font>
      <x:sz val="11"/>
      <x:name val="Calibri"/>
    </x:font>
    <x:font>
      <x:sz val="10"/>
      <x:color rgb="FF0000"/>
      <x:name val="Arial"/>
    </x:font>
    <x:font>
      <x:sz val="8"/>
      <x:name val="Calibri"/>
    </x:font>
    <x:font>
      <x:sz val="10"/>
      <x:color theme="10"/>
      <x:name val="Arial"/>
    </x:font>
    <x:font>
      <x:b/>
      <x:sz val="14"/>
      <x:color indexed="8"/>
      <x:name val="Calibri"/>
    </x:font>
    <x:font>
      <x:i/>
      <x:sz val="10"/>
      <x:name val="Arial"/>
    </x:font>
    <x:font>
      <x:i/>
      <x:sz val="10"/>
      <x:color theme="10"/>
      <x:name val="Arial"/>
    </x:font>
    <x:font>
      <x:b/>
      <x:sz val="12"/>
      <x:color rgb="000000"/>
      <x:name val="Calibri"/>
    </x:font>
    <x:font>
      <x:b/>
      <x:sz val="11"/>
      <x:color rgb="000000"/>
      <x:name val="Calibri"/>
    </x:font>
    <x:font>
      <x:b/>
      <x:sz val="9"/>
      <x:color theme="10"/>
      <x:name val="Calibri"/>
    </x:font>
    <x:font>
      <x:sz val="10"/>
      <x:name val="Arial"/>
    </x:font>
    <x:font>
      <x:sz val="10"/>
      <x:color theme="10"/>
      <x:name val="Arial"/>
    </x:font>
    <x:font>
      <x:i/>
      <x:sz val="10"/>
      <x:color theme="10"/>
      <x:name val="Arial"/>
    </x:font>
    <x:font>
      <x:sz val="10"/>
      <x:name val="Arial"/>
    </x:font>
    <x:font>
      <x:sz val="10"/>
      <x:name val="Arial"/>
    </x:font>
    <x:font>
      <x:sz val="10"/>
      <x:color rgb="FF0000"/>
      <x:name val="Arial"/>
    </x:font>
    <x:font>
      <x:sz val="11"/>
      <x:color indexed="8"/>
      <x:name val="Cambria"/>
    </x:font>
    <x:font>
      <x:sz val="10"/>
      <x:name val="Cambria"/>
    </x:font>
    <x:font>
      <x:sz val="9"/>
      <x:color theme="10"/>
      <x:name val="Calibri"/>
    </x:font>
    <x:font>
      <x:sz val="11"/>
      <x:color rgb="000000"/>
      <x:name val="Calibri"/>
    </x:font>
    <x:font>
      <x:i/>
      <x:sz val="10"/>
      <x:name val="Arial"/>
    </x:font>
  </x:fonts>
  <x:fills count="27">
    <x:fill>
      <x:patternFill patternType="none"/>
    </x:fill>
    <x:fill>
      <x:patternFill patternType="gray125"/>
    </x:fill>
    <x:fill>
      <x:patternFill patternType="solid">
        <x:fgColor theme="0"/>
      </x:patternFill>
    </x:fill>
    <x:fill>
      <x:patternFill patternType="solid">
        <x:fgColor theme="0" tint="-0.24998"/>
      </x:patternFill>
    </x:fill>
    <x:fill>
      <x:patternFill patternType="solid">
        <x:fgColor theme="0" tint="-0.15"/>
      </x:patternFill>
    </x:fill>
    <x:fill>
      <x:patternFill patternType="solid">
        <x:fgColor indexed="22"/>
      </x:patternFill>
    </x:fill>
    <x:fill>
      <x:patternFill patternType="solid">
        <x:fgColor indexed="26"/>
      </x:patternFill>
    </x:fill>
    <x:fill>
      <x:patternFill patternType="solid">
        <x:fgColor rgb="C6EFCE"/>
      </x:patternFill>
    </x:fill>
    <x:fill>
      <x:patternFill patternType="solid">
        <x:fgColor rgb="A5A5A5"/>
      </x:patternFill>
    </x:fill>
    <x:fill>
      <x:patternFill patternType="solid">
        <x:fgColor rgb="FFFF00"/>
      </x:patternFill>
    </x:fill>
    <x:fill>
      <x:patternFill patternType="solid">
        <x:fgColor theme="8" tint="0.79998"/>
      </x:patternFill>
    </x:fill>
    <x:fill>
      <x:patternFill patternType="solid">
        <x:fgColor theme="9" tint="0.59999"/>
      </x:patternFill>
    </x:fill>
    <x:fill>
      <x:patternFill patternType="solid">
        <x:fgColor theme="5"/>
      </x:patternFill>
    </x:fill>
    <x:fill>
      <x:patternFill patternType="solid">
        <x:fgColor theme="6" tint="0.79998"/>
      </x:patternFill>
    </x:fill>
    <x:fill>
      <x:patternFill patternType="solid">
        <x:fgColor theme="6" tint="-0.24998"/>
      </x:patternFill>
    </x:fill>
    <x:fill>
      <x:patternFill patternType="solid">
        <x:fgColor theme="7" tint="0.39998"/>
      </x:patternFill>
    </x:fill>
    <x:fill>
      <x:patternFill patternType="solid">
        <x:fgColor theme="5" tint="0.59999"/>
      </x:patternFill>
    </x:fill>
    <x:fill>
      <x:patternFill patternType="solid">
        <x:fgColor theme="5" tint="-0.24998"/>
      </x:patternFill>
    </x:fill>
    <x:fill>
      <x:patternFill patternType="solid">
        <x:fgColor theme="5" tint="0.39998"/>
      </x:patternFill>
    </x:fill>
    <x:fill>
      <x:patternFill patternType="solid">
        <x:fgColor theme="8" tint="0.39998"/>
      </x:patternFill>
    </x:fill>
    <x:fill>
      <x:patternFill patternType="solid">
        <x:fgColor theme="8" tint="0.59999"/>
      </x:patternFill>
    </x:fill>
    <x:fill>
      <x:patternFill patternType="solid">
        <x:fgColor rgb="D9D9D9"/>
      </x:patternFill>
    </x:fill>
    <x:fill>
      <x:patternFill patternType="solid">
        <x:fgColor rgb="DDEBF7"/>
      </x:patternFill>
    </x:fill>
    <x:fill>
      <x:patternFill patternType="solid">
        <x:fgColor theme="4" tint="0.79998"/>
      </x:patternFill>
    </x:fill>
    <x:fill>
      <x:patternFill patternType="solid">
        <x:fgColor theme="7" tint="0.79998"/>
      </x:patternFill>
    </x:fill>
    <x:fill>
      <x:patternFill patternType="solid">
        <x:fgColor theme="9" tint="0.79998"/>
      </x:patternFill>
    </x:fill>
    <x:fill>
      <x:patternFill patternType="solid">
        <x:fgColor theme="2" tint="-0.24998"/>
      </x:patternFill>
    </x:fill>
  </x:fills>
  <x:borders count="56">
    <x:border/>
    <x:border>
      <x:left style="medium">
        <x:color indexed="64"/>
      </x:left>
      <x:right style="thin">
        <x:color indexed="64"/>
      </x:right>
      <x:top style="medium">
        <x:color indexed="64"/>
      </x:top>
      <x:bottom style="thin">
        <x:color indexed="64"/>
      </x:bottom>
    </x:border>
    <x:border>
      <x:left style="thin">
        <x:color indexed="64"/>
      </x:left>
      <x:right style="thin">
        <x:color indexed="64"/>
      </x:right>
      <x:top style="medium">
        <x:color indexed="64"/>
      </x:top>
      <x:bottom style="thin">
        <x:color indexed="64"/>
      </x:bottom>
    </x:border>
    <x:border>
      <x:left style="thin">
        <x:color indexed="64"/>
      </x:left>
      <x:right style="medium">
        <x:color indexed="64"/>
      </x:right>
      <x:top style="medium">
        <x:color indexed="64"/>
      </x:top>
      <x:bottom style="thin">
        <x:color indexed="64"/>
      </x:bottom>
    </x:border>
    <x:border>
      <x:left style="medium">
        <x:color indexed="64"/>
      </x:left>
      <x:right style="thin">
        <x:color indexed="64"/>
      </x:right>
      <x:top style="thin">
        <x:color indexed="64"/>
      </x:top>
      <x:bottom style="thin">
        <x:color indexed="64"/>
      </x:bottom>
    </x:border>
    <x:border>
      <x:left style="thin">
        <x:color indexed="64"/>
      </x:left>
      <x:right style="thin">
        <x:color indexed="64"/>
      </x:right>
      <x:top style="thin">
        <x:color indexed="64"/>
      </x:top>
      <x:bottom style="thin">
        <x:color indexed="64"/>
      </x:bottom>
    </x:border>
    <x:border>
      <x:left style="thin">
        <x:color indexed="64"/>
      </x:left>
      <x:right style="medium">
        <x:color indexed="64"/>
      </x:right>
      <x:top style="thin">
        <x:color indexed="64"/>
      </x:top>
      <x:bottom style="thin">
        <x:color indexed="64"/>
      </x:bottom>
    </x:border>
    <x:border>
      <x:left style="medium">
        <x:color indexed="64"/>
      </x:left>
      <x:right style="thin">
        <x:color indexed="64"/>
      </x:right>
      <x:top style="thin">
        <x:color indexed="64"/>
      </x:top>
      <x:bottom style="medium">
        <x:color indexed="64"/>
      </x:bottom>
    </x:border>
    <x:border>
      <x:left style="thin">
        <x:color indexed="64"/>
      </x:left>
      <x:right style="thin">
        <x:color indexed="64"/>
      </x:right>
      <x:top style="thin">
        <x:color indexed="64"/>
      </x:top>
      <x:bottom style="medium">
        <x:color indexed="64"/>
      </x:bottom>
    </x:border>
    <x:border>
      <x:left style="thin">
        <x:color indexed="64"/>
      </x:left>
      <x:right style="medium">
        <x:color indexed="64"/>
      </x:right>
      <x:top style="thin">
        <x:color indexed="64"/>
      </x:top>
      <x:bottom style="medium">
        <x:color indexed="64"/>
      </x:bottom>
    </x:border>
    <x:border>
      <x:left style="medium">
        <x:color indexed="64"/>
      </x:left>
      <x:top style="medium">
        <x:color indexed="64"/>
      </x:top>
      <x:bottom style="thin">
        <x:color indexed="64"/>
      </x:bottom>
    </x:border>
    <x:border>
      <x:top style="medium">
        <x:color indexed="64"/>
      </x:top>
      <x:bottom style="thin">
        <x:color indexed="64"/>
      </x:bottom>
    </x:border>
    <x:border>
      <x:right style="medium">
        <x:color indexed="64"/>
      </x:right>
      <x:top style="medium">
        <x:color indexed="64"/>
      </x:top>
      <x:bottom style="thin">
        <x:color indexed="64"/>
      </x:bottom>
    </x:border>
    <x:border>
      <x:left style="medium">
        <x:color indexed="64"/>
      </x:left>
      <x:top style="thin">
        <x:color indexed="64"/>
      </x:top>
      <x:bottom style="medium">
        <x:color indexed="64"/>
      </x:bottom>
    </x:border>
    <x:border>
      <x:top style="thin">
        <x:color indexed="64"/>
      </x:top>
      <x:bottom style="medium">
        <x:color indexed="64"/>
      </x:bottom>
    </x:border>
    <x:border>
      <x:right style="medium">
        <x:color indexed="64"/>
      </x:right>
      <x:top style="thin">
        <x:color indexed="64"/>
      </x:top>
      <x:bottom style="medium">
        <x:color indexed="64"/>
      </x:bottom>
    </x:border>
    <x:border>
      <x:left style="medium">
        <x:color indexed="64"/>
      </x:left>
      <x:right style="thin">
        <x:color indexed="64"/>
      </x:right>
      <x:top style="medium">
        <x:color indexed="64"/>
      </x:top>
      <x:bottom style="medium">
        <x:color indexed="64"/>
      </x:bottom>
    </x:border>
    <x:border>
      <x:left style="thin">
        <x:color indexed="64"/>
      </x:left>
      <x:right style="thin">
        <x:color indexed="64"/>
      </x:right>
      <x:top style="medium">
        <x:color indexed="64"/>
      </x:top>
      <x:bottom style="medium">
        <x:color indexed="64"/>
      </x:bottom>
    </x:border>
    <x:border>
      <x:left style="thin">
        <x:color indexed="64"/>
      </x:left>
      <x:right style="medium">
        <x:color indexed="64"/>
      </x:right>
      <x:top style="medium">
        <x:color indexed="64"/>
      </x:top>
      <x:bottom style="medium">
        <x:color indexed="64"/>
      </x:bottom>
    </x:border>
    <x:border>
      <x:top style="medium">
        <x:color indexed="64"/>
      </x:top>
      <x:bottom style="medium">
        <x:color indexed="64"/>
      </x:bottom>
    </x:border>
    <x:border>
      <x:top style="thin">
        <x:color indexed="64"/>
      </x:top>
      <x:bottom style="thin">
        <x:color indexed="64"/>
      </x:bottom>
    </x:border>
    <x:border>
      <x:left style="medium">
        <x:color indexed="64"/>
      </x:left>
      <x:right style="thin">
        <x:color indexed="64"/>
      </x:right>
      <x:top style="thin">
        <x:color indexed="64"/>
      </x:top>
    </x:border>
    <x:border>
      <x:left style="thin">
        <x:color indexed="64"/>
      </x:left>
      <x:right style="thin">
        <x:color indexed="64"/>
      </x:right>
      <x:top style="thin">
        <x:color indexed="64"/>
      </x:top>
    </x:border>
    <x:border>
      <x:left style="thin">
        <x:color indexed="64"/>
      </x:left>
      <x:right style="medium">
        <x:color indexed="64"/>
      </x:right>
      <x:top style="thin">
        <x:color indexed="64"/>
      </x:top>
    </x:border>
    <x:border>
      <x:left style="thin">
        <x:color indexed="64"/>
      </x:left>
      <x:top style="thin">
        <x:color indexed="64"/>
      </x:top>
      <x:bottom style="thin">
        <x:color indexed="64"/>
      </x:bottom>
    </x:border>
    <x:border>
      <x:right style="thin">
        <x:color indexed="64"/>
      </x:right>
      <x:top style="thin">
        <x:color indexed="64"/>
      </x:top>
      <x:bottom style="thin">
        <x:color indexed="64"/>
      </x:bottom>
    </x:border>
    <x:border>
      <x:left style="thin">
        <x:color indexed="64"/>
      </x:left>
      <x:top style="thin">
        <x:color indexed="64"/>
      </x:top>
      <x:bottom style="medium">
        <x:color indexed="64"/>
      </x:bottom>
    </x:border>
    <x:border>
      <x:right style="thin">
        <x:color indexed="64"/>
      </x:right>
      <x:top style="thin">
        <x:color indexed="64"/>
      </x:top>
      <x:bottom style="medium">
        <x:color indexed="64"/>
      </x:bottom>
    </x:border>
    <x:border>
      <x:left style="medium">
        <x:color indexed="64"/>
      </x:left>
      <x:right style="thin">
        <x:color indexed="64"/>
      </x:right>
      <x:bottom style="medium">
        <x:color indexed="64"/>
      </x:bottom>
    </x:border>
    <x:border>
      <x:left style="thin">
        <x:color indexed="64"/>
      </x:left>
      <x:right style="thin">
        <x:color indexed="64"/>
      </x:right>
      <x:bottom style="medium">
        <x:color indexed="64"/>
      </x:bottom>
    </x:border>
    <x:border>
      <x:left style="thin">
        <x:color indexed="64"/>
      </x:left>
      <x:right style="medium">
        <x:color indexed="64"/>
      </x:right>
      <x:bottom style="medium">
        <x:color indexed="64"/>
      </x:bottom>
    </x:border>
    <x:border>
      <x:left style="double">
        <x:color rgb="3F3F3F"/>
      </x:left>
      <x:right style="double">
        <x:color rgb="3F3F3F"/>
      </x:right>
      <x:top style="double">
        <x:color rgb="3F3F3F"/>
      </x:top>
      <x:bottom style="double">
        <x:color rgb="3F3F3F"/>
      </x:bottom>
    </x:border>
    <x:border>
      <x:left style="thin">
        <x:color indexed="64"/>
      </x:left>
      <x:top style="thin">
        <x:color indexed="64"/>
      </x:top>
    </x:border>
    <x:border>
      <x:left style="medium">
        <x:color indexed="64"/>
      </x:left>
      <x:right style="medium">
        <x:color indexed="64"/>
      </x:right>
      <x:top style="medium">
        <x:color indexed="64"/>
      </x:top>
      <x:bottom style="medium">
        <x:color indexed="64"/>
      </x:bottom>
    </x:border>
    <x:border>
      <x:right style="thin">
        <x:color indexed="64"/>
      </x:right>
    </x:border>
    <x:border>
      <x:left style="thin">
        <x:color indexed="64"/>
      </x:left>
      <x:right style="thin">
        <x:color indexed="64"/>
      </x:right>
      <x:bottom style="thin">
        <x:color indexed="64"/>
      </x:bottom>
    </x:border>
    <x:border>
      <x:left style="thin">
        <x:color indexed="64"/>
      </x:left>
      <x:top style="medium">
        <x:color indexed="64"/>
      </x:top>
      <x:bottom style="thin">
        <x:color indexed="64"/>
      </x:bottom>
    </x:border>
    <x:border>
      <x:left style="thin">
        <x:color indexed="64"/>
      </x:left>
      <x:right style="thin">
        <x:color indexed="64"/>
      </x:right>
    </x:border>
    <x:border>
      <x:left style="thin">
        <x:color indexed="64"/>
      </x:left>
      <x:right style="thin">
        <x:color indexed="64"/>
      </x:right>
      <x:top style="thin">
        <x:color indexed="64"/>
      </x:top>
      <x:bottom style="dashed">
        <x:color indexed="64"/>
      </x:bottom>
    </x:border>
    <x:border>
      <x:bottom style="thin">
        <x:color indexed="64"/>
      </x:bottom>
    </x:border>
    <x:border>
      <x:left style="thin">
        <x:color indexed="64"/>
      </x:left>
      <x:right style="thin">
        <x:color indexed="64"/>
      </x:right>
      <x:top style="dashed">
        <x:color indexed="64"/>
      </x:top>
    </x:border>
    <x:border>
      <x:left style="thin">
        <x:color indexed="64"/>
      </x:left>
      <x:right style="thin">
        <x:color indexed="64"/>
      </x:right>
      <x:top style="thin">
        <x:color indexed="64"/>
      </x:top>
      <x:bottom style="dotted">
        <x:color indexed="64"/>
      </x:bottom>
    </x:border>
    <x:border>
      <x:left style="medium">
        <x:color indexed="64"/>
      </x:left>
      <x:top style="thin">
        <x:color indexed="64"/>
      </x:top>
      <x:bottom style="thin">
        <x:color indexed="64"/>
      </x:bottom>
    </x:border>
    <x:border>
      <x:left style="medium">
        <x:color indexed="64"/>
      </x:left>
      <x:right style="thin">
        <x:color indexed="64"/>
      </x:right>
      <x:bottom style="thin">
        <x:color indexed="64"/>
      </x:bottom>
    </x:border>
    <x:border>
      <x:left style="thin">
        <x:color rgb="000000"/>
      </x:left>
      <x:top style="thin">
        <x:color rgb="000000"/>
      </x:top>
      <x:bottom style="thin">
        <x:color rgb="000000"/>
      </x:bottom>
    </x:border>
    <x:border>
      <x:top style="thin">
        <x:color rgb="000000"/>
      </x:top>
      <x:bottom style="thin">
        <x:color rgb="000000"/>
      </x:bottom>
    </x:border>
    <x:border>
      <x:right style="thin">
        <x:color rgb="000000"/>
      </x:right>
      <x:top style="thin">
        <x:color rgb="000000"/>
      </x:top>
      <x:bottom style="thin">
        <x:color rgb="000000"/>
      </x:bottom>
    </x:border>
    <x:border>
      <x:left style="thin">
        <x:color rgb="000000"/>
      </x:left>
      <x:right style="thin">
        <x:color rgb="000000"/>
      </x:right>
      <x:top style="thin">
        <x:color rgb="000000"/>
      </x:top>
    </x:border>
    <x:border>
      <x:left style="thin">
        <x:color rgb="000000"/>
      </x:left>
      <x:right style="thin">
        <x:color rgb="000000"/>
      </x:right>
    </x:border>
    <x:border>
      <x:bottom style="medium">
        <x:color indexed="64"/>
      </x:bottom>
    </x:border>
    <x:border>
      <x:top style="medium">
        <x:color indexed="64"/>
      </x:top>
    </x:border>
    <x:border>
      <x:top style="thin">
        <x:color indexed="64"/>
      </x:top>
    </x:border>
    <x:border>
      <x:right style="thin">
        <x:color rgb="000000"/>
      </x:right>
    </x:border>
    <x:border>
      <x:left style="thin">
        <x:color indexed="64"/>
      </x:left>
    </x:border>
    <x:border>
      <x:left style="thin">
        <x:color indexed="64"/>
      </x:left>
      <x:bottom style="thin">
        <x:color indexed="64"/>
      </x:bottom>
    </x:border>
    <x:border>
      <x:right style="thin">
        <x:color indexed="64"/>
      </x:right>
      <x:bottom style="thin">
        <x:color indexed="64"/>
      </x:bottom>
    </x:border>
  </x:borders>
  <x:cellStyleXfs count="51">
    <x:xf numFmtId="164" fontId="0" fillId="0" borderId="0"/>
    <x:xf numFmtId="164" fontId="6" fillId="0" borderId="0"/>
    <x:xf numFmtId="164" fontId="4" fillId="0" borderId="0"/>
    <x:xf numFmtId="0" fontId="15" fillId="0" borderId="0" applyNumberFormat="0" applyFill="0" applyBorder="0" applyAlignment="0" applyProtection="0">
      <x:alignment vertical="top"/>
    </x:xf>
    <x:xf numFmtId="3" fontId="16" fillId="0" borderId="0" applyNumberFormat="0" applyFill="0" applyBorder="0" applyAlignment="0" applyProtection="0"/>
    <x:xf numFmtId="3" fontId="17" fillId="0" borderId="0" applyNumberFormat="0" applyFill="0" applyBorder="0" applyAlignment="0" applyProtection="0"/>
    <x:xf numFmtId="164" fontId="18" fillId="0" borderId="0"/>
    <x:xf numFmtId="164" fontId="19" fillId="0" borderId="0"/>
    <x:xf numFmtId="164" fontId="19" fillId="0" borderId="0"/>
    <x:xf numFmtId="164" fontId="19" fillId="0" borderId="0"/>
    <x:xf numFmtId="164" fontId="19" fillId="0" borderId="0"/>
    <x:xf numFmtId="164" fontId="19" fillId="0" borderId="0"/>
    <x:xf numFmtId="164" fontId="19" fillId="0" borderId="0"/>
    <x:xf numFmtId="164" fontId="19" fillId="0" borderId="0"/>
    <x:xf numFmtId="165" fontId="6" fillId="0" borderId="0" applyFont="0" applyFill="0" applyBorder="0" applyAlignment="0" applyProtection="0"/>
    <x:xf numFmtId="166" fontId="6" fillId="0" borderId="0" applyFont="0" applyFill="0" applyBorder="0" applyAlignment="0" applyProtection="0"/>
    <x:xf numFmtId="164" fontId="6" fillId="0" borderId="0" applyFont="0" applyFill="0" applyBorder="0" applyAlignment="0" applyProtection="0"/>
    <x:xf numFmtId="0" fontId="6" fillId="0" borderId="0"/>
    <x:xf numFmtId="38" fontId="20" fillId="5" borderId="0" applyNumberFormat="0" applyBorder="0" applyAlignment="0" applyProtection="0"/>
    <x:xf numFmtId="164" fontId="21" fillId="0" borderId="19" applyNumberFormat="0" applyAlignment="0" applyProtection="0">
      <x:alignment horizontal="left" vertical="center"/>
    </x:xf>
    <x:xf numFmtId="164" fontId="21" fillId="0" borderId="20">
      <x:alignment horizontal="left" vertical="center"/>
    </x:xf>
    <x:xf numFmtId="164" fontId="22" fillId="0" borderId="0" applyNumberFormat="0" applyFill="0" applyBorder="0" applyAlignment="0" applyProtection="0"/>
    <x:xf numFmtId="10" fontId="20" fillId="6" borderId="5" applyNumberFormat="0" applyBorder="0" applyAlignment="0" applyProtection="0"/>
    <x:xf numFmtId="164" fontId="23" fillId="0" borderId="0"/>
    <x:xf numFmtId="164" fontId="6" fillId="0" borderId="0"/>
    <x:xf numFmtId="0" fontId="6" fillId="0" borderId="0"/>
    <x:xf numFmtId="10" fontId="6" fillId="0" borderId="0" applyFont="0" applyFill="0" applyBorder="0" applyAlignment="0" applyProtection="0"/>
    <x:xf numFmtId="9" fontId="6" fillId="0" borderId="0" applyFont="0" applyFill="0" applyBorder="0" applyAlignment="0" applyProtection="0"/>
    <x:xf numFmtId="167" fontId="6" fillId="0" borderId="0" applyFont="0" applyFill="0" applyBorder="0" applyAlignment="0" applyProtection="0"/>
    <x:xf numFmtId="10" fontId="6" fillId="0" borderId="0" applyFont="0" applyFill="0" applyBorder="0" applyAlignment="0" applyProtection="0"/>
    <x:xf numFmtId="3" fontId="11" fillId="0" borderId="0" applyFill="0" applyBorder="0" applyAlignment="0" applyProtection="0"/>
    <x:xf numFmtId="3" fontId="24" fillId="0" borderId="0" applyFill="0" applyBorder="0" applyAlignment="0" applyProtection="0"/>
    <x:xf numFmtId="3" fontId="11" fillId="0" borderId="0" applyFill="0" applyBorder="0" applyAlignment="0" applyProtection="0"/>
    <x:xf numFmtId="164" fontId="6" fillId="0" borderId="0"/>
    <x:xf numFmtId="164" fontId="6" fillId="0" borderId="0"/>
    <x:xf numFmtId="164" fontId="4" fillId="0" borderId="0"/>
    <x:xf numFmtId="0" fontId="25" fillId="0" borderId="0"/>
    <x:xf numFmtId="0" fontId="4" fillId="0" borderId="0"/>
    <x:xf numFmtId="0" fontId="6" fillId="0" borderId="0"/>
    <x:xf numFmtId="168" fontId="6" fillId="0" borderId="0" applyFont="0" applyFill="0" applyBorder="0" applyAlignment="0" applyProtection="0"/>
    <x:xf numFmtId="164" fontId="26" fillId="0" borderId="0"/>
    <x:xf numFmtId="164" fontId="3" fillId="0" borderId="0"/>
    <x:xf numFmtId="0" fontId="27" fillId="7" borderId="0" applyNumberFormat="0" applyBorder="0" applyAlignment="0" applyProtection="0"/>
    <x:xf numFmtId="0" fontId="28" fillId="8" borderId="31" applyNumberFormat="0" applyAlignment="0" applyProtection="0"/>
    <x:xf numFmtId="0" fontId="2" fillId="0" borderId="0"/>
    <x:xf numFmtId="0" fontId="22" fillId="0" borderId="0" applyNumberFormat="0" applyFill="0" applyBorder="0" applyAlignment="0" applyProtection="0"/>
    <x:xf numFmtId="164" fontId="1" fillId="0" borderId="0"/>
    <x:xf numFmtId="164" fontId="1" fillId="0" borderId="0"/>
    <x:xf numFmtId="0" fontId="1" fillId="0" borderId="0"/>
    <x:xf numFmtId="164" fontId="1" fillId="0" borderId="0"/>
    <x:xf numFmtId="0" fontId="1" fillId="0" borderId="0"/>
  </x:cellStyleXfs>
  <x:cellXfs count="363">
    <x:xf numFmtId="164" fontId="0" fillId="0" borderId="0" xfId="0"/>
    <x:xf numFmtId="164" fontId="5" fillId="2" borderId="0" xfId="0" applyFont="1" applyFill="1"/>
    <x:xf numFmtId="164" fontId="10" fillId="3" borderId="7" xfId="1" applyFont="1" applyFill="1" applyBorder="1" applyAlignment="1">
      <x:alignment horizontal="center" vertical="center" wrapText="1"/>
    </x:xf>
    <x:xf numFmtId="164" fontId="10" fillId="3" borderId="8" xfId="1" applyFont="1" applyFill="1" applyBorder="1" applyAlignment="1">
      <x:alignment horizontal="right"/>
    </x:xf>
    <x:xf numFmtId="164" fontId="11" fillId="2" borderId="0" xfId="1" applyFont="1" applyFill="1" applyAlignment="1">
      <x:alignment horizontal="center"/>
    </x:xf>
    <x:xf numFmtId="164" fontId="12" fillId="2" borderId="0" xfId="1" applyFont="1" applyFill="1" applyAlignment="1">
      <x:alignment horizontal="center"/>
    </x:xf>
    <x:xf numFmtId="164" fontId="13" fillId="0" borderId="0" xfId="0" applyFont="1"/>
    <x:xf numFmtId="164" fontId="14" fillId="4" borderId="4" xfId="2" applyFont="1" applyFill="1" applyBorder="1" applyAlignment="1">
      <x:alignment horizontal="center" vertical="top" wrapText="1"/>
    </x:xf>
    <x:xf numFmtId="164" fontId="14" fillId="4" borderId="5" xfId="2" applyFont="1" applyFill="1" applyBorder="1" applyAlignment="1">
      <x:alignment horizontal="center" vertical="top" wrapText="1"/>
    </x:xf>
    <x:xf numFmtId="164" fontId="14" fillId="4" borderId="6" xfId="2" applyFont="1" applyFill="1" applyBorder="1" applyAlignment="1">
      <x:alignment horizontal="center" vertical="top" wrapText="1"/>
    </x:xf>
    <x:xf numFmtId="1" fontId="6" fillId="2" borderId="4" xfId="1" applyNumberFormat="1" applyFill="1" applyBorder="1" applyAlignment="1">
      <x:alignment horizontal="center" vertical="top" wrapText="1"/>
    </x:xf>
    <x:xf numFmtId="164" fontId="6" fillId="2" borderId="5" xfId="1" applyFill="1" applyBorder="1" applyAlignment="1">
      <x:alignment horizontal="center" vertical="top" wrapText="1"/>
    </x:xf>
    <x:xf numFmtId="14" fontId="6" fillId="2" borderId="6" xfId="1" applyNumberFormat="1" applyFill="1" applyBorder="1" applyAlignment="1">
      <x:alignment horizontal="center" vertical="top" wrapText="1"/>
    </x:xf>
    <x:xf numFmtId="49" fontId="6" fillId="2" borderId="4" xfId="1" applyNumberFormat="1" applyFill="1" applyBorder="1" applyAlignment="1">
      <x:alignment horizontal="center" vertical="top" wrapText="1"/>
    </x:xf>
    <x:xf numFmtId="49" fontId="6" fillId="2" borderId="7" xfId="1" applyNumberFormat="1" applyFill="1" applyBorder="1" applyAlignment="1">
      <x:alignment horizontal="center" vertical="top" wrapText="1"/>
    </x:xf>
    <x:xf numFmtId="14" fontId="6" fillId="2" borderId="9" xfId="1" applyNumberFormat="1" applyFill="1" applyBorder="1" applyAlignment="1">
      <x:alignment horizontal="center" vertical="top" wrapText="1"/>
    </x:xf>
    <x:xf numFmtId="164" fontId="11" fillId="2" borderId="0" xfId="1" applyFont="1" applyFill="1"/>
    <x:xf numFmtId="164" fontId="12" fillId="2" borderId="0" xfId="1" applyFont="1" applyFill="1"/>
    <x:xf numFmtId="164" fontId="14" fillId="3" borderId="16" xfId="1" applyFont="1" applyFill="1" applyBorder="1" applyAlignment="1">
      <x:alignment horizontal="right"/>
    </x:xf>
    <x:xf numFmtId="49" fontId="0" fillId="0" borderId="0" xfId="0" applyNumberFormat="1"/>
    <x:xf numFmtId="164" fontId="6" fillId="2" borderId="5" xfId="2" applyFont="1" applyFill="1" applyBorder="1" applyAlignment="1">
      <x:alignment horizontal="center" vertical="top" wrapText="1"/>
    </x:xf>
    <x:xf numFmtId="49" fontId="6" fillId="2" borderId="28" xfId="1" applyNumberFormat="1" applyFill="1" applyBorder="1" applyAlignment="1">
      <x:alignment horizontal="center" vertical="top" wrapText="1"/>
    </x:xf>
    <x:xf numFmtId="164" fontId="6" fillId="2" borderId="29" xfId="1" applyFill="1" applyBorder="1" applyAlignment="1">
      <x:alignment horizontal="center" vertical="top" wrapText="1"/>
    </x:xf>
    <x:xf numFmtId="14" fontId="6" fillId="2" borderId="30" xfId="1" applyNumberFormat="1" applyFill="1" applyBorder="1" applyAlignment="1">
      <x:alignment horizontal="center" vertical="top" wrapText="1"/>
    </x:xf>
    <x:xf numFmtId="164" fontId="6" fillId="2" borderId="8" xfId="2" applyFont="1" applyFill="1" applyBorder="1" applyAlignment="1">
      <x:alignment horizontal="center" vertical="top" wrapText="1"/>
    </x:xf>
    <x:xf numFmtId="49" fontId="6" fillId="2" borderId="4" xfId="1" applyNumberFormat="1" applyFill="1" applyBorder="1" applyAlignment="1">
      <x:alignment horizontal="center" vertical="center" wrapText="1"/>
    </x:xf>
    <x:xf numFmtId="14" fontId="6" fillId="2" borderId="6" xfId="1" applyNumberFormat="1" applyFill="1" applyBorder="1" applyAlignment="1">
      <x:alignment horizontal="center" vertical="center" wrapText="1"/>
    </x:xf>
    <x:xf numFmtId="49" fontId="6" fillId="2" borderId="7" xfId="1" applyNumberFormat="1" applyFill="1" applyBorder="1" applyAlignment="1">
      <x:alignment horizontal="center" vertical="center" wrapText="1"/>
    </x:xf>
    <x:xf numFmtId="14" fontId="6" fillId="2" borderId="9" xfId="1" applyNumberFormat="1" applyFill="1" applyBorder="1" applyAlignment="1">
      <x:alignment horizontal="center" vertical="center" wrapText="1"/>
    </x:xf>
    <x:xf numFmtId="49" fontId="6" fillId="2" borderId="21" xfId="1" applyNumberFormat="1" applyFill="1" applyBorder="1" applyAlignment="1">
      <x:alignment horizontal="center" vertical="center" wrapText="1"/>
    </x:xf>
    <x:xf numFmtId="14" fontId="6" fillId="2" borderId="23" xfId="1" applyNumberFormat="1" applyFill="1" applyBorder="1" applyAlignment="1">
      <x:alignment horizontal="center" vertical="center" wrapText="1"/>
    </x:xf>
    <x:xf numFmtId="49" fontId="6" fillId="2" borderId="5" xfId="1" applyNumberFormat="1" applyFill="1" applyBorder="1" applyAlignment="1">
      <x:alignment horizontal="center" vertical="center" wrapText="1"/>
    </x:xf>
    <x:xf numFmtId="49" fontId="6" fillId="2" borderId="22" xfId="1" applyNumberFormat="1" applyFill="1" applyBorder="1" applyAlignment="1">
      <x:alignment horizontal="center" vertical="center" wrapText="1"/>
    </x:xf>
    <x:xf numFmtId="49" fontId="6" fillId="2" borderId="8" xfId="1" applyNumberFormat="1" applyFill="1" applyBorder="1" applyAlignment="1">
      <x:alignment horizontal="center" vertical="center" wrapText="1"/>
    </x:xf>
    <x:xf numFmtId="164" fontId="14" fillId="4" borderId="5" xfId="41" applyFont="1" applyFill="1" applyBorder="1" applyAlignment="1">
      <x:alignment horizontal="center" vertical="top" wrapText="1"/>
    </x:xf>
    <x:xf numFmtId="164" fontId="14" fillId="4" borderId="6" xfId="41" applyFont="1" applyFill="1" applyBorder="1" applyAlignment="1">
      <x:alignment horizontal="center" vertical="top" wrapText="1"/>
    </x:xf>
    <x:xf numFmtId="164" fontId="28" fillId="8" borderId="31" xfId="43" applyNumberFormat="1"/>
    <x:xf numFmtId="164" fontId="27" fillId="7" borderId="31" xfId="42" applyNumberFormat="1" applyBorder="1"/>
    <x:xf numFmtId="164" fontId="14" fillId="4" borderId="32" xfId="2" applyFont="1" applyFill="1" applyBorder="1" applyAlignment="1">
      <x:alignment horizontal="center" vertical="top" wrapText="1"/>
    </x:xf>
    <x:xf numFmtId="164" fontId="0" fillId="0" borderId="0" xfId="0" applyAlignment="1">
      <x:alignment wrapText="1"/>
    </x:xf>
    <x:xf numFmtId="164" fontId="0" fillId="0" borderId="33" xfId="0" applyBorder="1"/>
    <x:xf numFmtId="164" fontId="0" fillId="10" borderId="33" xfId="0" applyFill="1" applyBorder="1"/>
    <x:xf numFmtId="164" fontId="0" fillId="11" borderId="33" xfId="0" applyFill="1" applyBorder="1"/>
    <x:xf numFmtId="164" fontId="30" fillId="3" borderId="33" xfId="0" applyFont="1" applyFill="1" applyBorder="1"/>
    <x:xf numFmtId="164" fontId="12" fillId="4" borderId="32" xfId="2" applyFont="1" applyFill="1" applyBorder="1" applyAlignment="1">
      <x:alignment horizontal="center" vertical="top" wrapText="1"/>
    </x:xf>
    <x:xf numFmtId="164" fontId="0" fillId="9" borderId="33" xfId="0" applyFill="1" applyBorder="1"/>
    <x:xf numFmtId="1" fontId="6" fillId="2" borderId="1" xfId="1" applyNumberFormat="1" applyFill="1" applyBorder="1" applyAlignment="1">
      <x:alignment horizontal="center" vertical="top" wrapText="1"/>
    </x:xf>
    <x:xf numFmtId="164" fontId="14" fillId="4" borderId="0" xfId="2" applyFont="1" applyFill="1" applyAlignment="1">
      <x:alignment horizontal="center" vertical="top" wrapText="1"/>
    </x:xf>
    <x:xf numFmtId="49" fontId="6" fillId="2" borderId="2" xfId="1" applyNumberFormat="1" applyFill="1" applyBorder="1" applyAlignment="1">
      <x:alignment horizontal="center" vertical="top" wrapText="1"/>
    </x:xf>
    <x:xf numFmtId="49" fontId="29" fillId="2" borderId="2" xfId="1" applyNumberFormat="1" applyFont="1" applyFill="1" applyBorder="1" applyAlignment="1">
      <x:alignment horizontal="center" vertical="top" wrapText="1"/>
    </x:xf>
    <x:xf numFmtId="1" fontId="6" fillId="2" borderId="2" xfId="1" applyNumberFormat="1" applyFill="1" applyBorder="1" applyAlignment="1">
      <x:alignment horizontal="center" vertical="top" wrapText="1"/>
    </x:xf>
    <x:xf numFmtId="14" fontId="6" fillId="2" borderId="2" xfId="1" applyNumberFormat="1" applyFill="1" applyBorder="1" applyAlignment="1">
      <x:alignment horizontal="center" vertical="top" wrapText="1"/>
    </x:xf>
    <x:xf numFmtId="164" fontId="0" fillId="0" borderId="4" xfId="0" applyBorder="1"/>
    <x:xf numFmtId="164" fontId="0" fillId="0" borderId="3" xfId="0" applyBorder="1" applyAlignment="1">
      <x:alignment horizontal="center" vertical="top" wrapText="1"/>
    </x:xf>
    <x:xf numFmtId="164" fontId="14" fillId="3" borderId="5" xfId="2" applyFont="1" applyFill="1" applyBorder="1" applyAlignment="1">
      <x:alignment horizontal="center" vertical="center"/>
    </x:xf>
    <x:xf numFmtId="14" fontId="34" fillId="3" borderId="8" xfId="1" applyNumberFormat="1" applyFont="1" applyFill="1" applyBorder="1" applyAlignment="1">
      <x:alignment horizontal="center"/>
    </x:xf>
    <x:xf numFmtId="164" fontId="0" fillId="0" borderId="0" xfId="0" applyAlignment="1">
      <x:alignment vertical="center"/>
    </x:xf>
    <x:xf numFmtId="164" fontId="12" fillId="4" borderId="32" xfId="2" applyFont="1" applyFill="1" applyBorder="1" applyAlignment="1">
      <x:alignment horizontal="center" vertical="center" wrapText="1"/>
    </x:xf>
    <x:xf numFmtId="164" fontId="14" fillId="4" borderId="32" xfId="2" applyFont="1" applyFill="1" applyBorder="1" applyAlignment="1">
      <x:alignment horizontal="center" vertical="center" wrapText="1"/>
    </x:xf>
    <x:xf numFmtId="49" fontId="31" fillId="2" borderId="1" xfId="1" applyNumberFormat="1" applyFont="1" applyFill="1" applyBorder="1" applyAlignment="1">
      <x:alignment horizontal="center" vertical="center" wrapText="1"/>
    </x:xf>
    <x:xf numFmtId="1" fontId="6" fillId="2" borderId="2" xfId="1" applyNumberFormat="1" applyFill="1" applyBorder="1" applyAlignment="1">
      <x:alignment horizontal="center" vertical="center" wrapText="1"/>
    </x:xf>
    <x:xf numFmtId="49" fontId="6" fillId="2" borderId="2" xfId="1" applyNumberFormat="1" applyFill="1" applyBorder="1" applyAlignment="1">
      <x:alignment horizontal="center" vertical="center" wrapText="1"/>
    </x:xf>
    <x:xf numFmtId="49" fontId="29" fillId="2" borderId="2" xfId="1" applyNumberFormat="1" applyFont="1" applyFill="1" applyBorder="1" applyAlignment="1">
      <x:alignment horizontal="center" vertical="center" wrapText="1"/>
    </x:xf>
    <x:xf numFmtId="14" fontId="6" fillId="2" borderId="2" xfId="1" applyNumberFormat="1" applyFill="1" applyBorder="1" applyAlignment="1">
      <x:alignment horizontal="center" vertical="center" wrapText="1"/>
    </x:xf>
    <x:xf numFmtId="164" fontId="0" fillId="0" borderId="36" xfId="0" applyBorder="1" applyAlignment="1">
      <x:alignment horizontal="center" vertical="center" wrapText="1"/>
    </x:xf>
    <x:xf numFmtId="49" fontId="0" fillId="0" borderId="4" xfId="0" applyNumberFormat="1" applyBorder="1" applyAlignment="1">
      <x:alignment horizontal="left" vertical="center"/>
    </x:xf>
    <x:xf numFmtId="1" fontId="6" fillId="2" borderId="35" xfId="1" applyNumberFormat="1" applyFill="1" applyBorder="1" applyAlignment="1">
      <x:alignment horizontal="left" vertical="center" wrapText="1"/>
    </x:xf>
    <x:xf numFmtId="164" fontId="0" fillId="0" borderId="24" xfId="0" applyBorder="1" applyAlignment="1">
      <x:alignment horizontal="left" vertical="center"/>
    </x:xf>
    <x:xf numFmtId="164" fontId="0" fillId="0" borderId="5" xfId="0" applyBorder="1" applyAlignment="1">
      <x:alignment horizontal="left" vertical="center"/>
    </x:xf>
    <x:xf numFmtId="0" fontId="0" fillId="0" borderId="5" xfId="0" applyNumberFormat="1" applyBorder="1" applyAlignment="1">
      <x:alignment vertical="center"/>
    </x:xf>
    <x:xf numFmtId="164" fontId="0" fillId="0" borderId="5" xfId="0" applyBorder="1" applyAlignment="1">
      <x:alignment vertical="center"/>
    </x:xf>
    <x:xf numFmtId="1" fontId="6" fillId="0" borderId="5" xfId="1" applyNumberFormat="1" applyBorder="1" applyAlignment="1">
      <x:alignment horizontal="left" vertical="center" wrapText="1"/>
    </x:xf>
    <x:xf numFmtId="164" fontId="0" fillId="0" borderId="5" xfId="0" applyBorder="1" applyAlignment="1">
      <x:alignment horizontal="left" vertical="center" wrapText="1"/>
    </x:xf>
    <x:xf numFmtId="1" fontId="6" fillId="0" borderId="35" xfId="1" applyNumberFormat="1" applyBorder="1" applyAlignment="1">
      <x:alignment horizontal="left" vertical="center" wrapText="1"/>
    </x:xf>
    <x:xf numFmtId="49" fontId="6" fillId="0" borderId="35" xfId="1" applyNumberFormat="1" applyBorder="1" applyAlignment="1">
      <x:alignment horizontal="left" vertical="center" wrapText="1"/>
    </x:xf>
    <x:xf numFmtId="164" fontId="0" fillId="0" borderId="5" xfId="0" applyBorder="1" applyAlignment="1">
      <x:alignment vertical="center" wrapText="1"/>
    </x:xf>
    <x:xf numFmtId="164" fontId="13" fillId="0" borderId="5" xfId="0" applyFont="1" applyBorder="1" applyAlignment="1">
      <x:alignment vertical="center"/>
    </x:xf>
    <x:xf numFmtId="49" fontId="0" fillId="0" borderId="0" xfId="0" applyNumberFormat="1" applyAlignment="1">
      <x:alignment vertical="center"/>
    </x:xf>
    <x:xf numFmtId="164" fontId="32" fillId="0" borderId="0" xfId="0" applyFont="1" applyAlignment="1">
      <x:alignment vertical="center"/>
    </x:xf>
    <x:xf numFmtId="164" fontId="13" fillId="0" borderId="0" xfId="0" applyFont="1" applyAlignment="1">
      <x:alignment vertical="center"/>
    </x:xf>
    <x:xf numFmtId="164" fontId="36" fillId="4" borderId="5" xfId="0" applyFont="1" applyFill="1" applyBorder="1" applyAlignment="1">
      <x:alignment horizontal="center" vertical="center" wrapText="1"/>
    </x:xf>
    <x:xf numFmtId="164" fontId="0" fillId="11" borderId="5" xfId="0" applyFill="1" applyBorder="1" applyAlignment="1">
      <x:alignment horizontal="center" vertical="center"/>
    </x:xf>
    <x:xf numFmtId="164" fontId="0" fillId="4" borderId="5" xfId="0" applyFill="1" applyBorder="1" applyAlignment="1">
      <x:alignment horizontal="center" vertical="center"/>
    </x:xf>
    <x:xf numFmtId="164" fontId="0" fillId="15" borderId="5" xfId="0" applyFill="1" applyBorder="1" applyAlignment="1">
      <x:alignment horizontal="center" vertical="center"/>
    </x:xf>
    <x:xf numFmtId="164" fontId="0" fillId="15" borderId="5" xfId="0" applyFill="1" applyBorder="1" applyAlignment="1">
      <x:alignment horizontal="center" vertical="center" wrapText="1"/>
    </x:xf>
    <x:xf numFmtId="164" fontId="37" fillId="17" borderId="38" xfId="0" applyFont="1" applyFill="1" applyBorder="1" applyAlignment="1">
      <x:alignment horizontal="center" vertical="center" wrapText="1"/>
    </x:xf>
    <x:xf numFmtId="164" fontId="0" fillId="16" borderId="5" xfId="0" applyFill="1" applyBorder="1" applyAlignment="1">
      <x:alignment horizontal="center" vertical="center"/>
    </x:xf>
    <x:xf numFmtId="164" fontId="32" fillId="0" borderId="5" xfId="0" applyFont="1" applyBorder="1" applyAlignment="1">
      <x:alignment vertical="center" wrapText="1"/>
    </x:xf>
    <x:xf numFmtId="1" fontId="6" fillId="2" borderId="5" xfId="1" applyNumberFormat="1" applyFill="1" applyBorder="1" applyAlignment="1">
      <x:alignment horizontal="left" vertical="center" wrapText="1"/>
    </x:xf>
    <x:xf numFmtId="164" fontId="0" fillId="16" borderId="22" xfId="0" applyFill="1" applyBorder="1" applyAlignment="1">
      <x:alignment horizontal="center" vertical="center"/>
    </x:xf>
    <x:xf numFmtId="164" fontId="0" fillId="11" borderId="35" xfId="0" applyFill="1" applyBorder="1" applyAlignment="1">
      <x:alignment vertical="center" wrapText="1"/>
    </x:xf>
    <x:xf numFmtId="164" fontId="0" fillId="18" borderId="41" xfId="0" applyFill="1" applyBorder="1" applyAlignment="1">
      <x:alignment horizontal="center" vertical="center" wrapText="1"/>
    </x:xf>
    <x:xf numFmtId="164" fontId="37" fillId="14" borderId="5" xfId="0" applyFont="1" applyFill="1" applyBorder="1" applyAlignment="1">
      <x:alignment horizontal="center" vertical="center" wrapText="1"/>
    </x:xf>
    <x:xf numFmtId="164" fontId="28" fillId="12" borderId="5" xfId="0" applyFont="1" applyFill="1" applyBorder="1" applyAlignment="1">
      <x:alignment horizontal="center" vertical="center" wrapText="1"/>
    </x:xf>
    <x:xf numFmtId="164" fontId="35" fillId="17" borderId="38" xfId="0" applyFont="1" applyFill="1" applyBorder="1" applyAlignment="1">
      <x:alignment horizontal="center" vertical="center" wrapText="1"/>
    </x:xf>
    <x:xf numFmtId="164" fontId="0" fillId="19" borderId="37" xfId="0" applyFill="1" applyBorder="1" applyAlignment="1">
      <x:alignment horizontal="center" vertical="center" wrapText="1"/>
    </x:xf>
    <x:xf numFmtId="164" fontId="0" fillId="20" borderId="5" xfId="0" applyFill="1" applyBorder="1" applyAlignment="1">
      <x:alignment horizontal="center" vertical="center"/>
    </x:xf>
    <x:xf numFmtId="164" fontId="0" fillId="20" borderId="5" xfId="0" applyFill="1" applyBorder="1" applyAlignment="1">
      <x:alignment horizontal="center" vertical="center" wrapText="1"/>
    </x:xf>
    <x:xf numFmtId="49" fontId="0" fillId="0" borderId="0" xfId="0" applyNumberFormat="1" applyAlignment="1">
      <x:alignment wrapText="1"/>
    </x:xf>
    <x:xf numFmtId="1" fontId="6" fillId="0" borderId="5" xfId="3" applyNumberFormat="1" applyFont="1" applyFill="1" applyBorder="1" applyAlignment="1">
      <x:alignment horizontal="left" vertical="center" wrapText="1"/>
    </x:xf>
    <x:xf numFmtId="164" fontId="6" fillId="0" borderId="5" xfId="0" applyFont="1" applyBorder="1" applyAlignment="1">
      <x:alignment horizontal="left" vertical="center" wrapText="1"/>
    </x:xf>
    <x:xf numFmtId="164" fontId="6" fillId="0" borderId="5" xfId="3" applyNumberFormat="1" applyFont="1" applyFill="1" applyBorder="1" applyAlignment="1">
      <x:alignment horizontal="left" vertical="center" wrapText="1"/>
    </x:xf>
    <x:xf numFmtId="1" fontId="6" fillId="0" borderId="35" xfId="3" applyNumberFormat="1" applyFont="1" applyFill="1" applyBorder="1" applyAlignment="1">
      <x:alignment horizontal="left" vertical="center" wrapText="1"/>
    </x:xf>
    <x:xf numFmtId="1" fontId="6" fillId="2" borderId="35" xfId="3" applyNumberFormat="1" applyFont="1" applyFill="1" applyBorder="1" applyAlignment="1">
      <x:alignment horizontal="left" vertical="center" wrapText="1"/>
    </x:xf>
    <x:xf numFmtId="49" fontId="0" fillId="9" borderId="4" xfId="0" applyNumberFormat="1" applyFill="1" applyBorder="1" applyAlignment="1">
      <x:alignment horizontal="left" vertical="center"/>
    </x:xf>
    <x:xf numFmtId="1" fontId="6" fillId="9" borderId="5" xfId="1" applyNumberFormat="1" applyFill="1" applyBorder="1" applyAlignment="1">
      <x:alignment horizontal="left" vertical="center" wrapText="1"/>
    </x:xf>
    <x:xf numFmtId="1" fontId="6" fillId="9" borderId="35" xfId="1" applyNumberFormat="1" applyFill="1" applyBorder="1" applyAlignment="1">
      <x:alignment horizontal="left" vertical="center" wrapText="1"/>
    </x:xf>
    <x:xf numFmtId="164" fontId="14" fillId="4" borderId="14" xfId="2" applyFont="1" applyFill="1" applyBorder="1" applyAlignment="1">
      <x:alignment horizontal="center" vertical="center" wrapText="1"/>
    </x:xf>
    <x:xf numFmtId="164" fontId="14" fillId="4" borderId="8" xfId="2" applyFont="1" applyFill="1" applyBorder="1" applyAlignment="1">
      <x:alignment horizontal="center" vertical="center" wrapText="1"/>
    </x:xf>
    <x:xf numFmtId="164" fontId="0" fillId="0" borderId="35" xfId="0" applyBorder="1" applyAlignment="1">
      <x:alignment horizontal="center" vertical="center" wrapText="1"/>
    </x:xf>
    <x:xf numFmtId="164" fontId="0" fillId="0" borderId="35" xfId="0" applyBorder="1" applyAlignment="1">
      <x:alignment vertical="center" wrapText="1"/>
    </x:xf>
    <x:xf numFmtId="1" fontId="6" fillId="2" borderId="35" xfId="1" applyNumberFormat="1" applyFill="1" applyBorder="1" applyAlignment="1">
      <x:alignment horizontal="center" vertical="center" wrapText="1"/>
    </x:xf>
    <x:xf numFmtId="1" fontId="6" fillId="9" borderId="35" xfId="1" applyNumberFormat="1" applyFill="1" applyBorder="1" applyAlignment="1">
      <x:alignment horizontal="center" vertical="center" wrapText="1"/>
    </x:xf>
    <x:xf numFmtId="1" fontId="6" fillId="0" borderId="35" xfId="1" applyNumberFormat="1" applyBorder="1" applyAlignment="1">
      <x:alignment horizontal="center" vertical="center" wrapText="1"/>
    </x:xf>
    <x:xf numFmtId="164" fontId="32" fillId="0" borderId="0" xfId="0" applyFont="1" applyAlignment="1">
      <x:alignment horizontal="center" vertical="center"/>
    </x:xf>
    <x:xf numFmtId="49" fontId="0" fillId="0" borderId="5" xfId="0" applyNumberFormat="1" applyBorder="1" applyAlignment="1">
      <x:alignment horizontal="left" vertical="center"/>
    </x:xf>
    <x:xf numFmtId="49" fontId="0" fillId="0" borderId="25" xfId="0" applyNumberFormat="1" applyBorder="1" applyAlignment="1">
      <x:alignment horizontal="left" vertical="center"/>
    </x:xf>
    <x:xf numFmtId="1" fontId="6" fillId="2" borderId="5" xfId="1" applyNumberFormat="1" applyFill="1" applyBorder="1" applyAlignment="1">
      <x:alignment horizontal="center" vertical="center" wrapText="1"/>
    </x:xf>
    <x:xf numFmtId="1" fontId="46" fillId="0" borderId="35" xfId="3" applyNumberFormat="1" applyFont="1" applyFill="1" applyBorder="1" applyAlignment="1">
      <x:alignment horizontal="left" vertical="center" wrapText="1"/>
    </x:xf>
    <x:xf numFmtId="164" fontId="6" fillId="0" borderId="5" xfId="3" applyNumberFormat="1" applyFont="1" applyFill="1" applyBorder="1" applyAlignment="1">
      <x:alignment vertical="center" wrapText="1"/>
    </x:xf>
    <x:xf numFmtId="164" fontId="46" fillId="0" borderId="5" xfId="3" applyNumberFormat="1" applyFont="1" applyBorder="1" applyAlignment="1">
      <x:alignment horizontal="center" vertical="center"/>
    </x:xf>
    <x:xf numFmtId="1" fontId="36" fillId="4" borderId="5" xfId="0" applyNumberFormat="1" applyFont="1" applyFill="1" applyBorder="1" applyAlignment="1">
      <x:alignment horizontal="center" vertical="center" wrapText="1"/>
    </x:xf>
    <x:xf numFmtId="1" fontId="0" fillId="11" borderId="5" xfId="0" applyNumberFormat="1" applyFill="1" applyBorder="1" applyAlignment="1">
      <x:alignment horizontal="center" vertical="center"/>
    </x:xf>
    <x:xf numFmtId="1" fontId="0" fillId="18" borderId="41" xfId="0" applyNumberFormat="1" applyFill="1" applyBorder="1" applyAlignment="1">
      <x:alignment horizontal="center" vertical="center" wrapText="1"/>
    </x:xf>
    <x:xf numFmtId="1" fontId="0" fillId="15" borderId="5" xfId="0" applyNumberFormat="1" applyFill="1" applyBorder="1" applyAlignment="1">
      <x:alignment horizontal="center" vertical="center"/>
    </x:xf>
    <x:xf numFmtId="1" fontId="37" fillId="17" borderId="38" xfId="0" applyNumberFormat="1" applyFont="1" applyFill="1" applyBorder="1" applyAlignment="1">
      <x:alignment horizontal="center" vertical="center" wrapText="1"/>
    </x:xf>
    <x:xf numFmtId="1" fontId="0" fillId="16" borderId="5" xfId="0" applyNumberFormat="1" applyFill="1" applyBorder="1" applyAlignment="1">
      <x:alignment horizontal="center" vertical="center"/>
    </x:xf>
    <x:xf numFmtId="1" fontId="0" fillId="16" borderId="22" xfId="0" applyNumberFormat="1" applyFill="1" applyBorder="1" applyAlignment="1">
      <x:alignment horizontal="center" vertical="center"/>
    </x:xf>
    <x:xf numFmtId="1" fontId="0" fillId="19" borderId="37" xfId="0" applyNumberFormat="1" applyFill="1" applyBorder="1" applyAlignment="1">
      <x:alignment horizontal="center" vertical="center" wrapText="1"/>
    </x:xf>
    <x:xf numFmtId="1" fontId="0" fillId="20" borderId="5" xfId="0" applyNumberFormat="1" applyFill="1" applyBorder="1" applyAlignment="1">
      <x:alignment horizontal="center" vertical="center"/>
    </x:xf>
    <x:xf numFmtId="1" fontId="0" fillId="4" borderId="5" xfId="0" applyNumberFormat="1" applyFill="1" applyBorder="1" applyAlignment="1">
      <x:alignment horizontal="center" vertical="center"/>
    </x:xf>
    <x:xf numFmtId="1" fontId="0" fillId="0" borderId="0" xfId="0" applyNumberFormat="1"/>
    <x:xf numFmtId="3" fontId="36" fillId="4" borderId="5" xfId="0" applyNumberFormat="1" applyFont="1" applyFill="1" applyBorder="1" applyAlignment="1">
      <x:alignment horizontal="center" vertical="center" wrapText="1"/>
    </x:xf>
    <x:xf numFmtId="3" fontId="0" fillId="11" borderId="5" xfId="0" applyNumberFormat="1" applyFill="1" applyBorder="1" applyAlignment="1">
      <x:alignment horizontal="center" vertical="center"/>
    </x:xf>
    <x:xf numFmtId="3" fontId="0" fillId="18" borderId="41" xfId="0" applyNumberFormat="1" applyFill="1" applyBorder="1" applyAlignment="1">
      <x:alignment horizontal="center" vertical="center" wrapText="1"/>
    </x:xf>
    <x:xf numFmtId="3" fontId="0" fillId="15" borderId="5" xfId="0" applyNumberFormat="1" applyFill="1" applyBorder="1" applyAlignment="1">
      <x:alignment horizontal="center" vertical="center"/>
    </x:xf>
    <x:xf numFmtId="3" fontId="37" fillId="17" borderId="38" xfId="0" applyNumberFormat="1" applyFont="1" applyFill="1" applyBorder="1" applyAlignment="1">
      <x:alignment horizontal="center" vertical="center" wrapText="1"/>
    </x:xf>
    <x:xf numFmtId="3" fontId="0" fillId="19" borderId="37" xfId="0" applyNumberFormat="1" applyFill="1" applyBorder="1" applyAlignment="1">
      <x:alignment horizontal="center" vertical="center" wrapText="1"/>
    </x:xf>
    <x:xf numFmtId="3" fontId="0" fillId="20" borderId="5" xfId="0" applyNumberFormat="1" applyFill="1" applyBorder="1" applyAlignment="1">
      <x:alignment horizontal="center" vertical="center"/>
    </x:xf>
    <x:xf numFmtId="3" fontId="0" fillId="0" borderId="0" xfId="0" applyNumberFormat="1"/>
    <x:xf numFmtId="164" fontId="47" fillId="0" borderId="0" xfId="0" applyFont="1"/>
    <x:xf numFmtId="164" fontId="46" fillId="0" borderId="0" xfId="3" applyNumberFormat="1" applyFont="1" applyFill="1" applyAlignment="1">
      <x:alignment wrapText="1"/>
    </x:xf>
    <x:xf numFmtId="1" fontId="15" fillId="2" borderId="35" xfId="3" applyNumberFormat="1" applyFill="1" applyBorder="1" applyAlignment="1">
      <x:alignment horizontal="left" vertical="center" wrapText="1"/>
    </x:xf>
    <x:xf numFmtId="49" fontId="0" fillId="0" borderId="43" xfId="0" applyNumberFormat="1" applyBorder="1" applyAlignment="1">
      <x:alignment horizontal="left" vertical="center"/>
    </x:xf>
    <x:xf numFmtId="164" fontId="51" fillId="21" borderId="47" xfId="0" applyFont="1" applyFill="1" applyBorder="1" applyAlignment="1">
      <x:alignment horizontal="center" vertical="center" wrapText="1"/>
    </x:xf>
    <x:xf numFmtId="164" fontId="51" fillId="21" borderId="47" xfId="0" applyFont="1" applyFill="1" applyBorder="1" applyAlignment="1">
      <x:alignment vertical="center" wrapText="1"/>
    </x:xf>
    <x:xf numFmtId="164" fontId="51" fillId="21" borderId="48" xfId="0" applyFont="1" applyFill="1" applyBorder="1" applyAlignment="1">
      <x:alignment horizontal="center" vertical="center" wrapText="1"/>
    </x:xf>
    <x:xf numFmtId="164" fontId="0" fillId="18" borderId="0" xfId="0" applyFill="1"/>
    <x:xf numFmtId="164" fontId="0" fillId="18" borderId="49" xfId="0" applyFill="1" applyBorder="1"/>
    <x:xf numFmtId="164" fontId="0" fillId="0" borderId="39" xfId="0" applyBorder="1"/>
    <x:xf numFmtId="164" fontId="0" fillId="0" borderId="51" xfId="0" applyBorder="1" applyAlignment="1">
      <x:alignment wrapText="1"/>
    </x:xf>
    <x:xf numFmtId="164" fontId="0" fillId="0" borderId="50" xfId="0" applyBorder="1" applyAlignment="1">
      <x:alignment wrapText="1"/>
    </x:xf>
    <x:xf numFmtId="164" fontId="0" fillId="0" borderId="39" xfId="0" applyBorder="1" applyAlignment="1">
      <x:alignment wrapText="1"/>
    </x:xf>
    <x:xf numFmtId="164" fontId="0" fillId="0" borderId="39" xfId="0" applyBorder="1" applyAlignment="1">
      <x:alignment horizontal="center" vertical="center"/>
    </x:xf>
    <x:xf numFmtId="0" fontId="0" fillId="0" borderId="0" xfId="0" applyNumberFormat="1"/>
    <x:xf numFmtId="0" fontId="0" fillId="0" borderId="49" xfId="0" applyNumberFormat="1" applyBorder="1"/>
    <x:xf numFmtId="0" fontId="0" fillId="0" borderId="50" xfId="0" applyNumberFormat="1" applyBorder="1"/>
    <x:xf numFmtId="0" fontId="0" fillId="0" borderId="0" xfId="0" applyNumberFormat="1" applyAlignment="1">
      <x:alignment horizontal="right"/>
    </x:xf>
    <x:xf numFmtId="0" fontId="0" fillId="0" borderId="39" xfId="0" applyNumberFormat="1" applyBorder="1"/>
    <x:xf numFmtId="0" fontId="0" fillId="0" borderId="51" xfId="0" applyNumberFormat="1" applyBorder="1"/>
    <x:xf numFmtId="0" fontId="0" fillId="0" borderId="50" xfId="0" applyNumberFormat="1" applyBorder="1" applyAlignment="1">
      <x:alignment horizontal="right"/>
    </x:xf>
    <x:xf numFmtId="164" fontId="0" fillId="0" borderId="0" xfId="0"/>
    <x:xf numFmtId="164" fontId="51" fillId="0" borderId="0" xfId="0" applyFont="1"/>
    <x:xf numFmtId="11" fontId="0" fillId="0" borderId="0" xfId="0" applyNumberFormat="1"/>
    <x:xf numFmtId="169" fontId="0" fillId="0" borderId="0" xfId="0" applyNumberFormat="1"/>
    <x:xf numFmtId="1" fontId="15" fillId="0" borderId="35" xfId="3" applyNumberFormat="1" applyFill="1" applyBorder="1" applyAlignment="1">
      <x:alignment horizontal="left" vertical="center" wrapText="1"/>
    </x:xf>
    <x:xf numFmtId="164" fontId="51" fillId="22" borderId="47" xfId="0" applyFont="1" applyFill="1" applyBorder="1"/>
    <x:xf numFmtId="164" fontId="51" fillId="22" borderId="52" xfId="0" applyFont="1" applyFill="1" applyBorder="1"/>
    <x:xf numFmtId="1" fontId="44" fillId="0" borderId="35" xfId="1" applyNumberFormat="1" applyFont="1" applyBorder="1" applyAlignment="1">
      <x:alignment horizontal="left" vertical="center" wrapText="1"/>
    </x:xf>
    <x:xf numFmtId="164" fontId="0" fillId="0" borderId="24" xfId="0" applyBorder="1"/>
    <x:xf numFmtId="164" fontId="0" fillId="0" borderId="5" xfId="0" applyBorder="1"/>
    <x:xf numFmtId="164" fontId="0" fillId="0" borderId="25" xfId="0" applyBorder="1"/>
    <x:xf numFmtId="164" fontId="51" fillId="0" borderId="53" xfId="0" applyFont="1" applyBorder="1"/>
    <x:xf numFmtId="164" fontId="0" fillId="0" borderId="53" xfId="0" applyBorder="1"/>
    <x:xf numFmtId="164" fontId="0" fillId="0" borderId="37" xfId="0" applyBorder="1"/>
    <x:xf numFmtId="164" fontId="0" fillId="0" borderId="37" xfId="0" applyBorder="1"/>
    <x:xf numFmtId="164" fontId="0" fillId="0" borderId="22" xfId="0" applyBorder="1"/>
    <x:xf numFmtId="164" fontId="0" fillId="0" borderId="34" xfId="0" applyBorder="1"/>
    <x:xf numFmtId="164" fontId="51" fillId="0" borderId="54" xfId="0" applyFont="1" applyBorder="1"/>
    <x:xf numFmtId="164" fontId="0" fillId="0" borderId="54" xfId="0" applyBorder="1"/>
    <x:xf numFmtId="164" fontId="0" fillId="0" borderId="35" xfId="0" applyBorder="1"/>
    <x:xf numFmtId="164" fontId="5" fillId="0" borderId="35" xfId="0" applyFont="1" applyBorder="1"/>
    <x:xf numFmtId="164" fontId="0" fillId="0" borderId="55" xfId="0" applyBorder="1"/>
    <x:xf numFmtId="1" fontId="15" fillId="0" borderId="5" xfId="3" applyNumberFormat="1" applyFill="1" applyBorder="1" applyAlignment="1">
      <x:alignment horizontal="left" vertical="center" wrapText="1"/>
    </x:xf>
    <x:xf numFmtId="1" fontId="53" fillId="2" borderId="35" xfId="3" applyNumberFormat="1" applyFont="1" applyFill="1" applyBorder="1" applyAlignment="1">
      <x:alignment horizontal="left" vertical="center" wrapText="1"/>
    </x:xf>
    <x:xf numFmtId="1" fontId="53" fillId="0" borderId="5" xfId="1" applyNumberFormat="1" applyFont="1" applyBorder="1" applyAlignment="1">
      <x:alignment horizontal="left" vertical="center" wrapText="1"/>
    </x:xf>
    <x:xf numFmtId="164" fontId="53" fillId="0" borderId="5" xfId="3" applyNumberFormat="1" applyFont="1" applyFill="1" applyBorder="1" applyAlignment="1">
      <x:alignment vertical="center" wrapText="1"/>
    </x:xf>
    <x:xf numFmtId="1" fontId="15" fillId="2" borderId="35" xfId="3" applyNumberFormat="1" applyFill="1" applyBorder="1" applyAlignment="1">
      <x:alignment horizontal="center" vertical="center" wrapText="1"/>
    </x:xf>
    <x:xf numFmtId="1" fontId="54" fillId="0" borderId="35" xfId="3" applyNumberFormat="1" applyFont="1" applyFill="1" applyBorder="1" applyAlignment="1">
      <x:alignment horizontal="left" vertical="center" wrapText="1"/>
    </x:xf>
    <x:xf numFmtId="1" fontId="53" fillId="2" borderId="35" xfId="1" applyNumberFormat="1" applyFont="1" applyFill="1" applyBorder="1" applyAlignment="1">
      <x:alignment horizontal="left" vertical="center" wrapText="1"/>
    </x:xf>
    <x:xf numFmtId="0" fontId="0" fillId="0" borderId="0" xfId="0" applyNumberFormat="1"/>
    <x:xf numFmtId="1" fontId="6" fillId="0" borderId="35" xfId="1" applyNumberFormat="1" applyBorder="1" applyAlignment="1">
      <x:alignment horizontal="left" vertical="top" wrapText="1"/>
    </x:xf>
    <x:xf numFmtId="164" fontId="0" fillId="0" borderId="6" xfId="0" applyBorder="1" applyAlignment="1">
      <x:alignment horizontal="center" vertical="top"/>
    </x:xf>
    <x:xf numFmtId="1" fontId="6" fillId="9" borderId="35" xfId="1" applyNumberFormat="1" applyFill="1" applyBorder="1" applyAlignment="1">
      <x:alignment horizontal="left" vertical="top" wrapText="1"/>
    </x:xf>
    <x:xf numFmtId="1" fontId="6" fillId="2" borderId="35" xfId="1" applyNumberFormat="1" applyFill="1" applyBorder="1" applyAlignment="1">
      <x:alignment horizontal="left" vertical="top" wrapText="1"/>
    </x:xf>
    <x:xf numFmtId="14" fontId="6" fillId="2" borderId="23" xfId="1" applyNumberFormat="1" applyFill="1" applyBorder="1" applyAlignment="1">
      <x:alignment horizontal="center" vertical="top" wrapText="1"/>
    </x:xf>
    <x:xf numFmtId="1" fontId="53" fillId="9" borderId="35" xfId="1" applyNumberFormat="1" applyFont="1" applyFill="1" applyBorder="1" applyAlignment="1">
      <x:alignment horizontal="left" vertical="top" wrapText="1"/>
    </x:xf>
    <x:xf numFmtId="1" fontId="6" fillId="0" borderId="35" xfId="1" applyNumberFormat="1" applyBorder="1" applyAlignment="1">
      <x:alignment horizontal="left" vertical="center" wrapText="1"/>
    </x:xf>
    <x:xf numFmtId="1" fontId="53" fillId="2" borderId="35" xfId="1" applyNumberFormat="1" applyFont="1" applyFill="1" applyBorder="1" applyAlignment="1">
      <x:alignment horizontal="left" vertical="top" wrapText="1"/>
    </x:xf>
    <x:xf numFmtId="1" fontId="53" fillId="0" borderId="35" xfId="1" applyNumberFormat="1" applyFont="1" applyBorder="1" applyAlignment="1">
      <x:alignment horizontal="left" vertical="top" wrapText="1"/>
    </x:xf>
    <x:xf numFmtId="164" fontId="30" fillId="0" borderId="6" xfId="0" applyFont="1" applyBorder="1" applyAlignment="1">
      <x:alignment horizontal="center" vertical="top"/>
    </x:xf>
    <x:xf numFmtId="49" fontId="59" fillId="0" borderId="4" xfId="0" applyNumberFormat="1" applyFont="1" applyBorder="1" applyAlignment="1">
      <x:alignment horizontal="left" vertical="center"/>
    </x:xf>
    <x:xf numFmtId="1" fontId="60" fillId="0" borderId="5" xfId="1" applyNumberFormat="1" applyFont="1" applyBorder="1" applyAlignment="1">
      <x:alignment horizontal="left" vertical="center" wrapText="1"/>
    </x:xf>
    <x:xf numFmtId="1" fontId="60" fillId="2" borderId="35" xfId="1" applyNumberFormat="1" applyFont="1" applyFill="1" applyBorder="1" applyAlignment="1">
      <x:alignment horizontal="left" vertical="center" wrapText="1"/>
    </x:xf>
    <x:xf numFmtId="1" fontId="60" fillId="2" borderId="35" xfId="1" applyNumberFormat="1" applyFont="1" applyFill="1" applyBorder="1" applyAlignment="1">
      <x:alignment horizontal="center" vertical="center" wrapText="1"/>
    </x:xf>
    <x:xf numFmtId="164" fontId="59" fillId="0" borderId="24" xfId="0" applyFont="1" applyBorder="1" applyAlignment="1">
      <x:alignment horizontal="left" vertical="center"/>
    </x:xf>
    <x:xf numFmtId="164" fontId="59" fillId="0" borderId="5" xfId="0" applyFont="1" applyBorder="1" applyAlignment="1">
      <x:alignment horizontal="left" vertical="center"/>
    </x:xf>
    <x:xf numFmtId="0" fontId="59" fillId="0" borderId="5" xfId="0" applyNumberFormat="1" applyFont="1" applyBorder="1" applyAlignment="1">
      <x:alignment vertical="center"/>
    </x:xf>
    <x:xf numFmtId="164" fontId="53" fillId="0" borderId="37" xfId="0" applyFont="1" applyBorder="1" applyAlignment="1">
      <x:alignment wrapText="1"/>
    </x:xf>
    <x:xf numFmtId="1" fontId="53" fillId="0" borderId="35" xfId="1" applyNumberFormat="1" applyFont="1" applyBorder="1" applyAlignment="1">
      <x:alignment horizontal="left" vertical="center" wrapText="1"/>
    </x:xf>
    <x:xf numFmtId="164" fontId="0" fillId="23" borderId="0" xfId="0" applyFill="1"/>
    <x:xf numFmtId="0" fontId="0" fillId="23" borderId="0" xfId="0" applyNumberFormat="1" applyFill="1"/>
    <x:xf numFmtId="0" fontId="0" fillId="13" borderId="0" xfId="0" applyNumberFormat="1" applyFill="1"/>
    <x:xf numFmtId="0" fontId="0" fillId="24" borderId="0" xfId="0" applyNumberFormat="1" applyFill="1"/>
    <x:xf numFmtId="11" fontId="0" fillId="24" borderId="0" xfId="0" applyNumberFormat="1" applyFill="1"/>
    <x:xf numFmtId="0" fontId="0" fillId="25" borderId="0" xfId="0" applyNumberFormat="1" applyFill="1"/>
    <x:xf numFmtId="164" fontId="0" fillId="25" borderId="0" xfId="0" applyFill="1"/>
    <x:xf numFmtId="164" fontId="0" fillId="18" borderId="39" xfId="0" applyFill="1" applyBorder="1"/>
    <x:xf numFmtId="0" fontId="0" fillId="24" borderId="39" xfId="0" applyNumberFormat="1" applyFill="1" applyBorder="1"/>
    <x:xf numFmtId="0" fontId="0" fillId="26" borderId="0" xfId="0" applyNumberFormat="1" applyFill="1"/>
    <x:xf numFmtId="0" fontId="0" fillId="0" borderId="11" xfId="0" applyNumberFormat="1" applyBorder="1"/>
    <x:xf numFmtId="1" fontId="0" fillId="0" borderId="0" xfId="0" applyNumberFormat="1" applyAlignment="1">
      <x:alignment horizontal="center" vertical="center" wrapText="1"/>
    </x:xf>
    <x:xf numFmtId="1" fontId="0" fillId="0" borderId="0" xfId="0" applyNumberFormat="1" applyAlignment="1">
      <x:alignment horizontal="center" vertical="center"/>
    </x:xf>
    <x:xf numFmtId="1" fontId="0" fillId="0" borderId="39" xfId="0" applyNumberFormat="1" applyBorder="1" applyAlignment="1">
      <x:alignment horizontal="center" vertical="center"/>
    </x:xf>
    <x:xf numFmtId="0" fontId="0" fillId="13" borderId="49" xfId="0" applyNumberFormat="1" applyFill="1" applyBorder="1"/>
    <x:xf numFmtId="164" fontId="0" fillId="13" borderId="49" xfId="0" applyFill="1" applyBorder="1" applyAlignment="1">
      <x:alignment wrapText="1"/>
    </x:xf>
    <x:xf numFmtId="0" fontId="0" fillId="13" borderId="39" xfId="0" applyNumberFormat="1" applyFill="1" applyBorder="1"/>
    <x:xf numFmtId="164" fontId="0" fillId="13" borderId="39" xfId="0" applyFill="1" applyBorder="1" applyAlignment="1">
      <x:alignment wrapText="1"/>
    </x:xf>
    <x:xf numFmtId="164" fontId="0" fillId="0" borderId="0" xfId="0" applyAlignment="1">
      <x:alignment vertical="center" wrapText="1"/>
    </x:xf>
    <x:xf numFmtId="0" fontId="0" fillId="0" borderId="39" xfId="0" applyNumberFormat="1" applyBorder="1" applyAlignment="1">
      <x:alignment vertical="center"/>
    </x:xf>
    <x:xf numFmtId="164" fontId="0" fillId="13" borderId="0" xfId="0" applyFill="1" applyAlignment="1">
      <x:alignment vertical="center" wrapText="1"/>
    </x:xf>
    <x:xf numFmtId="0" fontId="0" fillId="13" borderId="39" xfId="0" applyNumberFormat="1" applyFill="1" applyBorder="1" applyAlignment="1">
      <x:alignment vertical="center"/>
    </x:xf>
    <x:xf numFmtId="0" fontId="0" fillId="13" borderId="0" xfId="0" applyNumberFormat="1" applyFill="1" applyAlignment="1">
      <x:alignment vertical="center"/>
    </x:xf>
    <x:xf numFmtId="0" fontId="0" fillId="13" borderId="49" xfId="0" applyNumberFormat="1" applyFill="1" applyBorder="1" applyAlignment="1">
      <x:alignment vertical="center"/>
    </x:xf>
    <x:xf numFmtId="0" fontId="0" fillId="24" borderId="49" xfId="0" applyNumberFormat="1" applyFill="1" applyBorder="1"/>
    <x:xf numFmtId="164" fontId="51" fillId="0" borderId="0" xfId="0" applyFont="1" applyAlignment="1">
      <x:alignment horizontal="center" vertical="center" wrapText="1"/>
    </x:xf>
    <x:xf numFmtId="1" fontId="0" fillId="0" borderId="0" xfId="0" applyNumberFormat="1" applyAlignment="1">
      <x:alignment horizontal="center"/>
    </x:xf>
    <x:xf numFmtId="1" fontId="0" fillId="0" borderId="39" xfId="0" applyNumberFormat="1" applyBorder="1" applyAlignment="1">
      <x:alignment vertical="center"/>
    </x:xf>
    <x:xf numFmtId="0" fontId="0" fillId="0" borderId="11" xfId="0" applyNumberFormat="1" applyBorder="1" applyAlignment="1">
      <x:alignment vertical="center"/>
    </x:xf>
    <x:xf numFmtId="49" fontId="6" fillId="2" borderId="5" xfId="1" applyNumberFormat="1" applyFill="1" applyBorder="1" applyAlignment="1">
      <x:alignment horizontal="left" vertical="top" wrapText="1"/>
    </x:xf>
    <x:xf numFmtId="49" fontId="6" fillId="2" borderId="29" xfId="1" applyNumberFormat="1" applyFill="1" applyBorder="1" applyAlignment="1">
      <x:alignment horizontal="left" vertical="top" wrapText="1"/>
    </x:xf>
    <x:xf numFmtId="164" fontId="14" fillId="3" borderId="1" xfId="2" applyFont="1" applyFill="1" applyBorder="1" applyAlignment="1">
      <x:alignment horizontal="center"/>
    </x:xf>
    <x:xf numFmtId="164" fontId="14" fillId="3" borderId="2" xfId="2" applyFont="1" applyFill="1" applyBorder="1" applyAlignment="1">
      <x:alignment horizontal="center"/>
    </x:xf>
    <x:xf numFmtId="164" fontId="14" fillId="3" borderId="3" xfId="2" applyFont="1" applyFill="1" applyBorder="1" applyAlignment="1">
      <x:alignment horizontal="center"/>
    </x:xf>
    <x:xf numFmtId="164" fontId="14" fillId="4" borderId="5" xfId="41" applyFont="1" applyFill="1" applyBorder="1" applyAlignment="1">
      <x:alignment horizontal="center" vertical="top" wrapText="1"/>
    </x:xf>
    <x:xf numFmtId="164" fontId="7" fillId="2" borderId="1" xfId="1" applyFont="1" applyFill="1" applyBorder="1" applyAlignment="1">
      <x:alignment horizontal="center" vertical="center"/>
    </x:xf>
    <x:xf numFmtId="164" fontId="7" fillId="2" borderId="4" xfId="1" applyFont="1" applyFill="1" applyBorder="1" applyAlignment="1">
      <x:alignment horizontal="center" vertical="center"/>
    </x:xf>
    <x:xf numFmtId="164" fontId="8" fillId="2" borderId="2" xfId="1" applyFont="1" applyFill="1" applyBorder="1" applyAlignment="1">
      <x:alignment horizontal="center" vertical="center" wrapText="1"/>
    </x:xf>
    <x:xf numFmtId="164" fontId="8" fillId="2" borderId="5" xfId="1" applyFont="1" applyFill="1" applyBorder="1" applyAlignment="1">
      <x:alignment horizontal="center" vertical="center" wrapText="1"/>
    </x:xf>
    <x:xf numFmtId="164" fontId="9" fillId="2" borderId="2" xfId="1" applyFont="1" applyFill="1" applyBorder="1" applyAlignment="1">
      <x:alignment horizontal="center" vertical="center"/>
    </x:xf>
    <x:xf numFmtId="164" fontId="9" fillId="2" borderId="3" xfId="1" applyFont="1" applyFill="1" applyBorder="1" applyAlignment="1">
      <x:alignment horizontal="center" vertical="center"/>
    </x:xf>
    <x:xf numFmtId="164" fontId="9" fillId="2" borderId="5" xfId="1" applyFont="1" applyFill="1" applyBorder="1" applyAlignment="1">
      <x:alignment horizontal="center" vertical="center"/>
    </x:xf>
    <x:xf numFmtId="164" fontId="9" fillId="2" borderId="6" xfId="1" applyFont="1" applyFill="1" applyBorder="1" applyAlignment="1">
      <x:alignment horizontal="center" vertical="center"/>
    </x:xf>
    <x:xf numFmtId="164" fontId="34" fillId="3" borderId="8" xfId="1" applyFont="1" applyFill="1" applyBorder="1" applyAlignment="1">
      <x:alignment horizontal="left"/>
    </x:xf>
    <x:xf numFmtId="164" fontId="10" fillId="3" borderId="8" xfId="1" applyFont="1" applyFill="1" applyBorder="1" applyAlignment="1">
      <x:alignment horizontal="center"/>
    </x:xf>
    <x:xf numFmtId="164" fontId="10" fillId="3" borderId="9" xfId="1" applyFont="1" applyFill="1" applyBorder="1" applyAlignment="1">
      <x:alignment horizontal="center"/>
    </x:xf>
    <x:xf numFmtId="164" fontId="14" fillId="3" borderId="10" xfId="41" applyFont="1" applyFill="1" applyBorder="1" applyAlignment="1">
      <x:alignment horizontal="center"/>
    </x:xf>
    <x:xf numFmtId="164" fontId="14" fillId="3" borderId="11" xfId="41" applyFont="1" applyFill="1" applyBorder="1" applyAlignment="1">
      <x:alignment horizontal="center"/>
    </x:xf>
    <x:xf numFmtId="164" fontId="14" fillId="3" borderId="12" xfId="41" applyFont="1" applyFill="1" applyBorder="1" applyAlignment="1">
      <x:alignment horizontal="center"/>
    </x:xf>
    <x:xf numFmtId="164" fontId="6" fillId="2" borderId="13" xfId="1" applyFill="1" applyBorder="1" applyAlignment="1">
      <x:alignment horizontal="left" vertical="top" wrapText="1"/>
    </x:xf>
    <x:xf numFmtId="164" fontId="6" fillId="2" borderId="14" xfId="1" applyFill="1" applyBorder="1" applyAlignment="1">
      <x:alignment horizontal="left" vertical="top" wrapText="1"/>
    </x:xf>
    <x:xf numFmtId="164" fontId="6" fillId="2" borderId="15" xfId="1" applyFill="1" applyBorder="1" applyAlignment="1">
      <x:alignment horizontal="left" vertical="top" wrapText="1"/>
    </x:xf>
    <x:xf numFmtId="49" fontId="6" fillId="2" borderId="24" xfId="1" applyNumberFormat="1" applyFill="1" applyBorder="1" applyAlignment="1">
      <x:alignment horizontal="left" vertical="top" wrapText="1"/>
    </x:xf>
    <x:xf numFmtId="49" fontId="6" fillId="2" borderId="20" xfId="1" applyNumberFormat="1" applyFill="1" applyBorder="1" applyAlignment="1">
      <x:alignment horizontal="left" vertical="top" wrapText="1"/>
    </x:xf>
    <x:xf numFmtId="49" fontId="6" fillId="2" borderId="25" xfId="1" applyNumberFormat="1" applyFill="1" applyBorder="1" applyAlignment="1">
      <x:alignment horizontal="left" vertical="top" wrapText="1"/>
    </x:xf>
    <x:xf numFmtId="49" fontId="6" fillId="2" borderId="26" xfId="1" applyNumberFormat="1" applyFill="1" applyBorder="1" applyAlignment="1">
      <x:alignment horizontal="left" vertical="top" wrapText="1"/>
    </x:xf>
    <x:xf numFmtId="49" fontId="6" fillId="2" borderId="14" xfId="1" applyNumberFormat="1" applyFill="1" applyBorder="1" applyAlignment="1">
      <x:alignment horizontal="left" vertical="top" wrapText="1"/>
    </x:xf>
    <x:xf numFmtId="49" fontId="6" fillId="2" borderId="27" xfId="1" applyNumberFormat="1" applyFill="1" applyBorder="1" applyAlignment="1">
      <x:alignment horizontal="left" vertical="top" wrapText="1"/>
    </x:xf>
    <x:xf numFmtId="164" fontId="14" fillId="3" borderId="1" xfId="41" applyFont="1" applyFill="1" applyBorder="1" applyAlignment="1">
      <x:alignment horizontal="center"/>
    </x:xf>
    <x:xf numFmtId="164" fontId="14" fillId="3" borderId="2" xfId="41" applyFont="1" applyFill="1" applyBorder="1" applyAlignment="1">
      <x:alignment horizontal="center"/>
    </x:xf>
    <x:xf numFmtId="164" fontId="14" fillId="3" borderId="3" xfId="41" applyFont="1" applyFill="1" applyBorder="1" applyAlignment="1">
      <x:alignment horizontal="center"/>
    </x:xf>
    <x:xf numFmtId="164" fontId="6" fillId="2" borderId="13" xfId="1" applyFill="1" applyBorder="1" applyAlignment="1">
      <x:alignment horizontal="left" vertical="top" wrapText="1"/>
    </x:xf>
    <x:xf numFmtId="164" fontId="15" fillId="2" borderId="17" xfId="3" applyNumberFormat="1" applyFill="1" applyBorder="1" applyAlignment="1">
      <x:alignment horizontal="left"/>
    </x:xf>
    <x:xf numFmtId="164" fontId="11" fillId="2" borderId="17" xfId="1" applyFont="1" applyFill="1" applyBorder="1" applyAlignment="1">
      <x:alignment horizontal="left"/>
    </x:xf>
    <x:xf numFmtId="164" fontId="11" fillId="2" borderId="18" xfId="1" applyFont="1" applyFill="1" applyBorder="1" applyAlignment="1">
      <x:alignment horizontal="left"/>
    </x:xf>
    <x:xf numFmtId="164" fontId="14" fillId="4" borderId="24" xfId="2" applyFont="1" applyFill="1" applyBorder="1" applyAlignment="1">
      <x:alignment horizontal="center" vertical="top" wrapText="1"/>
    </x:xf>
    <x:xf numFmtId="164" fontId="14" fillId="4" borderId="20" xfId="2" applyFont="1" applyFill="1" applyBorder="1" applyAlignment="1">
      <x:alignment horizontal="center" vertical="top" wrapText="1"/>
    </x:xf>
    <x:xf numFmtId="164" fontId="14" fillId="4" borderId="25" xfId="2" applyFont="1" applyFill="1" applyBorder="1" applyAlignment="1">
      <x:alignment horizontal="center" vertical="top" wrapText="1"/>
    </x:xf>
    <x:xf numFmtId="164" fontId="6" fillId="2" borderId="24" xfId="2" applyFont="1" applyFill="1" applyBorder="1" applyAlignment="1">
      <x:alignment horizontal="center" vertical="center" wrapText="1"/>
    </x:xf>
    <x:xf numFmtId="164" fontId="6" fillId="2" borderId="20" xfId="2" applyFont="1" applyFill="1" applyBorder="1" applyAlignment="1">
      <x:alignment horizontal="center" vertical="center" wrapText="1"/>
    </x:xf>
    <x:xf numFmtId="164" fontId="6" fillId="2" borderId="25" xfId="2" applyFont="1" applyFill="1" applyBorder="1" applyAlignment="1">
      <x:alignment horizontal="center" vertical="center" wrapText="1"/>
    </x:xf>
    <x:xf numFmtId="49" fontId="6" fillId="2" borderId="26" xfId="1" applyNumberFormat="1" applyFill="1" applyBorder="1" applyAlignment="1">
      <x:alignment horizontal="center" vertical="center" wrapText="1"/>
    </x:xf>
    <x:xf numFmtId="49" fontId="6" fillId="2" borderId="14" xfId="1" applyNumberFormat="1" applyFill="1" applyBorder="1" applyAlignment="1">
      <x:alignment horizontal="center" vertical="center" wrapText="1"/>
    </x:xf>
    <x:xf numFmtId="49" fontId="6" fillId="2" borderId="27" xfId="1" applyNumberFormat="1" applyFill="1" applyBorder="1" applyAlignment="1">
      <x:alignment horizontal="center" vertical="center" wrapText="1"/>
    </x:xf>
    <x:xf numFmtId="49" fontId="6" fillId="2" borderId="24" xfId="1" applyNumberFormat="1" applyFill="1" applyBorder="1" applyAlignment="1">
      <x:alignment horizontal="center" vertical="center" wrapText="1"/>
    </x:xf>
    <x:xf numFmtId="49" fontId="6" fillId="2" borderId="20" xfId="1" applyNumberFormat="1" applyFill="1" applyBorder="1" applyAlignment="1">
      <x:alignment horizontal="center" vertical="center" wrapText="1"/>
    </x:xf>
    <x:xf numFmtId="49" fontId="6" fillId="2" borderId="25" xfId="1" applyNumberFormat="1" applyFill="1" applyBorder="1" applyAlignment="1">
      <x:alignment horizontal="center" vertical="center" wrapText="1"/>
    </x:xf>
    <x:xf numFmtId="164" fontId="14" fillId="3" borderId="10" xfId="2" applyFont="1" applyFill="1" applyBorder="1" applyAlignment="1">
      <x:alignment horizontal="center"/>
    </x:xf>
    <x:xf numFmtId="164" fontId="14" fillId="3" borderId="11" xfId="2" applyFont="1" applyFill="1" applyBorder="1" applyAlignment="1">
      <x:alignment horizontal="center"/>
    </x:xf>
    <x:xf numFmtId="164" fontId="14" fillId="3" borderId="12" xfId="2" applyFont="1" applyFill="1" applyBorder="1" applyAlignment="1">
      <x:alignment horizontal="center"/>
    </x:xf>
    <x:xf numFmtId="1" fontId="10" fillId="0" borderId="42" xfId="1" applyNumberFormat="1" applyFont="1" applyBorder="1" applyAlignment="1">
      <x:alignment horizontal="left" vertical="center" wrapText="1"/>
    </x:xf>
    <x:xf numFmtId="1" fontId="10" fillId="0" borderId="20" xfId="1" applyNumberFormat="1" applyFont="1" applyBorder="1" applyAlignment="1">
      <x:alignment horizontal="left" vertical="center" wrapText="1"/>
    </x:xf>
    <x:xf numFmtId="1" fontId="10" fillId="0" borderId="25" xfId="1" applyNumberFormat="1" applyFont="1" applyBorder="1" applyAlignment="1">
      <x:alignment horizontal="left" vertical="center" wrapText="1"/>
    </x:xf>
    <x:xf numFmtId="1" fontId="14" fillId="0" borderId="42" xfId="1" applyNumberFormat="1" applyFont="1" applyBorder="1" applyAlignment="1">
      <x:alignment horizontal="left" vertical="center" wrapText="1"/>
    </x:xf>
    <x:xf numFmtId="1" fontId="14" fillId="0" borderId="20" xfId="1" applyNumberFormat="1" applyFont="1" applyBorder="1" applyAlignment="1">
      <x:alignment horizontal="left" vertical="center" wrapText="1"/>
    </x:xf>
    <x:xf numFmtId="1" fontId="14" fillId="0" borderId="25" xfId="1" applyNumberFormat="1" applyFont="1" applyBorder="1" applyAlignment="1">
      <x:alignment horizontal="left" vertical="center" wrapText="1"/>
    </x:xf>
    <x:xf numFmtId="164" fontId="14" fillId="4" borderId="14" xfId="2" applyFont="1" applyFill="1" applyBorder="1" applyAlignment="1">
      <x:alignment horizontal="center" vertical="center" wrapText="1"/>
    </x:xf>
    <x:xf numFmtId="164" fontId="14" fillId="4" borderId="27" xfId="2" applyFont="1" applyFill="1" applyBorder="1" applyAlignment="1">
      <x:alignment horizontal="center" vertical="center" wrapText="1"/>
    </x:xf>
    <x:xf numFmtId="164" fontId="14" fillId="3" borderId="0" xfId="2" applyFont="1" applyFill="1" applyAlignment="1">
      <x:alignment horizontal="center" vertical="center"/>
    </x:xf>
    <x:xf numFmtId="1" fontId="10" fillId="2" borderId="42" xfId="1" applyNumberFormat="1" applyFont="1" applyFill="1" applyBorder="1" applyAlignment="1">
      <x:alignment horizontal="left" vertical="center" wrapText="1"/>
    </x:xf>
    <x:xf numFmtId="1" fontId="10" fillId="2" borderId="20" xfId="1" applyNumberFormat="1" applyFont="1" applyFill="1" applyBorder="1" applyAlignment="1">
      <x:alignment horizontal="left" vertical="center" wrapText="1"/>
    </x:xf>
    <x:xf numFmtId="1" fontId="10" fillId="2" borderId="25" xfId="1" applyNumberFormat="1" applyFont="1" applyFill="1" applyBorder="1" applyAlignment="1">
      <x:alignment horizontal="left" vertical="center" wrapText="1"/>
    </x:xf>
    <x:xf numFmtId="1" fontId="10" fillId="0" borderId="42" xfId="1" applyNumberFormat="1" applyFont="1" applyBorder="1" applyAlignment="1">
      <x:alignment horizontal="left" vertical="top" wrapText="1"/>
    </x:xf>
    <x:xf numFmtId="1" fontId="10" fillId="0" borderId="20" xfId="1" applyNumberFormat="1" applyFont="1" applyBorder="1" applyAlignment="1">
      <x:alignment horizontal="left" vertical="top" wrapText="1"/>
    </x:xf>
    <x:xf numFmtId="1" fontId="10" fillId="0" borderId="25" xfId="1" applyNumberFormat="1" applyFont="1" applyBorder="1" applyAlignment="1">
      <x:alignment horizontal="left" vertical="top" wrapText="1"/>
    </x:xf>
    <x:xf numFmtId="164" fontId="14" fillId="4" borderId="0" xfId="2" applyFont="1" applyFill="1" applyAlignment="1">
      <x:alignment horizontal="center" vertical="top" wrapText="1"/>
    </x:xf>
    <x:xf numFmtId="164" fontId="14" fillId="4" borderId="34" xfId="2" applyFont="1" applyFill="1" applyBorder="1" applyAlignment="1">
      <x:alignment horizontal="center" vertical="top" wrapText="1"/>
    </x:xf>
    <x:xf numFmtId="164" fontId="51" fillId="0" borderId="24" xfId="0" applyFont="1" applyBorder="1" applyAlignment="1">
      <x:alignment horizontal="center"/>
    </x:xf>
    <x:xf numFmtId="164" fontId="51" fillId="0" borderId="25" xfId="0" applyFont="1" applyBorder="1" applyAlignment="1">
      <x:alignment horizontal="center"/>
    </x:xf>
    <x:xf numFmtId="164" fontId="51" fillId="0" borderId="22" xfId="0" applyFont="1" applyBorder="1" applyAlignment="1">
      <x:alignment horizontal="center" vertical="center"/>
    </x:xf>
    <x:xf numFmtId="164" fontId="51" fillId="0" borderId="35" xfId="0" applyFont="1" applyBorder="1" applyAlignment="1">
      <x:alignment horizontal="center" vertical="center"/>
    </x:xf>
    <x:xf numFmtId="1" fontId="0" fillId="0" borderId="0" xfId="0" applyNumberFormat="1" applyAlignment="1">
      <x:alignment horizontal="center" vertical="center"/>
    </x:xf>
    <x:xf numFmtId="1" fontId="0" fillId="0" borderId="39" xfId="0" applyNumberFormat="1" applyBorder="1" applyAlignment="1">
      <x:alignment horizontal="center" vertical="center"/>
    </x:xf>
    <x:xf numFmtId="164" fontId="0" fillId="0" borderId="0" xfId="0" applyAlignment="1">
      <x:alignment horizontal="center" vertical="center" wrapText="1"/>
    </x:xf>
    <x:xf numFmtId="164" fontId="0" fillId="0" borderId="49" xfId="0" applyBorder="1" applyAlignment="1">
      <x:alignment horizontal="center" vertical="center" wrapText="1"/>
    </x:xf>
    <x:xf numFmtId="1" fontId="0" fillId="0" borderId="51" xfId="0" applyNumberFormat="1" applyBorder="1" applyAlignment="1">
      <x:alignment horizontal="center" vertical="center"/>
    </x:xf>
    <x:xf numFmtId="1" fontId="0" fillId="0" borderId="49" xfId="0" applyNumberFormat="1" applyBorder="1" applyAlignment="1">
      <x:alignment horizontal="center" vertical="center"/>
    </x:xf>
    <x:xf numFmtId="164" fontId="50" fillId="0" borderId="44" xfId="0" applyFont="1" applyBorder="1" applyAlignment="1">
      <x:alignment horizontal="center" vertical="center"/>
    </x:xf>
    <x:xf numFmtId="164" fontId="50" fillId="0" borderId="45" xfId="0" applyFont="1" applyBorder="1" applyAlignment="1">
      <x:alignment horizontal="center" vertical="center"/>
    </x:xf>
    <x:xf numFmtId="164" fontId="50" fillId="0" borderId="46" xfId="0" applyFont="1" applyBorder="1" applyAlignment="1">
      <x:alignment horizontal="center" vertical="center"/>
    </x:xf>
    <x:xf numFmtId="164" fontId="0" fillId="0" borderId="39" xfId="0" applyBorder="1" applyAlignment="1">
      <x:alignment horizontal="center" vertical="center" wrapText="1"/>
    </x:xf>
    <x:xf numFmtId="164" fontId="0" fillId="0" borderId="50" xfId="0" applyBorder="1" applyAlignment="1">
      <x:alignment horizontal="center" vertical="center" wrapText="1"/>
    </x:xf>
    <x:xf numFmtId="164" fontId="0" fillId="0" borderId="51" xfId="0" applyBorder="1" applyAlignment="1">
      <x:alignment horizontal="center" vertical="center" wrapText="1"/>
    </x:xf>
    <x:xf numFmtId="1" fontId="0" fillId="0" borderId="51" xfId="0" applyNumberFormat="1" applyBorder="1" applyAlignment="1">
      <x:alignment horizontal="center" vertical="center" wrapText="1"/>
    </x:xf>
    <x:xf numFmtId="1" fontId="0" fillId="0" borderId="0" xfId="0" applyNumberFormat="1" applyAlignment="1">
      <x:alignment horizontal="center" vertical="center" wrapText="1"/>
    </x:xf>
    <x:xf numFmtId="1" fontId="0" fillId="0" borderId="50" xfId="0" applyNumberFormat="1" applyBorder="1" applyAlignment="1">
      <x:alignment horizontal="center" vertical="center" wrapText="1"/>
    </x:xf>
    <x:xf numFmtId="1" fontId="0" fillId="0" borderId="39" xfId="0" applyNumberFormat="1" applyBorder="1" applyAlignment="1">
      <x:alignment horizontal="center" vertical="center" wrapText="1"/>
    </x:xf>
    <x:xf numFmtId="1" fontId="0" fillId="0" borderId="49" xfId="0" applyNumberFormat="1" applyBorder="1" applyAlignment="1">
      <x:alignment horizontal="center" vertical="center" wrapText="1"/>
    </x:xf>
    <x:xf numFmtId="164" fontId="33" fillId="0" borderId="0" xfId="0" applyFont="1" applyAlignment="1">
      <x:alignment horizontal="center" wrapText="1"/>
    </x:xf>
    <x:xf numFmtId="164" fontId="0" fillId="0" borderId="39" xfId="0" applyBorder="1" applyAlignment="1">
      <x:alignment horizontal="center"/>
    </x:xf>
    <x:xf numFmtId="164" fontId="0" fillId="0" borderId="22" xfId="0" applyBorder="1" applyAlignment="1">
      <x:alignment horizontal="center" vertical="center"/>
    </x:xf>
    <x:xf numFmtId="164" fontId="0" fillId="0" borderId="35" xfId="0" applyBorder="1" applyAlignment="1">
      <x:alignment horizontal="center" vertical="center"/>
    </x:xf>
    <x:xf numFmtId="164" fontId="0" fillId="0" borderId="37" xfId="0" applyBorder="1" applyAlignment="1">
      <x:alignment horizontal="center" vertical="center"/>
    </x:xf>
    <x:xf numFmtId="164" fontId="36" fillId="13" borderId="5" xfId="0" applyFont="1" applyFill="1" applyBorder="1" applyAlignment="1">
      <x:alignment horizontal="center" vertical="center" wrapText="1"/>
    </x:xf>
    <x:xf numFmtId="3" fontId="0" fillId="4" borderId="22" xfId="0" applyNumberFormat="1" applyFill="1" applyBorder="1" applyAlignment="1">
      <x:alignment horizontal="center" vertical="center"/>
    </x:xf>
    <x:xf numFmtId="3" fontId="0" fillId="4" borderId="37" xfId="0" applyNumberFormat="1" applyFill="1" applyBorder="1" applyAlignment="1">
      <x:alignment horizontal="center" vertical="center"/>
    </x:xf>
    <x:xf numFmtId="3" fontId="0" fillId="4" borderId="35" xfId="0" applyNumberFormat="1" applyFill="1" applyBorder="1" applyAlignment="1">
      <x:alignment horizontal="center" vertical="center"/>
    </x:xf>
    <x:xf numFmtId="164" fontId="0" fillId="4" borderId="22" xfId="0" applyFill="1" applyBorder="1" applyAlignment="1">
      <x:alignment horizontal="center" vertical="center"/>
    </x:xf>
    <x:xf numFmtId="164" fontId="0" fillId="4" borderId="37" xfId="0" applyFill="1" applyBorder="1" applyAlignment="1">
      <x:alignment horizontal="center" vertical="center"/>
    </x:xf>
    <x:xf numFmtId="164" fontId="0" fillId="4" borderId="35" xfId="0" applyFill="1" applyBorder="1" applyAlignment="1">
      <x:alignment horizontal="center" vertical="center"/>
    </x:xf>
    <x:xf numFmtId="164" fontId="36" fillId="4" borderId="24" xfId="0" applyFont="1" applyFill="1" applyBorder="1" applyAlignment="1">
      <x:alignment horizontal="center" vertical="center" wrapText="1"/>
    </x:xf>
    <x:xf numFmtId="164" fontId="36" fillId="4" borderId="25" xfId="0" applyFont="1" applyFill="1" applyBorder="1" applyAlignment="1">
      <x:alignment horizontal="center" vertical="center" wrapText="1"/>
    </x:xf>
    <x:xf numFmtId="164" fontId="38" fillId="11" borderId="22" xfId="0" applyFont="1" applyFill="1" applyBorder="1" applyAlignment="1">
      <x:alignment horizontal="center" vertical="center"/>
    </x:xf>
    <x:xf numFmtId="164" fontId="38" fillId="11" borderId="35" xfId="0" applyFont="1" applyFill="1" applyBorder="1" applyAlignment="1">
      <x:alignment horizontal="center" vertical="center"/>
    </x:xf>
    <x:xf numFmtId="1" fontId="38" fillId="11" borderId="22" xfId="0" applyNumberFormat="1" applyFont="1" applyFill="1" applyBorder="1" applyAlignment="1">
      <x:alignment horizontal="center" vertical="center"/>
    </x:xf>
    <x:xf numFmtId="1" fontId="38" fillId="11" borderId="35" xfId="0" applyNumberFormat="1" applyFont="1" applyFill="1" applyBorder="1" applyAlignment="1">
      <x:alignment horizontal="center" vertical="center"/>
    </x:xf>
    <x:xf numFmtId="164" fontId="28" fillId="12" borderId="22" xfId="0" applyFont="1" applyFill="1" applyBorder="1" applyAlignment="1">
      <x:alignment horizontal="center" vertical="center" wrapText="1"/>
    </x:xf>
    <x:xf numFmtId="164" fontId="28" fillId="12" borderId="37" xfId="0" applyFont="1" applyFill="1" applyBorder="1" applyAlignment="1">
      <x:alignment horizontal="center" vertical="center" wrapText="1"/>
    </x:xf>
    <x:xf numFmtId="164" fontId="28" fillId="12" borderId="35" xfId="0" applyFont="1" applyFill="1" applyBorder="1" applyAlignment="1">
      <x:alignment horizontal="center" vertical="center" wrapText="1"/>
    </x:xf>
    <x:xf numFmtId="164" fontId="0" fillId="11" borderId="40" xfId="0" applyFill="1" applyBorder="1" applyAlignment="1">
      <x:alignment horizontal="center" vertical="center" wrapText="1"/>
    </x:xf>
    <x:xf numFmtId="164" fontId="0" fillId="11" borderId="37" xfId="0" applyFill="1" applyBorder="1" applyAlignment="1">
      <x:alignment horizontal="center" vertical="center" wrapText="1"/>
    </x:xf>
    <x:xf numFmtId="164" fontId="0" fillId="11" borderId="35" xfId="0" applyFill="1" applyBorder="1" applyAlignment="1">
      <x:alignment horizontal="center" vertical="center" wrapText="1"/>
    </x:xf>
    <x:xf numFmtId="164" fontId="37" fillId="14" borderId="22" xfId="0" applyFont="1" applyFill="1" applyBorder="1" applyAlignment="1">
      <x:alignment horizontal="center" vertical="center" wrapText="1"/>
    </x:xf>
    <x:xf numFmtId="164" fontId="37" fillId="14" borderId="37" xfId="0" applyFont="1" applyFill="1" applyBorder="1" applyAlignment="1">
      <x:alignment horizontal="center" vertical="center" wrapText="1"/>
    </x:xf>
    <x:xf numFmtId="164" fontId="37" fillId="14" borderId="35" xfId="0" applyFont="1" applyFill="1" applyBorder="1" applyAlignment="1">
      <x:alignment horizontal="center" vertical="center" wrapText="1"/>
    </x:xf>
    <x:xf numFmtId="3" fontId="0" fillId="16" borderId="37" xfId="0" applyNumberFormat="1" applyFill="1" applyBorder="1" applyAlignment="1">
      <x:alignment horizontal="center" vertical="center"/>
    </x:xf>
    <x:xf numFmtId="3" fontId="0" fillId="16" borderId="35" xfId="0" applyNumberFormat="1" applyFill="1" applyBorder="1" applyAlignment="1">
      <x:alignment horizontal="center" vertical="center"/>
    </x:xf>
    <x:xf numFmtId="164" fontId="0" fillId="16" borderId="40" xfId="0" applyFill="1" applyBorder="1" applyAlignment="1">
      <x:alignment horizontal="center" vertical="center" wrapText="1"/>
    </x:xf>
    <x:xf numFmtId="164" fontId="0" fillId="16" borderId="37" xfId="0" applyFill="1" applyBorder="1" applyAlignment="1">
      <x:alignment horizontal="center" vertical="center" wrapText="1"/>
    </x:xf>
    <x:xf numFmtId="164" fontId="0" fillId="16" borderId="35" xfId="0" applyFill="1" applyBorder="1" applyAlignment="1">
      <x:alignment horizontal="center" vertical="center" wrapText="1"/>
    </x:xf>
    <x:xf numFmtId="164" fontId="35" fillId="11" borderId="22" xfId="0" applyFont="1" applyFill="1" applyBorder="1" applyAlignment="1">
      <x:alignment horizontal="center" vertical="center"/>
    </x:xf>
    <x:xf numFmtId="164" fontId="35" fillId="11" borderId="35" xfId="0" applyFont="1" applyFill="1" applyBorder="1" applyAlignment="1">
      <x:alignment horizontal="center" vertical="center"/>
    </x:xf>
    <x:xf numFmtId="3" fontId="0" fillId="11" borderId="5" xfId="0" applyNumberFormat="1" applyFill="1" applyBorder="1" applyAlignment="1">
      <x:alignment horizontal="center" vertical="center" wrapText="1"/>
    </x:xf>
  </x:cellXfs>
  <x:cellStyles count="51">
    <x:cellStyle name="arial12" xfId="4"/>
    <x:cellStyle name="arial14" xfId="5"/>
    <x:cellStyle name="Check Cell" xfId="43"/>
    <x:cellStyle name="Comma  - Style1" xfId="6"/>
    <x:cellStyle name="Comma  - Style2" xfId="7"/>
    <x:cellStyle name="Comma  - Style3" xfId="8"/>
    <x:cellStyle name="Comma  - Style4" xfId="9"/>
    <x:cellStyle name="Comma  - Style5" xfId="10"/>
    <x:cellStyle name="Comma  - Style6" xfId="11"/>
    <x:cellStyle name="Comma  - Style7" xfId="12"/>
    <x:cellStyle name="Comma  - Style8" xfId="13"/>
    <x:cellStyle name="Dezimal [1]" xfId="14"/>
    <x:cellStyle name="Dezimal [2]" xfId="15"/>
    <x:cellStyle name="Euro" xfId="16"/>
    <x:cellStyle name="Excel Built-in Normal" xfId="17"/>
    <x:cellStyle name="Good" xfId="42"/>
    <x:cellStyle name="Grey" xfId="18"/>
    <x:cellStyle name="Header1" xfId="19"/>
    <x:cellStyle name="Header2" xfId="20"/>
    <x:cellStyle name="Hyperlink" xfId="3"/>
    <x:cellStyle name="Hyperlink 2" xfId="21"/>
    <x:cellStyle name="Hyperlink 3" xfId="45"/>
    <x:cellStyle name="Input [yellow]" xfId="22"/>
    <x:cellStyle name="Nor}al_laroux_2_pldt" xfId="23"/>
    <x:cellStyle name="Normal" xfId="0"/>
    <x:cellStyle name="Normal - Style1" xfId="24"/>
    <x:cellStyle name="Normal 2" xfId="25"/>
    <x:cellStyle name="Percent [2]" xfId="26"/>
    <x:cellStyle name="Prozent [0]" xfId="27"/>
    <x:cellStyle name="Prozent [1]" xfId="28"/>
    <x:cellStyle name="Prozent [2]" xfId="29"/>
    <x:cellStyle name="RAMEY" xfId="30"/>
    <x:cellStyle name="Ramey $k" xfId="31"/>
    <x:cellStyle name="RAMEY_P&amp;O BKUP" xfId="32"/>
    <x:cellStyle name="Standard 2" xfId="33"/>
    <x:cellStyle name="Standard 2 2" xfId="34"/>
    <x:cellStyle name="Standard 3" xfId="35"/>
    <x:cellStyle name="Standard 3 2" xfId="47"/>
    <x:cellStyle name="Standard 4" xfId="2"/>
    <x:cellStyle name="Standard 4 2" xfId="41"/>
    <x:cellStyle name="Standard 4 2 2" xfId="49"/>
    <x:cellStyle name="Standard 4 3" xfId="46"/>
    <x:cellStyle name="Standard 5" xfId="36"/>
    <x:cellStyle name="Standard 6" xfId="37"/>
    <x:cellStyle name="Standard 6 2" xfId="48"/>
    <x:cellStyle name="Standard 7" xfId="44"/>
    <x:cellStyle name="Standard 7 2" xfId="50"/>
    <x:cellStyle name="Standard_ProjectNumber_ListOfPotentialSuppliers" xfId="1"/>
    <x:cellStyle name="Stil 1" xfId="38"/>
    <x:cellStyle name="Currency [2]" xfId="39"/>
    <x:cellStyle name="표준_635N Prodn Release Timing_Compressor" xfId="40"/>
  </x:cellStyles>
  <x:dxfs count="94">
    <x:dxf>
      <x:font>
        <x:b/>
      </x:font>
      <x:fill>
        <x:patternFill>
          <x:bgColor rgb="FFFF0000"/>
        </x:patternFill>
      </x:fill>
    </x:dxf>
    <x:dxf>
      <x:fill>
        <x:patternFill>
          <x:bgColor theme="8"/>
        </x:patternFill>
      </x:fill>
    </x:dxf>
    <x:dxf>
      <x:fill>
        <x:patternFill>
          <x:bgColor theme="1" tint="0.49998"/>
        </x:patternFill>
      </x:fill>
    </x:dxf>
    <x:dxf>
      <x:fill>
        <x:patternFill>
          <x:bgColor theme="6"/>
        </x:patternFill>
      </x:fill>
    </x:dxf>
    <x:dxf>
      <x:fill>
        <x:patternFill>
          <x:bgColor rgb="FFFFC000"/>
        </x:patternFill>
      </x:fill>
    </x:dxf>
    <x:dxf>
      <x:fill>
        <x:patternFill>
          <x:bgColor theme="7" tint="0.59996"/>
        </x:patternFill>
      </x:fill>
    </x:dxf>
    <x:dxf>
      <x:font>
        <x:color rgb="FF9C0006"/>
      </x:font>
      <x:fill>
        <x:patternFill>
          <x:bgColor rgb="FFFFC7CE"/>
        </x:patternFill>
      </x:fill>
    </x:dxf>
    <x:dxf>
      <x:font>
        <x:color rgb="FF9C0006"/>
      </x:font>
      <x:fill>
        <x:patternFill>
          <x:bgColor theme="9" tint="0.79998"/>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ill>
        <x:patternFill>
          <x:bgColor rgb="FFFFC000"/>
        </x:patternFill>
      </x:fill>
    </x:dxf>
    <x:dxf>
      <x:font>
        <x:color rgb="FF9C0006"/>
      </x:font>
      <x:fill>
        <x:patternFill>
          <x:bgColor theme="9" tint="0.79998"/>
        </x:patternFill>
      </x:fill>
    </x:dxf>
    <x:dxf>
      <x:fill>
        <x:patternFill>
          <x:bgColor theme="8"/>
        </x:patternFill>
      </x:fill>
    </x:dxf>
    <x:dxf>
      <x:fill>
        <x:patternFill>
          <x:bgColor theme="1" tint="0.49998"/>
        </x:patternFill>
      </x:fill>
    </x:dxf>
    <x:dxf>
      <x:fill>
        <x:patternFill>
          <x:bgColor theme="6"/>
        </x:patternFill>
      </x:fill>
    </x:dxf>
    <x:dxf>
      <x:fill>
        <x:patternFill>
          <x:bgColor theme="7" tint="0.59996"/>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ill>
        <x:patternFill>
          <x:bgColor theme="8"/>
        </x:patternFill>
      </x:fill>
    </x:dxf>
    <x:dxf>
      <x:fill>
        <x:patternFill>
          <x:bgColor theme="1" tint="0.49998"/>
        </x:patternFill>
      </x:fill>
    </x:dxf>
    <x:dxf>
      <x:fill>
        <x:patternFill>
          <x:bgColor theme="6"/>
        </x:patternFill>
      </x:fill>
    </x:dxf>
    <x:dxf>
      <x:fill>
        <x:patternFill>
          <x:bgColor rgb="FFFFC000"/>
        </x:patternFill>
      </x:fill>
    </x:dxf>
    <x:dxf>
      <x:font>
        <x:color rgb="FF9C0006"/>
      </x:font>
      <x:fill>
        <x:patternFill>
          <x:bgColor rgb="FFFFC7CE"/>
        </x:patternFill>
      </x:fill>
    </x:dxf>
    <x:dxf>
      <x:fill>
        <x:patternFill>
          <x:bgColor theme="7" tint="0.59996"/>
        </x:patternFill>
      </x:fill>
    </x:dxf>
    <x:dxf>
      <x:font>
        <x:color rgb="FF9C0006"/>
      </x:font>
      <x:fill>
        <x:patternFill>
          <x:bgColor theme="9" tint="0.79998"/>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rgb="FFFFC7CE"/>
        </x:patternFill>
      </x:fill>
    </x:dxf>
    <x:dxf>
      <x:font>
        <x:color rgb="FF9C0006"/>
      </x:font>
      <x:fill>
        <x:patternFill>
          <x:bgColor theme="9" tint="0.79998"/>
        </x:patternFill>
      </x:fill>
    </x:dxf>
    <x:dxf>
      <x:fill>
        <x:patternFill>
          <x:bgColor theme="1" tint="0.49998"/>
        </x:patternFill>
      </x:fill>
    </x:dxf>
    <x:dxf>
      <x:font>
        <x:color rgb="FF9C0006"/>
      </x:font>
      <x:fill>
        <x:patternFill>
          <x:bgColor rgb="FFFFC7CE"/>
        </x:patternFill>
      </x:fill>
    </x:dxf>
    <x:dxf>
      <x:fill>
        <x:patternFill>
          <x:bgColor theme="7" tint="0.59996"/>
        </x:patternFill>
      </x:fill>
    </x:dxf>
    <x:dxf>
      <x:fill>
        <x:patternFill>
          <x:bgColor rgb="FFFFC000"/>
        </x:patternFill>
      </x:fill>
    </x:dxf>
    <x:dxf>
      <x:fill>
        <x:patternFill>
          <x:bgColor theme="6"/>
        </x:patternFill>
      </x:fill>
    </x:dxf>
    <x:dxf>
      <x:fill>
        <x:patternFill>
          <x:bgColor theme="8"/>
        </x:patternFill>
      </x:fill>
    </x:dxf>
    <x:dxf>
      <x:font>
        <x:color rgb="FF9C0006"/>
      </x:font>
      <x:fill>
        <x:patternFill>
          <x:bgColor rgb="FFFFC7CE"/>
        </x:patternFill>
      </x:fill>
    </x:dxf>
    <x:dxf>
      <x:fill>
        <x:patternFill>
          <x:bgColor rgb="FFFFC000"/>
        </x:patternFill>
      </x:fill>
    </x:dxf>
    <x:dxf>
      <x:fill>
        <x:patternFill>
          <x:bgColor theme="7" tint="0.59996"/>
        </x:patternFill>
      </x:fill>
    </x:dxf>
    <x:dxf>
      <x:font>
        <x:color rgb="FF9C0006"/>
      </x:font>
      <x:fill>
        <x:patternFill>
          <x:bgColor theme="9" tint="0.79998"/>
        </x:patternFill>
      </x:fill>
    </x:dxf>
    <x:dxf>
      <x:fill>
        <x:patternFill>
          <x:bgColor theme="8"/>
        </x:patternFill>
      </x:fill>
    </x:dxf>
    <x:dxf>
      <x:fill>
        <x:patternFill>
          <x:bgColor theme="1" tint="0.49998"/>
        </x:patternFill>
      </x:fill>
    </x:dxf>
    <x:dxf>
      <x:fill>
        <x:patternFill>
          <x:bgColor theme="6"/>
        </x:patternFill>
      </x:fill>
    </x:dxf>
    <x:dxf>
      <x:fill>
        <x:patternFill>
          <x:bgColor theme="6"/>
        </x:patternFill>
      </x:fill>
    </x:dxf>
    <x:dxf>
      <x:font>
        <x:color rgb="FF9C0006"/>
      </x:font>
      <x:fill>
        <x:patternFill>
          <x:bgColor theme="9" tint="0.79998"/>
        </x:patternFill>
      </x:fill>
    </x:dxf>
    <x:dxf>
      <x:fill>
        <x:patternFill>
          <x:bgColor theme="8"/>
        </x:patternFill>
      </x:fill>
    </x:dxf>
    <x:dxf>
      <x:fill>
        <x:patternFill>
          <x:bgColor theme="1" tint="0.49998"/>
        </x:patternFill>
      </x:fill>
    </x:dxf>
    <x:dxf>
      <x:fill>
        <x:patternFill>
          <x:bgColor rgb="FFFFC000"/>
        </x:patternFill>
      </x:fill>
    </x:dxf>
    <x:dxf>
      <x:fill>
        <x:patternFill>
          <x:bgColor theme="7" tint="0.59996"/>
        </x:patternFill>
      </x:fill>
    </x:dxf>
    <x:dxf>
      <x:fill>
        <x:patternFill>
          <x:bgColor rgb="FFFFC000"/>
        </x:patternFill>
      </x:fill>
    </x:dxf>
    <x:dxf>
      <x:font>
        <x:color rgb="FF9C0006"/>
      </x:font>
      <x:fill>
        <x:patternFill>
          <x:bgColor theme="9" tint="0.79998"/>
        </x:patternFill>
      </x:fill>
    </x:dxf>
    <x:dxf>
      <x:fill>
        <x:patternFill>
          <x:bgColor theme="8"/>
        </x:patternFill>
      </x:fill>
    </x:dxf>
    <x:dxf>
      <x:fill>
        <x:patternFill>
          <x:bgColor theme="1" tint="0.49998"/>
        </x:patternFill>
      </x:fill>
    </x:dxf>
    <x:dxf>
      <x:fill>
        <x:patternFill>
          <x:bgColor theme="6"/>
        </x:patternFill>
      </x:fill>
    </x:dxf>
    <x:dxf>
      <x:fill>
        <x:patternFill>
          <x:bgColor theme="7" tint="0.59996"/>
        </x:patternFill>
      </x:fill>
    </x:dxf>
    <x:dxf>
      <x:font>
        <x:color rgb="FF9C0006"/>
      </x:font>
      <x:fill>
        <x:patternFill>
          <x:bgColor theme="9" tint="0.79998"/>
        </x:patternFill>
      </x:fill>
    </x:dxf>
    <x:dxf>
      <x:fill>
        <x:patternFill>
          <x:bgColor theme="7" tint="0.59996"/>
        </x:patternFill>
      </x:fill>
    </x:dxf>
    <x:dxf>
      <x:font>
        <x:color rgb="FF9C0006"/>
      </x:font>
      <x:fill>
        <x:patternFill>
          <x:bgColor theme="9" tint="0.79998"/>
        </x:patternFill>
      </x:fill>
    </x:dxf>
    <x:dxf>
      <x:fill>
        <x:patternFill>
          <x:bgColor theme="8"/>
        </x:patternFill>
      </x:fill>
    </x:dxf>
    <x:dxf>
      <x:fill>
        <x:patternFill>
          <x:bgColor theme="1" tint="0.49998"/>
        </x:patternFill>
      </x:fill>
    </x:dxf>
    <x:dxf>
      <x:fill>
        <x:patternFill>
          <x:bgColor theme="6"/>
        </x:patternFill>
      </x:fill>
    </x:dxf>
    <x:dxf>
      <x:fill>
        <x:patternFill>
          <x:bgColor rgb="FFFFC000"/>
        </x:patternFill>
      </x:fill>
    </x:dxf>
    <x:dxf>
      <x:fill>
        <x:patternFill>
          <x:bgColor theme="8"/>
        </x:patternFill>
      </x:fill>
    </x:dxf>
    <x:dxf>
      <x:fill>
        <x:patternFill>
          <x:bgColor theme="1" tint="0.49998"/>
        </x:patternFill>
      </x:fill>
    </x:dxf>
    <x:dxf>
      <x:fill>
        <x:patternFill>
          <x:bgColor theme="6"/>
        </x:patternFill>
      </x:fill>
    </x:dxf>
    <x:dxf>
      <x:fill>
        <x:patternFill>
          <x:bgColor rgb="FFFFC000"/>
        </x:patternFill>
      </x:fill>
    </x:dxf>
    <x:dxf>
      <x:fill>
        <x:patternFill>
          <x:bgColor theme="7" tint="0.59996"/>
        </x:patternFill>
      </x:fill>
    </x:dxf>
    <x:dxf>
      <x:font>
        <x:color rgb="FF9C0006"/>
      </x:font>
      <x:fill>
        <x:patternFill>
          <x:bgColor theme="9" tint="0.79998"/>
        </x:patternFill>
      </x:fill>
    </x:dxf>
    <x:dxf>
      <x:fill>
        <x:patternFill>
          <x:bgColor theme="8"/>
        </x:patternFill>
      </x:fill>
    </x:dxf>
    <x:dxf>
      <x:fill>
        <x:patternFill>
          <x:bgColor theme="1" tint="0.49998"/>
        </x:patternFill>
      </x:fill>
    </x:dxf>
    <x:dxf>
      <x:fill>
        <x:patternFill>
          <x:bgColor theme="6"/>
        </x:patternFill>
      </x:fill>
    </x:dxf>
    <x:dxf>
      <x:fill>
        <x:patternFill>
          <x:bgColor rgb="FFFFC000"/>
        </x:patternFill>
      </x:fill>
    </x:dxf>
    <x:dxf>
      <x:fill>
        <x:patternFill>
          <x:bgColor theme="7" tint="0.59996"/>
        </x:patternFill>
      </x:fill>
    </x:dxf>
    <x:dxf>
      <x:fill>
        <x:patternFill>
          <x:bgColor theme="7" tint="0.59996"/>
        </x:patternFill>
      </x:fill>
    </x:dxf>
    <x:dxf>
      <x:fill>
        <x:patternFill>
          <x:bgColor rgb="FFFFC000"/>
        </x:patternFill>
      </x:fill>
    </x:dxf>
    <x:dxf>
      <x:fill>
        <x:patternFill>
          <x:bgColor theme="6"/>
        </x:patternFill>
      </x:fill>
    </x:dxf>
    <x:dxf>
      <x:fill>
        <x:patternFill>
          <x:bgColor theme="1" tint="0.49998"/>
        </x:patternFill>
      </x:fill>
    </x:dxf>
    <x:dxf>
      <x:fill>
        <x:patternFill>
          <x:bgColor theme="8"/>
        </x:patternFill>
      </x:fill>
    </x:dxf>
    <x:dxf>
      <x:font>
        <x:color rgb="FF9C0006"/>
      </x:font>
      <x:fill>
        <x:patternFill>
          <x:bgColor theme="9" tint="0.79998"/>
        </x:patternFill>
      </x:fill>
    </x:dxf>
    <x:dxf>
      <x:fill>
        <x:patternFill>
          <x:bgColor theme="7" tint="0.59996"/>
        </x:patternFill>
      </x:fill>
    </x:dxf>
    <x:dxf>
      <x:fill>
        <x:patternFill>
          <x:bgColor rgb="FFFFC000"/>
        </x:patternFill>
      </x:fill>
    </x:dxf>
    <x:dxf>
      <x:fill>
        <x:patternFill>
          <x:bgColor theme="6"/>
        </x:patternFill>
      </x:fill>
    </x:dxf>
    <x:dxf>
      <x:fill>
        <x:patternFill>
          <x:bgColor theme="8"/>
        </x:patternFill>
      </x:fill>
    </x:dxf>
    <x:dxf>
      <x:font>
        <x:color rgb="FF9C0006"/>
      </x:font>
      <x:fill>
        <x:patternFill>
          <x:bgColor theme="9" tint="0.79998"/>
        </x:patternFill>
      </x:fill>
    </x:dxf>
    <x:dxf>
      <x:fill>
        <x:patternFill>
          <x:bgColor theme="1" tint="0.49998"/>
        </x:patternFill>
      </x:fill>
    </x:dxf>
    <x:dxf>
      <x:font>
        <x:color rgb="FF9C0006"/>
      </x:font>
      <x:fill>
        <x:patternFill>
          <x:bgColor theme="9" tint="0.79998"/>
        </x:patternFill>
      </x:fill>
    </x:dxf>
    <x:dxf>
      <x:fill>
        <x:patternFill>
          <x:bgColor theme="6"/>
        </x:patternFill>
      </x:fill>
    </x:dxf>
    <x:dxf>
      <x:fill>
        <x:patternFill>
          <x:bgColor theme="8"/>
        </x:patternFill>
      </x:fill>
    </x:dxf>
    <x:dxf>
      <x:fill>
        <x:patternFill>
          <x:bgColor theme="7" tint="0.59996"/>
        </x:patternFill>
      </x:fill>
    </x:dxf>
    <x:dxf>
      <x:fill>
        <x:patternFill>
          <x:bgColor rgb="FFFFC000"/>
        </x:patternFill>
      </x:fill>
    </x:dxf>
    <x:dxf>
      <x:fill>
        <x:patternFill>
          <x:bgColor theme="1" tint="0.4999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f059a29c7f4900" /><Relationship Type="http://schemas.openxmlformats.org/officeDocument/2006/relationships/theme" Target="/xl/theme/theme1.xml" Id="R4a88ed5379d34ed4" /><Relationship Type="http://schemas.openxmlformats.org/officeDocument/2006/relationships/sharedStrings" Target="/xl/sharedStrings.xml" Id="Re7fccbad49b8432d" /><Relationship Type="http://schemas.openxmlformats.org/officeDocument/2006/relationships/worksheet" Target="/xl/worksheets/sheet1.xml" Id="Re3025f5431b84911" /><Relationship Type="http://schemas.openxmlformats.org/officeDocument/2006/relationships/worksheet" Target="/xl/worksheets/sheet2.xml" Id="Reed2bbb66238426e" /><Relationship Type="http://schemas.openxmlformats.org/officeDocument/2006/relationships/worksheet" Target="/xl/worksheets/sheet3.xml" Id="Rf4be406c2ea344da" /><Relationship Type="http://schemas.openxmlformats.org/officeDocument/2006/relationships/worksheet" Target="/xl/worksheets/sheet4.xml" Id="Rf18e51b022c94b4e" /><Relationship Type="http://schemas.openxmlformats.org/officeDocument/2006/relationships/worksheet" Target="/xl/worksheets/sheet5.xml" Id="R583f0f886b5e4eab" /><Relationship Type="http://schemas.openxmlformats.org/officeDocument/2006/relationships/worksheet" Target="/xl/worksheets/sheet6.xml" Id="R005d8776205e47f7" /><Relationship Type="http://schemas.openxmlformats.org/officeDocument/2006/relationships/worksheet" Target="/xl/worksheets/sheet7.xml" Id="R4922a13156b1484e" /><Relationship Type="http://schemas.openxmlformats.org/officeDocument/2006/relationships/worksheet" Target="/xl/worksheets/sheet8.xml" Id="R4509a45c5e9140c9" /><Relationship Type="http://schemas.openxmlformats.org/officeDocument/2006/relationships/worksheet" Target="/xl/worksheets/sheet9.xml" Id="R9248af07bd044854" /><Relationship Type="http://schemas.openxmlformats.org/officeDocument/2006/relationships/worksheet" Target="/xl/worksheets/sheet10.xml" Id="R4f5bc3288d1e4c9b" /><Relationship Type="http://schemas.openxmlformats.org/officeDocument/2006/relationships/worksheet" Target="/xl/worksheets/sheet11.xml" Id="R12b52c65f1ae433c" /><Relationship Type="http://schemas.openxmlformats.org/officeDocument/2006/relationships/worksheet" Target="/xl/worksheets/sheet12.xml" Id="R29f7ffe57ddc483d" /><Relationship Type="http://schemas.openxmlformats.org/officeDocument/2006/relationships/worksheet" Target="/xl/worksheets/sheet13.xml" Id="Rd0aef57f0b9b4087" /><Relationship Type="http://schemas.openxmlformats.org/officeDocument/2006/relationships/worksheet" Target="/xl/worksheets/sheet14.xml" Id="R93eb245424604331" /></Relationships>
</file>

<file path=xl/drawings/_rels/drawing1.xml.rels>&#65279;<?xml version="1.0" encoding="utf-8"?><Relationships xmlns="http://schemas.openxmlformats.org/package/2006/relationships"><Relationship Type="http://schemas.openxmlformats.org/officeDocument/2006/relationships/image" Target="/xl/media/image.png" Id="R913c61ef56fc42a1" /></Relationships>
</file>

<file path=xl/drawings/_rels/drawing2.xml.rels>&#65279;<?xml version="1.0" encoding="utf-8"?><Relationships xmlns="http://schemas.openxmlformats.org/package/2006/relationships"><Relationship Type="http://schemas.openxmlformats.org/officeDocument/2006/relationships/image" Target="/xl/media/image2.png" Id="Rda8171d7c7f040a4" /></Relationships>
</file>

<file path=xl/drawings/_rels/drawing3.xml.rels>&#65279;<?xml version="1.0" encoding="utf-8"?><Relationships xmlns="http://schemas.openxmlformats.org/package/2006/relationships"><Relationship Type="http://schemas.openxmlformats.org/officeDocument/2006/relationships/image" Target="/xl/media/image3.png" Id="R66eb08bc123547b6" /><Relationship Type="http://schemas.openxmlformats.org/officeDocument/2006/relationships/image" Target="/xl/media/image4.png" Id="R1185054ab7004334" /></Relationships>
</file>

<file path=xl/drawings/_rels/drawing4.xml.rels>&#65279;<?xml version="1.0" encoding="utf-8"?><Relationships xmlns="http://schemas.openxmlformats.org/package/2006/relationships"><Relationship Type="http://schemas.openxmlformats.org/officeDocument/2006/relationships/image" Target="/xl/media/image.emf" Id="Ra97d31550e2342f8" /></Relationships>
</file>

<file path=xl/drawings/drawing1.xml><?xml version="1.0" encoding="utf-8"?>
<xdr:wsDr xmlns:xdr="http://schemas.openxmlformats.org/drawingml/2006/spreadsheetDrawing">
  <xdr:twoCellAnchor editAs="oneCell">
    <xdr:from>
      <xdr:col>5</xdr:col>
      <xdr:colOff>342899</xdr:colOff>
      <xdr:row>29</xdr:row>
      <xdr:rowOff>66676</xdr:rowOff>
    </xdr:from>
    <xdr:to>
      <xdr:col>13</xdr:col>
      <xdr:colOff>581024</xdr:colOff>
      <xdr:row>36</xdr:row>
      <xdr:rowOff>180976</xdr:rowOff>
    </xdr:to>
    <xdr:sp>
      <xdr:nvSpPr>
        <xdr:cNvPr id="1" name="Rechteck 2"/>
        <xdr:cNvSpPr>
          <a:spLocks xmlns:a="http://schemas.openxmlformats.org/drawingml/2006/main" noGrp="1"/>
        </xdr:cNvSpPr>
      </xdr:nvSpPr>
      <xdr:spPr>
        <a:xfrm xmlns:a="http://schemas.openxmlformats.org/drawingml/2006/main">
          <a:off x="4152899" y="5591176"/>
          <a:ext cx="6334125" cy="1447800"/>
        </a:xfrm>
        <a:prstGeom xmlns:a="http://schemas.openxmlformats.org/drawingml/2006/main" prst="rect">
          <a:avLst/>
        </a:prstGeom>
        <a:solidFill xmlns:a="http://schemas.openxmlformats.org/drawingml/2006/main">
          <a:sysClr val="window" lastClr="FFFFFF"/>
        </a:solidFill>
        <a:ln xmlns:a="http://schemas.openxmlformats.org/drawingml/2006/main">
          <a:solidFill>
            <a:schemeClr val="bg1"/>
          </a:solidFill>
        </a:ln>
      </xdr:spPr>
      <x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a:bodyPr xmlns:a="http://schemas.openxmlformats.org/drawingml/2006/main" anchor="t"/>
        <a:lstStyle xmlns:a="http://schemas.openxmlformats.org/drawingml/2006/main"/>
        <a:p xmlns:a="http://schemas.openxmlformats.org/drawingml/2006/main">
          <a:pPr algn="l">
            <a:buNone/>
          </a:pPr>
          <a:endParaRPr/>
        </a:p>
      </xdr:txBody>
    </xdr:sp>
    <xdr:clientData/>
  </xdr:twoCellAnchor>
  <xdr:twoCellAnchor editAs="oneCell">
    <xdr:from>
      <xdr:col>5</xdr:col>
      <xdr:colOff>657225</xdr:colOff>
      <xdr:row>24</xdr:row>
      <xdr:rowOff>123825</xdr:rowOff>
    </xdr:from>
    <xdr:to>
      <xdr:col>18</xdr:col>
      <xdr:colOff>542925</xdr:colOff>
      <xdr:row>37</xdr:row>
      <xdr:rowOff>133350</xdr:rowOff>
    </xdr:to>
    <xdr:sp>
      <xdr:nvSpPr>
        <xdr:cNvPr id="2" name="Rechteck 3"/>
        <xdr:cNvSpPr>
          <a:spLocks xmlns:a="http://schemas.openxmlformats.org/drawingml/2006/main" noGrp="1"/>
        </xdr:cNvSpPr>
      </xdr:nvSpPr>
      <xdr:spPr>
        <a:xfrm xmlns:a="http://schemas.openxmlformats.org/drawingml/2006/main">
          <a:off x="4467225" y="4695825"/>
          <a:ext cx="9791700" cy="2486025"/>
        </a:xfrm>
        <a:prstGeom xmlns:a="http://schemas.openxmlformats.org/drawingml/2006/main" prst="rect">
          <a:avLst/>
        </a:prstGeom>
      </xdr:spPr>
      <x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xdr:style>
      <xdr:txBody>
        <a:bodyPr xmlns:a="http://schemas.openxmlformats.org/drawingml/2006/main" anchor="t"/>
        <a:lstStyle xmlns:a="http://schemas.openxmlformats.org/drawingml/2006/main"/>
        <a:p xmlns:a="http://schemas.openxmlformats.org/drawingml/2006/main">
          <a:pPr algn="l">
            <a:buNone/>
          </a:pPr>
          <a:endParaRPr/>
        </a:p>
      </xdr:txBody>
    </xdr:sp>
    <xdr:clientData/>
  </xdr:twoCellAnchor>
  <xdr:twoCellAnchor editAs="oneCell">
    <xdr:from>
      <xdr:col>14</xdr:col>
      <xdr:colOff>438150</xdr:colOff>
      <xdr:row>24</xdr:row>
      <xdr:rowOff>85726</xdr:rowOff>
    </xdr:from>
    <xdr:to>
      <xdr:col>15</xdr:col>
      <xdr:colOff>285750</xdr:colOff>
      <xdr:row>25</xdr:row>
      <xdr:rowOff>161926</xdr:rowOff>
    </xdr:to>
    <xdr:sp>
      <xdr:nvSpPr>
        <xdr:cNvPr id="3" name="Rechteck 4"/>
        <xdr:cNvSpPr>
          <a:spLocks xmlns:a="http://schemas.openxmlformats.org/drawingml/2006/main" noGrp="1"/>
        </xdr:cNvSpPr>
      </xdr:nvSpPr>
      <xdr:spPr>
        <a:xfrm xmlns:a="http://schemas.openxmlformats.org/drawingml/2006/main">
          <a:off x="11106150" y="4657726"/>
          <a:ext cx="609600" cy="266700"/>
        </a:xfrm>
        <a:prstGeom xmlns:a="http://schemas.openxmlformats.org/drawingml/2006/main" prst="rect">
          <a:avLst/>
        </a:prstGeom>
      </xdr:spPr>
      <xdr:style>
        <a:lnRef xmlns:a="http://schemas.openxmlformats.org/drawingml/2006/main" idx="2">
          <a:schemeClr val="accent5">
            <a:shade val="50000"/>
          </a:schemeClr>
        </a:lnRef>
        <a:fillRef xmlns:a="http://schemas.openxmlformats.org/drawingml/2006/main" idx="1">
          <a:schemeClr val="accent5"/>
        </a:fillRef>
        <a:effectRef xmlns:a="http://schemas.openxmlformats.org/drawingml/2006/main" idx="0">
          <a:schemeClr val="accent5"/>
        </a:effectRef>
        <a:fontRef xmlns:a="http://schemas.openxmlformats.org/drawingml/2006/main" idx="minor">
          <a:schemeClr val="lt1"/>
        </a:fontRef>
      </xdr:style>
      <xdr:txBody>
        <a:bodyPr xmlns:a="http://schemas.openxmlformats.org/drawingml/2006/main" anchor="t"/>
        <a:lstStyle xmlns:a="http://schemas.openxmlformats.org/drawingml/2006/main"/>
        <a:p xmlns:a="http://schemas.openxmlformats.org/drawingml/2006/main">
          <a:pPr algn="l">
            <a:buNone/>
          </a:pPr>
          <a:r>
            <a:rPr sz="1100"/>
            <a:t>success</a:t>
          </a:r>
          <a:endParaRPr/>
        </a:p>
      </xdr:txBody>
    </xdr:sp>
    <xdr:clientData/>
  </xdr:twoCellAnchor>
  <xdr:twoCellAnchor editAs="oneCell">
    <xdr:from>
      <xdr:col>1</xdr:col>
      <xdr:colOff>0</xdr:colOff>
      <xdr:row>2</xdr:row>
      <xdr:rowOff>0</xdr:rowOff>
    </xdr:from>
    <xdr:to>
      <xdr:col>18</xdr:col>
      <xdr:colOff>135177</xdr:colOff>
      <xdr:row>36</xdr:row>
      <xdr:rowOff>124746</xdr:rowOff>
    </xdr:to>
    <xdr:pic>
      <xdr:nvPicPr>
        <xdr:cNvPr id="4" name="/xl/media/image1.png"/>
        <xdr:cNvPicPr>
          <a:picLocks xmlns:a="http://schemas.openxmlformats.org/drawingml/2006/main" noChangeAspect="1"/>
        </xdr:cNvPicPr>
      </xdr:nvPicPr>
      <xdr:blipFill>
        <a:blip xmlns:r="http://schemas.openxmlformats.org/officeDocument/2006/relationships" xmlns:a="http://schemas.openxmlformats.org/drawingml/2006/main" r:embed="R913c61ef56fc42a1"/>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editAs="oneCell">
    <xdr:from>
      <xdr:col>1</xdr:col>
      <xdr:colOff>0</xdr:colOff>
      <xdr:row>3</xdr:row>
      <xdr:rowOff>0</xdr:rowOff>
    </xdr:from>
    <xdr:to>
      <xdr:col>18</xdr:col>
      <xdr:colOff>1808</xdr:colOff>
      <xdr:row>28</xdr:row>
      <xdr:rowOff>124507</xdr:rowOff>
    </xdr:to>
    <xdr:pic>
      <xdr:nvPicPr>
        <xdr:cNvPr id="1" name="/xl/media/image2.png"/>
        <xdr:cNvPicPr>
          <a:picLocks xmlns:a="http://schemas.openxmlformats.org/drawingml/2006/main" noChangeAspect="1"/>
        </xdr:cNvPicPr>
      </xdr:nvPicPr>
      <xdr:blipFill>
        <a:blip xmlns:r="http://schemas.openxmlformats.org/officeDocument/2006/relationships" xmlns:a="http://schemas.openxmlformats.org/drawingml/2006/main" r:embed="Rda8171d7c7f040a4"/>
        <a:stretch xmlns:a="http://schemas.openxmlformats.org/drawingml/2006/main">
          <a:fillRect/>
        </a:stretch>
      </xdr:blipFill>
      <xdr:spPr>
        <a:prstGeom xmlns:a="http://schemas.openxmlformats.org/drawingml/2006/main" prst="rect"/>
      </xdr:spPr>
    </xdr:pic>
    <xdr:clientData/>
  </xdr:twoCellAnchor>
</xdr:wsDr>
</file>

<file path=xl/drawings/drawing3.xml><?xml version="1.0" encoding="utf-8"?>
<xdr:wsDr xmlns:xdr="http://schemas.openxmlformats.org/drawingml/2006/spreadsheetDrawing">
  <xdr:twoCellAnchor editAs="oneCell">
    <xdr:from>
      <xdr:col>2</xdr:col>
      <xdr:colOff>0</xdr:colOff>
      <xdr:row>5</xdr:row>
      <xdr:rowOff>0</xdr:rowOff>
    </xdr:from>
    <xdr:to>
      <xdr:col>2</xdr:col>
      <xdr:colOff>304800</xdr:colOff>
      <xdr:row>6</xdr:row>
      <xdr:rowOff>114300</xdr:rowOff>
    </xdr:to>
    <xdr:sp>
      <xdr:nvSpPr>
        <xdr:cNvPr id="1" name="cp-img"/>
        <xdr:cNvSpPr>
          <a:spLocks xmlns:a="http://schemas.openxmlformats.org/drawingml/2006/main" noGrp="1"/>
        </xdr:cNvSpPr>
      </xdr:nvSpPr>
      <xdr:spPr>
        <a:xfrm xmlns:a="http://schemas.openxmlformats.org/drawingml/2006/main">
          <a:off x="1524000" y="952500"/>
          <a:ext cx="304800" cy="304800"/>
        </a:xfrm>
        <a:prstGeom xmlns:a="http://schemas.openxmlformats.org/drawingml/2006/main" prst="rect">
          <a:avLst/>
        </a:prstGeom>
        <a:noFill xmlns:a="http://schemas.openxmlformats.org/drawingml/2006/main"/>
      </xdr:spPr>
    </xdr:sp>
    <xdr:clientData/>
  </xdr:twoCellAnchor>
  <xdr:twoCellAnchor editAs="oneCell">
    <xdr:from>
      <xdr:col>2</xdr:col>
      <xdr:colOff>0</xdr:colOff>
      <xdr:row>5</xdr:row>
      <xdr:rowOff>0</xdr:rowOff>
    </xdr:from>
    <xdr:to>
      <xdr:col>2</xdr:col>
      <xdr:colOff>304800</xdr:colOff>
      <xdr:row>6</xdr:row>
      <xdr:rowOff>114300</xdr:rowOff>
    </xdr:to>
    <xdr:sp>
      <xdr:nvSpPr>
        <xdr:cNvPr id="2" name="cp-img"/>
        <xdr:cNvSpPr>
          <a:spLocks xmlns:a="http://schemas.openxmlformats.org/drawingml/2006/main" noGrp="1"/>
        </xdr:cNvSpPr>
      </xdr:nvSpPr>
      <xdr:spPr>
        <a:xfrm xmlns:a="http://schemas.openxmlformats.org/drawingml/2006/main">
          <a:off x="1524000" y="952500"/>
          <a:ext cx="304800" cy="304800"/>
        </a:xfrm>
        <a:prstGeom xmlns:a="http://schemas.openxmlformats.org/drawingml/2006/main" prst="rect">
          <a:avLst/>
        </a:prstGeom>
        <a:noFill xmlns:a="http://schemas.openxmlformats.org/drawingml/2006/main"/>
      </xdr:spPr>
    </xdr:sp>
    <xdr:clientData/>
  </xdr:twoCellAnchor>
  <xdr:twoCellAnchor editAs="oneCell">
    <xdr:from>
      <xdr:col>3</xdr:col>
      <xdr:colOff>609600</xdr:colOff>
      <xdr:row>25</xdr:row>
      <xdr:rowOff>76200</xdr:rowOff>
    </xdr:from>
    <xdr:to>
      <xdr:col>4</xdr:col>
      <xdr:colOff>361950</xdr:colOff>
      <xdr:row>32</xdr:row>
      <xdr:rowOff>152400</xdr:rowOff>
    </xdr:to>
    <xdr:sp>
      <xdr:nvSpPr>
        <xdr:cNvPr id="3" name="Textfeld 4"/>
        <xdr:cNvSpPr>
          <a:spLocks xmlns:a="http://schemas.openxmlformats.org/drawingml/2006/main" noGrp="1"/>
        </xdr:cNvSpPr>
      </xdr:nvSpPr>
      <xdr:spPr>
        <a:xfrm xmlns:a="http://schemas.openxmlformats.org/drawingml/2006/main">
          <a:off x="2447925" y="5286375"/>
          <a:ext cx="1409700"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1 &amp; 2</a:t>
          </a:r>
          <a:endParaRPr/>
        </a:p>
      </xdr:txBody>
    </xdr:sp>
    <xdr:clientData/>
  </xdr:twoCellAnchor>
  <xdr:twoCellAnchor editAs="oneCell">
    <xdr:from>
      <xdr:col>5</xdr:col>
      <xdr:colOff>200025</xdr:colOff>
      <xdr:row>25</xdr:row>
      <xdr:rowOff>161925</xdr:rowOff>
    </xdr:from>
    <xdr:to>
      <xdr:col>5</xdr:col>
      <xdr:colOff>714375</xdr:colOff>
      <xdr:row>33</xdr:row>
      <xdr:rowOff>47625</xdr:rowOff>
    </xdr:to>
    <xdr:sp>
      <xdr:nvSpPr>
        <xdr:cNvPr id="4" name="Textfeld 9"/>
        <xdr:cNvSpPr>
          <a:spLocks xmlns:a="http://schemas.openxmlformats.org/drawingml/2006/main" noGrp="1"/>
        </xdr:cNvSpPr>
      </xdr:nvSpPr>
      <xdr:spPr>
        <a:xfrm xmlns:a="http://schemas.openxmlformats.org/drawingml/2006/main">
          <a:off x="3562350" y="5372100"/>
          <a:ext cx="1409700"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3 &amp; 4</a:t>
          </a:r>
          <a:endParaRPr/>
        </a:p>
      </xdr:txBody>
    </xdr:sp>
    <xdr:clientData/>
  </xdr:twoCellAnchor>
  <xdr:twoCellAnchor editAs="oneCell">
    <xdr:from>
      <xdr:col>6</xdr:col>
      <xdr:colOff>504825</xdr:colOff>
      <xdr:row>26</xdr:row>
      <xdr:rowOff>95250</xdr:rowOff>
    </xdr:from>
    <xdr:to>
      <xdr:col>7</xdr:col>
      <xdr:colOff>257175</xdr:colOff>
      <xdr:row>33</xdr:row>
      <xdr:rowOff>171450</xdr:rowOff>
    </xdr:to>
    <xdr:sp>
      <xdr:nvSpPr>
        <xdr:cNvPr id="5" name="Textfeld 14"/>
        <xdr:cNvSpPr>
          <a:spLocks xmlns:a="http://schemas.openxmlformats.org/drawingml/2006/main" noGrp="1"/>
        </xdr:cNvSpPr>
      </xdr:nvSpPr>
      <xdr:spPr>
        <a:xfrm xmlns:a="http://schemas.openxmlformats.org/drawingml/2006/main">
          <a:off x="4629150" y="5495925"/>
          <a:ext cx="1409700"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5 &amp; 6</a:t>
          </a:r>
          <a:endParaRPr/>
        </a:p>
      </xdr:txBody>
    </xdr:sp>
    <xdr:clientData/>
  </xdr:twoCellAnchor>
  <xdr:twoCellAnchor editAs="oneCell">
    <xdr:from>
      <xdr:col>7</xdr:col>
      <xdr:colOff>714375</xdr:colOff>
      <xdr:row>26</xdr:row>
      <xdr:rowOff>123825</xdr:rowOff>
    </xdr:from>
    <xdr:to>
      <xdr:col>8</xdr:col>
      <xdr:colOff>466725</xdr:colOff>
      <xdr:row>34</xdr:row>
      <xdr:rowOff>9525</xdr:rowOff>
    </xdr:to>
    <xdr:sp>
      <xdr:nvSpPr>
        <xdr:cNvPr id="6" name="Textfeld 15"/>
        <xdr:cNvSpPr>
          <a:spLocks xmlns:a="http://schemas.openxmlformats.org/drawingml/2006/main" noGrp="1"/>
        </xdr:cNvSpPr>
      </xdr:nvSpPr>
      <xdr:spPr>
        <a:xfrm xmlns:a="http://schemas.openxmlformats.org/drawingml/2006/main">
          <a:off x="5600700" y="5524500"/>
          <a:ext cx="1409700"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7 &amp; 8</a:t>
          </a:r>
          <a:endParaRPr/>
        </a:p>
      </xdr:txBody>
    </xdr:sp>
    <xdr:clientData/>
  </xdr:twoCellAnchor>
  <xdr:twoCellAnchor editAs="oneCell">
    <xdr:from>
      <xdr:col>9</xdr:col>
      <xdr:colOff>361950</xdr:colOff>
      <xdr:row>26</xdr:row>
      <xdr:rowOff>95250</xdr:rowOff>
    </xdr:from>
    <xdr:to>
      <xdr:col>10</xdr:col>
      <xdr:colOff>114300</xdr:colOff>
      <xdr:row>34</xdr:row>
      <xdr:rowOff>104775</xdr:rowOff>
    </xdr:to>
    <xdr:sp>
      <xdr:nvSpPr>
        <xdr:cNvPr id="7" name="Textfeld 16"/>
        <xdr:cNvSpPr>
          <a:spLocks xmlns:a="http://schemas.openxmlformats.org/drawingml/2006/main" noGrp="1"/>
        </xdr:cNvSpPr>
      </xdr:nvSpPr>
      <xdr:spPr>
        <a:xfrm xmlns:a="http://schemas.openxmlformats.org/drawingml/2006/main">
          <a:off x="6710362" y="5557838"/>
          <a:ext cx="1533525"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9 &amp; 10</a:t>
          </a:r>
          <a:endParaRPr/>
        </a:p>
      </xdr:txBody>
    </xdr:sp>
    <xdr:clientData/>
  </xdr:twoCellAnchor>
  <xdr:twoCellAnchor editAs="oneCell">
    <xdr:from>
      <xdr:col>15</xdr:col>
      <xdr:colOff>133350</xdr:colOff>
      <xdr:row>25</xdr:row>
      <xdr:rowOff>142875</xdr:rowOff>
    </xdr:from>
    <xdr:to>
      <xdr:col>15</xdr:col>
      <xdr:colOff>647700</xdr:colOff>
      <xdr:row>34</xdr:row>
      <xdr:rowOff>123825</xdr:rowOff>
    </xdr:to>
    <xdr:sp>
      <xdr:nvSpPr>
        <xdr:cNvPr id="8" name="Textfeld 17"/>
        <xdr:cNvSpPr>
          <a:spLocks xmlns:a="http://schemas.openxmlformats.org/drawingml/2006/main" noGrp="1"/>
        </xdr:cNvSpPr>
      </xdr:nvSpPr>
      <xdr:spPr>
        <a:xfrm xmlns:a="http://schemas.openxmlformats.org/drawingml/2006/main">
          <a:off x="10972800" y="5495925"/>
          <a:ext cx="1695450"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17 &amp; 18</a:t>
          </a:r>
          <a:endParaRPr/>
        </a:p>
      </xdr:txBody>
    </xdr:sp>
    <xdr:clientData/>
  </xdr:twoCellAnchor>
  <xdr:twoCellAnchor editAs="oneCell">
    <xdr:from>
      <xdr:col>16</xdr:col>
      <xdr:colOff>314325</xdr:colOff>
      <xdr:row>25</xdr:row>
      <xdr:rowOff>142875</xdr:rowOff>
    </xdr:from>
    <xdr:to>
      <xdr:col>17</xdr:col>
      <xdr:colOff>66675</xdr:colOff>
      <xdr:row>34</xdr:row>
      <xdr:rowOff>180975</xdr:rowOff>
    </xdr:to>
    <xdr:sp>
      <xdr:nvSpPr>
        <xdr:cNvPr id="9" name="Textfeld 18"/>
        <xdr:cNvSpPr>
          <a:spLocks xmlns:a="http://schemas.openxmlformats.org/drawingml/2006/main" noGrp="1"/>
        </xdr:cNvSpPr>
      </xdr:nvSpPr>
      <xdr:spPr>
        <a:xfrm xmlns:a="http://schemas.openxmlformats.org/drawingml/2006/main">
          <a:off x="11887200" y="5524500"/>
          <a:ext cx="1752600"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19 &amp; 20</a:t>
          </a:r>
          <a:endParaRPr/>
        </a:p>
      </xdr:txBody>
    </xdr:sp>
    <xdr:clientData/>
  </xdr:twoCellAnchor>
  <xdr:twoCellAnchor editAs="oneCell">
    <xdr:from>
      <xdr:col>11</xdr:col>
      <xdr:colOff>95250</xdr:colOff>
      <xdr:row>26</xdr:row>
      <xdr:rowOff>38100</xdr:rowOff>
    </xdr:from>
    <xdr:to>
      <xdr:col>11</xdr:col>
      <xdr:colOff>609600</xdr:colOff>
      <xdr:row>35</xdr:row>
      <xdr:rowOff>19050</xdr:rowOff>
    </xdr:to>
    <xdr:sp>
      <xdr:nvSpPr>
        <xdr:cNvPr id="10" name="Textfeld 19"/>
        <xdr:cNvSpPr>
          <a:spLocks xmlns:a="http://schemas.openxmlformats.org/drawingml/2006/main" noGrp="1"/>
        </xdr:cNvSpPr>
      </xdr:nvSpPr>
      <xdr:spPr>
        <a:xfrm xmlns:a="http://schemas.openxmlformats.org/drawingml/2006/main">
          <a:off x="7886700" y="5581650"/>
          <a:ext cx="1695450"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11 &amp; 12</a:t>
          </a:r>
          <a:endParaRPr/>
        </a:p>
      </xdr:txBody>
    </xdr:sp>
    <xdr:clientData/>
  </xdr:twoCellAnchor>
  <xdr:twoCellAnchor editAs="oneCell">
    <xdr:from>
      <xdr:col>12</xdr:col>
      <xdr:colOff>419100</xdr:colOff>
      <xdr:row>26</xdr:row>
      <xdr:rowOff>66675</xdr:rowOff>
    </xdr:from>
    <xdr:to>
      <xdr:col>13</xdr:col>
      <xdr:colOff>171450</xdr:colOff>
      <xdr:row>35</xdr:row>
      <xdr:rowOff>47625</xdr:rowOff>
    </xdr:to>
    <xdr:sp>
      <xdr:nvSpPr>
        <xdr:cNvPr id="11" name="Textfeld 20"/>
        <xdr:cNvSpPr>
          <a:spLocks xmlns:a="http://schemas.openxmlformats.org/drawingml/2006/main" noGrp="1"/>
        </xdr:cNvSpPr>
      </xdr:nvSpPr>
      <xdr:spPr>
        <a:xfrm xmlns:a="http://schemas.openxmlformats.org/drawingml/2006/main">
          <a:off x="8972550" y="5610225"/>
          <a:ext cx="1695450"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13 &amp; 14</a:t>
          </a:r>
          <a:endParaRPr/>
        </a:p>
      </xdr:txBody>
    </xdr:sp>
    <xdr:clientData/>
  </xdr:twoCellAnchor>
  <xdr:twoCellAnchor editAs="oneCell">
    <xdr:from>
      <xdr:col>13</xdr:col>
      <xdr:colOff>695325</xdr:colOff>
      <xdr:row>25</xdr:row>
      <xdr:rowOff>161925</xdr:rowOff>
    </xdr:from>
    <xdr:to>
      <xdr:col>14</xdr:col>
      <xdr:colOff>447675</xdr:colOff>
      <xdr:row>34</xdr:row>
      <xdr:rowOff>142875</xdr:rowOff>
    </xdr:to>
    <xdr:sp>
      <xdr:nvSpPr>
        <xdr:cNvPr id="12" name="Textfeld 21"/>
        <xdr:cNvSpPr>
          <a:spLocks xmlns:a="http://schemas.openxmlformats.org/drawingml/2006/main" noGrp="1"/>
        </xdr:cNvSpPr>
      </xdr:nvSpPr>
      <xdr:spPr>
        <a:xfrm xmlns:a="http://schemas.openxmlformats.org/drawingml/2006/main">
          <a:off x="10010775" y="5514975"/>
          <a:ext cx="1695450" cy="514350"/>
        </a:xfrm>
        <a:prstGeom xmlns:a="http://schemas.openxmlformats.org/drawingml/2006/main" prst="rect">
          <a:avLst/>
        </a:prstGeom>
        <a:solidFill xmlns:a="http://schemas.openxmlformats.org/drawingml/2006/main">
          <a:schemeClr val="lt1"/>
        </a:solidFill>
        <a:ln xmlns:a="http://schemas.openxmlformats.org/drawingml/2006/main" w="9525">
          <a:solidFill>
            <a:schemeClr val="lt1">
              <a:shade val="50000"/>
            </a:schemeClr>
          </a:solidFill>
        </a:ln>
      </xdr:spPr>
      <xdr:style>
        <a:lnRef xmlns:a="http://schemas.openxmlformats.org/drawingml/2006/main" idx="0"/>
        <a:fillRef xmlns:a="http://schemas.openxmlformats.org/drawingml/2006/main" idx="0"/>
        <a:effectRef xmlns:a="http://schemas.openxmlformats.org/drawingml/2006/main" idx="0"/>
        <a:fontRef xmlns:a="http://schemas.openxmlformats.org/drawingml/2006/main" idx="minor">
          <a:schemeClr val="dk1"/>
        </a:fontRef>
      </xdr:style>
      <xdr:txBody>
        <a:bodyPr xmlns:a="http://schemas.openxmlformats.org/drawingml/2006/main" wrap="square" anchor="t"/>
        <a:lstStyle xmlns:a="http://schemas.openxmlformats.org/drawingml/2006/main"/>
        <a:p xmlns:a="http://schemas.openxmlformats.org/drawingml/2006/main">
          <a:r>
            <a:rPr sz="2400"/>
            <a:t>Cell 15 &amp; 16</a:t>
          </a:r>
          <a:endParaRPr/>
        </a:p>
      </xdr:txBody>
    </xdr:sp>
    <xdr:clientData/>
  </xdr:twoCellAnchor>
  <xdr:twoCellAnchor editAs="oneCell">
    <xdr:from>
      <xdr:col>1</xdr:col>
      <xdr:colOff>0</xdr:colOff>
      <xdr:row>2</xdr:row>
      <xdr:rowOff>0</xdr:rowOff>
    </xdr:from>
    <xdr:to>
      <xdr:col>18</xdr:col>
      <xdr:colOff>665047</xdr:colOff>
      <xdr:row>35</xdr:row>
      <xdr:rowOff>113500</xdr:rowOff>
    </xdr:to>
    <xdr:pic>
      <xdr:nvPicPr>
        <xdr:cNvPr id="13" name="/xl/media/image3.png"/>
        <xdr:cNvPicPr>
          <a:picLocks xmlns:a="http://schemas.openxmlformats.org/drawingml/2006/main" noChangeAspect="1"/>
        </xdr:cNvPicPr>
      </xdr:nvPicPr>
      <xdr:blipFill>
        <a:blip xmlns:r="http://schemas.openxmlformats.org/officeDocument/2006/relationships" xmlns:a="http://schemas.openxmlformats.org/drawingml/2006/main" r:embed="R66eb08bc123547b6"/>
        <a:stretch xmlns:a="http://schemas.openxmlformats.org/drawingml/2006/main">
          <a:fillRect/>
        </a:stretch>
      </xdr:blipFill>
      <xdr:spPr>
        <a:prstGeom xmlns:a="http://schemas.openxmlformats.org/drawingml/2006/main" prst="rect"/>
      </xdr:spPr>
    </xdr:pic>
    <xdr:clientData/>
  </xdr:twoCellAnchor>
  <xdr:twoCellAnchor editAs="oneCell">
    <xdr:from>
      <xdr:col>1</xdr:col>
      <xdr:colOff>0</xdr:colOff>
      <xdr:row>37</xdr:row>
      <xdr:rowOff>0</xdr:rowOff>
    </xdr:from>
    <xdr:to>
      <xdr:col>7</xdr:col>
      <xdr:colOff>66675</xdr:colOff>
      <xdr:row>47</xdr:row>
      <xdr:rowOff>104775</xdr:rowOff>
    </xdr:to>
    <xdr:pic>
      <xdr:nvPicPr>
        <xdr:cNvPr id="14" name="/xl/media/image4.png"/>
        <xdr:cNvPicPr>
          <a:picLocks xmlns:a="http://schemas.openxmlformats.org/drawingml/2006/main" noChangeAspect="1"/>
        </xdr:cNvPicPr>
      </xdr:nvPicPr>
      <xdr:blipFill>
        <a:blip xmlns:r="http://schemas.openxmlformats.org/officeDocument/2006/relationships" xmlns:a="http://schemas.openxmlformats.org/drawingml/2006/main" r:embed="R1185054ab7004334"/>
        <a:stretch xmlns:a="http://schemas.openxmlformats.org/drawingml/2006/main">
          <a:fillRect/>
        </a:stretch>
      </xdr:blipFill>
      <xdr:spPr>
        <a:prstGeom xmlns:a="http://schemas.openxmlformats.org/drawingml/2006/main" prst="rect"/>
      </xdr:spPr>
    </xdr:pic>
    <xdr:clientData/>
  </xdr:twoCellAnchor>
</xdr:wsDr>
</file>

<file path=xl/drawings/drawing4.xml><?xml version="1.0" encoding="utf-8"?>
<xdr:wsDr xmlns:xdr="http://schemas.openxmlformats.org/drawingml/2006/spreadsheetDrawing">
  <xdr:twoCellAnchor editAs="oneCell">
    <xdr:from>
      <xdr:col>0</xdr:col>
      <xdr:colOff>390525</xdr:colOff>
      <xdr:row>2</xdr:row>
      <xdr:rowOff>9525</xdr:rowOff>
    </xdr:from>
    <xdr:to>
      <xdr:col>8</xdr:col>
      <xdr:colOff>350875</xdr:colOff>
      <xdr:row>17</xdr:row>
      <xdr:rowOff>20191</xdr:rowOff>
    </xdr:to>
    <xdr:pic>
      <xdr:nvPicPr>
        <xdr:cNvPr id="1" name="/xl/media/image5.emf"/>
        <xdr:cNvPicPr>
          <a:picLocks xmlns:a="http://schemas.openxmlformats.org/drawingml/2006/main" noChangeAspect="1"/>
        </xdr:cNvPicPr>
      </xdr:nvPicPr>
      <xdr:blipFill>
        <a:blip xmlns:r="http://schemas.openxmlformats.org/officeDocument/2006/relationships" xmlns:a="http://schemas.openxmlformats.org/drawingml/2006/main" r:embed="Ra97d31550e2342f8"/>
        <a:stretch xmlns:a="http://schemas.openxmlformats.org/drawingml/2006/main">
          <a:fillRect/>
        </a:stretch>
      </xdr:blipFill>
      <xdr:spPr>
        <a:prstGeom xmlns:a="http://schemas.openxmlformats.org/drawingml/2006/main" prst="rect"/>
      </xdr:spPr>
    </xdr:pic>
    <xdr:clientData/>
  </xdr:twoCellAnchor>
</xdr:wsDr>
</file>

<file path=xl/theme/theme1.xml><?xml version="1.0" encoding="utf-8"?>
<a:theme xmlns:a="http://schemas.openxmlformats.org/drawingml/2006/main" name="Offic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2007 - 2010">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7.xml.rels>&#65279;<?xml version="1.0" encoding="utf-8"?><Relationships xmlns="http://schemas.openxmlformats.org/package/2006/relationships"><Relationship Type="http://schemas.openxmlformats.org/officeDocument/2006/relationships/drawing" Target="/xl/drawings/drawing1.xml" Id="Rcc7d907bc0d64612" /></Relationships>
</file>

<file path=xl/worksheets/_rels/sheet9.xml.rels>&#65279;<?xml version="1.0" encoding="utf-8"?><Relationships xmlns="http://schemas.openxmlformats.org/package/2006/relationships"><Relationship Type="http://schemas.openxmlformats.org/officeDocument/2006/relationships/drawing" Target="/xl/drawings/drawing2.xml" Id="Rc3b51529f6914108" /></Relationships>
</file>

<file path=xl/worksheets/_rels/sheet12.xml.rels>&#65279;<?xml version="1.0" encoding="utf-8"?><Relationships xmlns="http://schemas.openxmlformats.org/package/2006/relationships"><Relationship Type="http://schemas.openxmlformats.org/officeDocument/2006/relationships/drawing" Target="/xl/drawings/drawing3.xml" Id="Ra52af41edc794422" /></Relationships>
</file>

<file path=xl/worksheets/_rels/sheet13.xml.rels>&#65279;<?xml version="1.0" encoding="utf-8"?><Relationships xmlns="http://schemas.openxmlformats.org/package/2006/relationships"><Relationship Type="http://schemas.openxmlformats.org/officeDocument/2006/relationships/drawing" Target="/xl/drawings/drawing4.xml" Id="R19382883f52d4117" /></Relationships>
</file>

<file path=xl/worksheets/sheet1.xml><?xml version="1.0" encoding="utf-8"?>
<x:worksheet xmlns:x="http://schemas.openxmlformats.org/spreadsheetml/2006/main">
  <x:sheetFormatPr defaultColWidth="11.42578125" defaultRowHeight="15"/>
  <x:cols>
    <x:col min="1" max="1" width="1.42578125" customWidth="1"/>
    <x:col min="2" max="2" width="19" style="1" customWidth="1"/>
    <x:col min="3" max="3" width="25.7109375" style="1" customWidth="1"/>
    <x:col min="4" max="4" width="11.42578125" style="1" customWidth="0"/>
    <x:col min="5" max="5" width="7.42578125" style="1" customWidth="1"/>
    <x:col min="6" max="6" width="16.42578125" style="1" customWidth="1"/>
    <x:col min="7" max="8" width="11.42578125" style="1" customWidth="0"/>
    <x:col min="9" max="9" width="1.42578125" customWidth="1"/>
  </x:cols>
  <x:sheetData>
    <x:row r="1" ht="15.75"/>
    <x:row r="2" ht="18" customHeight="1">
      <x:c r="B2" s="245"/>
      <x:c r="C2" s="247" t="s">
        <x:v>0</x:v>
      </x:c>
      <x:c r="D2" s="247"/>
      <x:c r="E2" s="247"/>
      <x:c r="F2" s="247"/>
      <x:c r="G2" s="249"/>
      <x:c r="H2" s="250"/>
    </x:row>
    <x:row r="3" ht="18" customHeight="1">
      <x:c r="B3" s="246"/>
      <x:c r="C3" s="248"/>
      <x:c r="D3" s="248"/>
      <x:c r="E3" s="248"/>
      <x:c r="F3" s="248"/>
      <x:c r="G3" s="251"/>
      <x:c r="H3" s="252"/>
    </x:row>
    <x:row r="4" ht="18" customHeight="1">
      <x:c r="B4" s="246"/>
      <x:c r="C4" s="248"/>
      <x:c r="D4" s="248"/>
      <x:c r="E4" s="248"/>
      <x:c r="F4" s="248"/>
      <x:c r="G4" s="251"/>
      <x:c r="H4" s="252"/>
    </x:row>
    <x:row r="5" ht="15.75">
      <x:c r="B5" s="2" t="s">
        <x:v>1</x:v>
      </x:c>
      <x:c r="C5" s="253" t="s">
        <x:v>2</x:v>
      </x:c>
      <x:c r="D5" s="253"/>
      <x:c r="E5" s="3" t="s">
        <x:v>3</x:v>
      </x:c>
      <x:c r="F5" s="55">
        <x:v>43964</x:v>
      </x:c>
      <x:c r="G5" s="254"/>
      <x:c r="H5" s="255"/>
    </x:row>
    <x:row r="6" s="6" customFormat="1" ht="12.75">
      <x:c r="B6" s="4"/>
      <x:c r="C6" s="4"/>
      <x:c r="D6" s="4"/>
      <x:c r="E6" s="4"/>
      <x:c r="F6" s="5"/>
      <x:c r="G6" s="5"/>
      <x:c r="H6" s="5"/>
    </x:row>
    <x:row r="7">
      <x:c r="B7" s="241" t="s">
        <x:v>4</x:v>
      </x:c>
      <x:c r="C7" s="242"/>
      <x:c r="D7" s="242"/>
      <x:c r="E7" s="242"/>
      <x:c r="F7" s="242"/>
      <x:c r="G7" s="242"/>
      <x:c r="H7" s="243"/>
      <x:c r="I7">
        <x:v>0</x:v>
      </x:c>
    </x:row>
    <x:row r="8">
      <x:c r="B8" s="7" t="s">
        <x:v>5</x:v>
      </x:c>
      <x:c r="C8" s="244" t="s">
        <x:v>6</x:v>
      </x:c>
      <x:c r="D8" s="244"/>
      <x:c r="E8" s="244"/>
      <x:c r="F8" s="8" t="s">
        <x:v>7</x:v>
      </x:c>
      <x:c r="G8" s="8" t="s">
        <x:v>8</x:v>
      </x:c>
      <x:c r="H8" s="9" t="s">
        <x:v>3</x:v>
      </x:c>
    </x:row>
    <x:row r="9">
      <x:c r="B9" s="10" t="s">
        <x:v>9</x:v>
      </x:c>
      <x:c r="C9" s="239" t="s">
        <x:v>10</x:v>
      </x:c>
      <x:c r="D9" s="239"/>
      <x:c r="E9" s="239"/>
      <x:c r="F9" s="11" t="s">
        <x:v>11</x:v>
      </x:c>
      <x:c r="G9" s="11" t="s">
        <x:v>12</x:v>
      </x:c>
      <x:c r="H9" s="12">
        <x:v>43780</x:v>
      </x:c>
    </x:row>
    <x:row r="10" ht="43.5" customHeight="1">
      <x:c r="B10" s="10" t="s">
        <x:v>13</x:v>
      </x:c>
      <x:c r="C10" s="239" t="s">
        <x:v>14</x:v>
      </x:c>
      <x:c r="D10" s="239"/>
      <x:c r="E10" s="239"/>
      <x:c r="F10" s="11"/>
      <x:c r="G10" s="11"/>
      <x:c r="H10" s="12"/>
    </x:row>
    <x:row r="11" ht="32.45000076293945" customHeight="1">
      <x:c r="B11" s="13" t="s">
        <x:v>15</x:v>
      </x:c>
      <x:c r="C11" s="239" t="s">
        <x:v>16</x:v>
      </x:c>
      <x:c r="D11" s="239"/>
      <x:c r="E11" s="239"/>
      <x:c r="F11" s="11" t="s">
        <x:v>11</x:v>
      </x:c>
      <x:c r="G11" s="11" t="s">
        <x:v>17</x:v>
      </x:c>
      <x:c r="H11" s="12">
        <x:v>43964</x:v>
      </x:c>
    </x:row>
    <x:row r="12" ht="27.75" customHeight="1">
      <x:c r="B12" s="13" t="s">
        <x:v>18</x:v>
      </x:c>
      <x:c r="C12" s="239" t="s">
        <x:v>16</x:v>
      </x:c>
      <x:c r="D12" s="239"/>
      <x:c r="E12" s="239"/>
      <x:c r="F12" s="11" t="s">
        <x:v>11</x:v>
      </x:c>
      <x:c r="G12" s="11" t="s">
        <x:v>17</x:v>
      </x:c>
      <x:c r="H12" s="195">
        <x:v>43978</x:v>
      </x:c>
    </x:row>
    <x:row r="13" ht="27.75" customHeight="1">
      <x:c r="B13" s="13" t="s">
        <x:v>19</x:v>
      </x:c>
      <x:c r="C13" s="239" t="s">
        <x:v>16</x:v>
      </x:c>
      <x:c r="D13" s="239"/>
      <x:c r="E13" s="239"/>
      <x:c r="F13" s="11" t="s">
        <x:v>11</x:v>
      </x:c>
      <x:c r="G13" s="11" t="s">
        <x:v>17</x:v>
      </x:c>
      <x:c r="H13" s="12">
        <x:v>43980</x:v>
      </x:c>
    </x:row>
    <x:row r="14">
      <x:c r="B14" s="13" t="s">
        <x:v>20</x:v>
      </x:c>
      <x:c r="C14" s="239" t="s">
        <x:v>16</x:v>
      </x:c>
      <x:c r="D14" s="239"/>
      <x:c r="E14" s="239"/>
      <x:c r="F14" s="11" t="s">
        <x:v>11</x:v>
      </x:c>
      <x:c r="G14" s="11" t="s">
        <x:v>17</x:v>
      </x:c>
      <x:c r="H14" s="12">
        <x:v>43985</x:v>
      </x:c>
    </x:row>
    <x:row r="15" ht="15.75" customHeight="1">
      <x:c r="B15" s="13" t="s">
        <x:v>21</x:v>
      </x:c>
      <x:c r="C15" s="239" t="s">
        <x:v>22</x:v>
      </x:c>
      <x:c r="D15" s="239"/>
      <x:c r="E15" s="239"/>
      <x:c r="F15" s="11" t="s">
        <x:v>11</x:v>
      </x:c>
      <x:c r="G15" s="11" t="s">
        <x:v>23</x:v>
      </x:c>
      <x:c r="H15" s="12">
        <x:v>43991</x:v>
      </x:c>
    </x:row>
    <x:row r="16" ht="30.600000381469727" customHeight="1">
      <x:c r="B16" s="13" t="s">
        <x:v>24</x:v>
      </x:c>
      <x:c r="C16" s="239" t="s">
        <x:v>25</x:v>
      </x:c>
      <x:c r="D16" s="239"/>
      <x:c r="E16" s="239"/>
      <x:c r="F16" s="11" t="s">
        <x:v>11</x:v>
      </x:c>
      <x:c r="G16" s="11" t="s">
        <x:v>17</x:v>
      </x:c>
      <x:c r="H16" s="12">
        <x:v>43999</x:v>
      </x:c>
    </x:row>
    <x:row r="17" ht="15.75" customHeight="1">
      <x:c r="B17" s="13" t="s">
        <x:v>26</x:v>
      </x:c>
      <x:c r="C17" s="239" t="s">
        <x:v>27</x:v>
      </x:c>
      <x:c r="D17" s="239"/>
      <x:c r="E17" s="239"/>
      <x:c r="F17" s="11" t="s">
        <x:v>11</x:v>
      </x:c>
      <x:c r="G17" s="11" t="s">
        <x:v>17</x:v>
      </x:c>
      <x:c r="H17" s="12">
        <x:v>44005</x:v>
      </x:c>
    </x:row>
    <x:row r="18" ht="50.25" customHeight="1">
      <x:c r="B18" s="13" t="s">
        <x:v>28</x:v>
      </x:c>
      <x:c r="C18" s="239" t="s">
        <x:v>29</x:v>
      </x:c>
      <x:c r="D18" s="239"/>
      <x:c r="E18" s="239"/>
      <x:c r="F18" s="11" t="s">
        <x:v>11</x:v>
      </x:c>
      <x:c r="G18" s="11" t="s">
        <x:v>17</x:v>
      </x:c>
      <x:c r="H18" s="12">
        <x:v>44007</x:v>
      </x:c>
    </x:row>
    <x:row r="19" ht="37.5" customHeight="1">
      <x:c r="B19" s="13" t="s">
        <x:v>30</x:v>
      </x:c>
      <x:c r="C19" s="239" t="s">
        <x:v>31</x:v>
      </x:c>
      <x:c r="D19" s="239"/>
      <x:c r="E19" s="239"/>
      <x:c r="F19" s="11" t="s">
        <x:v>11</x:v>
      </x:c>
      <x:c r="G19" s="11" t="s">
        <x:v>12</x:v>
      </x:c>
      <x:c r="H19" s="12">
        <x:v>44014</x:v>
      </x:c>
    </x:row>
    <x:row r="20" ht="32.25" customHeight="1">
      <x:c r="B20" s="13" t="s">
        <x:v>32</x:v>
      </x:c>
      <x:c r="C20" s="240" t="s">
        <x:v>33</x:v>
      </x:c>
      <x:c r="D20" s="240"/>
      <x:c r="E20" s="240"/>
      <x:c r="F20" s="11" t="s">
        <x:v>11</x:v>
      </x:c>
      <x:c r="G20" s="11" t="s">
        <x:v>12</x:v>
      </x:c>
      <x:c r="H20" s="23">
        <x:v>44020</x:v>
      </x:c>
    </x:row>
    <x:row r="21" ht="32.25" customHeight="1">
      <x:c r="B21" s="21" t="s">
        <x:v>34</x:v>
      </x:c>
      <x:c r="C21" s="240" t="s">
        <x:v>35</x:v>
      </x:c>
      <x:c r="D21" s="240"/>
      <x:c r="E21" s="240"/>
      <x:c r="F21" s="22" t="s">
        <x:v>11</x:v>
      </x:c>
      <x:c r="G21" s="22" t="s">
        <x:v>12</x:v>
      </x:c>
      <x:c r="H21" s="23">
        <x:v>44020</x:v>
      </x:c>
    </x:row>
    <x:row r="22" ht="32.25" customHeight="1">
      <x:c r="B22" s="13" t="s">
        <x:v>36</x:v>
      </x:c>
      <x:c r="C22" s="239" t="s">
        <x:v>37</x:v>
      </x:c>
      <x:c r="D22" s="239"/>
      <x:c r="E22" s="239"/>
      <x:c r="F22" s="11" t="s">
        <x:v>11</x:v>
      </x:c>
      <x:c r="G22" s="11" t="s">
        <x:v>38</x:v>
      </x:c>
      <x:c r="H22" s="12">
        <x:v>44014</x:v>
      </x:c>
    </x:row>
    <x:row r="23" ht="105" customHeight="1">
      <x:c r="B23" s="13" t="s">
        <x:v>39</x:v>
      </x:c>
      <x:c r="C23" s="239" t="s">
        <x:v>40</x:v>
      </x:c>
      <x:c r="D23" s="239"/>
      <x:c r="E23" s="239"/>
      <x:c r="F23" s="11" t="s">
        <x:v>11</x:v>
      </x:c>
      <x:c r="G23" s="11" t="s">
        <x:v>41</x:v>
      </x:c>
      <x:c r="H23" s="12">
        <x:v>44048</x:v>
      </x:c>
    </x:row>
    <x:row r="24" ht="32.25" customHeight="1">
      <x:c r="B24" s="13" t="s">
        <x:v>42</x:v>
      </x:c>
      <x:c r="C24" s="239" t="s">
        <x:v>43</x:v>
      </x:c>
      <x:c r="D24" s="239"/>
      <x:c r="E24" s="239"/>
      <x:c r="F24" s="11" t="s">
        <x:v>11</x:v>
      </x:c>
      <x:c r="G24" s="11" t="s">
        <x:v>44</x:v>
      </x:c>
      <x:c r="H24" s="12">
        <x:v>44694</x:v>
      </x:c>
    </x:row>
    <x:row r="25" s="6" customFormat="1" ht="12.75">
      <x:c r="B25" s="4"/>
      <x:c r="C25" s="4"/>
      <x:c r="D25" s="4"/>
      <x:c r="E25" s="4"/>
      <x:c r="F25" s="5"/>
      <x:c r="G25" s="5"/>
      <x:c r="H25" s="5"/>
    </x:row>
    <x:row r="26">
      <x:c r="B26" s="256" t="s">
        <x:v>45</x:v>
      </x:c>
      <x:c r="C26" s="257"/>
      <x:c r="D26" s="257"/>
      <x:c r="E26" s="257"/>
      <x:c r="F26" s="257"/>
      <x:c r="G26" s="257"/>
      <x:c r="H26" s="258"/>
    </x:row>
    <x:row r="27">
      <x:c r="B27" s="7" t="s">
        <x:v>5</x:v>
      </x:c>
      <x:c r="C27" s="244" t="s">
        <x:v>46</x:v>
      </x:c>
      <x:c r="D27" s="244"/>
      <x:c r="E27" s="244"/>
      <x:c r="F27" s="8" t="s">
        <x:v>47</x:v>
      </x:c>
      <x:c r="G27" s="34" t="s">
        <x:v>48</x:v>
      </x:c>
      <x:c r="H27" s="35" t="s">
        <x:v>3</x:v>
      </x:c>
    </x:row>
    <x:row r="28">
      <x:c r="B28" s="13"/>
      <x:c r="C28" s="262"/>
      <x:c r="D28" s="263"/>
      <x:c r="E28" s="264"/>
      <x:c r="F28" s="20"/>
      <x:c r="G28" s="20"/>
      <x:c r="H28" s="12"/>
    </x:row>
    <x:row r="29" ht="15.75" customHeight="1">
      <x:c r="B29" s="14"/>
      <x:c r="C29" s="265"/>
      <x:c r="D29" s="266"/>
      <x:c r="E29" s="267"/>
      <x:c r="F29" s="24"/>
      <x:c r="G29" s="24"/>
      <x:c r="H29" s="15"/>
    </x:row>
    <x:row r="30" s="6" customFormat="1" ht="12.75">
      <x:c r="B30" s="16"/>
      <x:c r="C30" s="16"/>
      <x:c r="D30" s="16"/>
      <x:c r="E30" s="16"/>
      <x:c r="F30" s="16"/>
      <x:c r="G30" s="16"/>
      <x:c r="H30" s="16"/>
    </x:row>
    <x:row r="31">
      <x:c r="B31" s="268" t="s">
        <x:v>49</x:v>
      </x:c>
      <x:c r="C31" s="269"/>
      <x:c r="D31" s="269"/>
      <x:c r="E31" s="269"/>
      <x:c r="F31" s="269"/>
      <x:c r="G31" s="269"/>
      <x:c r="H31" s="270"/>
    </x:row>
    <x:row r="32" ht="68.25" customHeight="1">
      <x:c r="B32" s="271"/>
      <x:c r="C32" s="260"/>
      <x:c r="D32" s="260"/>
      <x:c r="E32" s="260"/>
      <x:c r="F32" s="260"/>
      <x:c r="G32" s="260"/>
      <x:c r="H32" s="261"/>
    </x:row>
    <x:row r="33" s="6" customFormat="1" ht="12.75">
      <x:c r="B33" s="17"/>
      <x:c r="C33" s="16"/>
      <x:c r="D33" s="16"/>
      <x:c r="E33" s="16"/>
      <x:c r="F33" s="16"/>
      <x:c r="G33" s="16"/>
      <x:c r="H33" s="16"/>
    </x:row>
    <x:row r="34" ht="15.75">
      <x:c r="B34" s="18" t="s">
        <x:v>50</x:v>
      </x:c>
      <x:c r="C34" s="272"/>
      <x:c r="D34" s="273"/>
      <x:c r="E34" s="273"/>
      <x:c r="F34" s="273"/>
      <x:c r="G34" s="273"/>
      <x:c r="H34" s="274"/>
    </x:row>
    <x:row r="35" s="6" customFormat="1" ht="12.75">
      <x:c r="B35" s="17"/>
      <x:c r="C35" s="16"/>
      <x:c r="D35" s="16"/>
      <x:c r="E35" s="16"/>
      <x:c r="F35" s="16"/>
      <x:c r="G35" s="16"/>
      <x:c r="H35" s="16"/>
    </x:row>
    <x:row r="36" ht="15.75">
      <x:c r="B36" s="18" t="s">
        <x:v>51</x:v>
      </x:c>
      <x:c r="C36" s="272"/>
      <x:c r="D36" s="273"/>
      <x:c r="E36" s="273"/>
      <x:c r="F36" s="273"/>
      <x:c r="G36" s="273"/>
      <x:c r="H36" s="274"/>
    </x:row>
    <x:row r="37" ht="15.75"/>
    <x:row r="38">
      <x:c r="B38" s="256" t="s">
        <x:v>52</x:v>
      </x:c>
      <x:c r="C38" s="257"/>
      <x:c r="D38" s="257"/>
      <x:c r="E38" s="257"/>
      <x:c r="F38" s="257"/>
      <x:c r="G38" s="257"/>
      <x:c r="H38" s="258"/>
    </x:row>
    <x:row r="39" ht="87" customHeight="1">
      <x:c r="B39" s="259"/>
      <x:c r="C39" s="260"/>
      <x:c r="D39" s="260"/>
      <x:c r="E39" s="260"/>
      <x:c r="F39" s="260"/>
      <x:c r="G39" s="260"/>
      <x:c r="H39" s="261"/>
    </x:row>
    <x:row r="40" s="6" customFormat="1" ht="12.75">
      <x:c r="B40" s="17"/>
      <x:c r="C40" s="16"/>
      <x:c r="D40" s="16"/>
      <x:c r="E40" s="16"/>
      <x:c r="F40" s="16"/>
      <x:c r="G40" s="16"/>
      <x:c r="H40" s="16"/>
    </x:row>
    <x:row r="41">
      <x:c r="B41" s="287" t="s">
        <x:v>53</x:v>
      </x:c>
      <x:c r="C41" s="288"/>
      <x:c r="D41" s="288"/>
      <x:c r="E41" s="288"/>
      <x:c r="F41" s="288"/>
      <x:c r="G41" s="288"/>
      <x:c r="H41" s="289"/>
    </x:row>
    <x:row r="42">
      <x:c r="B42" s="7" t="s">
        <x:v>54</x:v>
      </x:c>
      <x:c r="C42" s="8" t="s">
        <x:v>55</x:v>
      </x:c>
      <x:c r="D42" s="275" t="s">
        <x:v>56</x:v>
      </x:c>
      <x:c r="E42" s="276"/>
      <x:c r="F42" s="276"/>
      <x:c r="G42" s="277"/>
      <x:c r="H42" s="9" t="s">
        <x:v>3</x:v>
      </x:c>
    </x:row>
    <x:row r="43" ht="40.5" customHeight="1">
      <x:c r="B43" s="25" t="s">
        <x:v>57</x:v>
      </x:c>
      <x:c r="C43" s="31"/>
      <x:c r="D43" s="278"/>
      <x:c r="E43" s="279"/>
      <x:c r="F43" s="279"/>
      <x:c r="G43" s="280"/>
      <x:c r="H43" s="26"/>
    </x:row>
    <x:row r="44" ht="40.5" customHeight="1">
      <x:c r="B44" s="29" t="s">
        <x:v>58</x:v>
      </x:c>
      <x:c r="C44" s="32"/>
      <x:c r="D44" s="284"/>
      <x:c r="E44" s="285"/>
      <x:c r="F44" s="285"/>
      <x:c r="G44" s="286"/>
      <x:c r="H44" s="30"/>
    </x:row>
    <x:row r="45" ht="42" customHeight="1">
      <x:c r="B45" s="27" t="s">
        <x:v>59</x:v>
      </x:c>
      <x:c r="C45" s="33"/>
      <x:c r="D45" s="281"/>
      <x:c r="E45" s="282"/>
      <x:c r="F45" s="282"/>
      <x:c r="G45" s="283"/>
      <x:c r="H45" s="28"/>
    </x:row>
  </x:sheetData>
  <x:mergeCells>
    <x:mergeCell ref="D42:G42"/>
    <x:mergeCell ref="D43:G43"/>
    <x:mergeCell ref="D45:G45"/>
    <x:mergeCell ref="D44:G44"/>
    <x:mergeCell ref="B41:H41"/>
    <x:mergeCell ref="B26:H26"/>
    <x:mergeCell ref="C17:E17"/>
    <x:mergeCell ref="B39:H39"/>
    <x:mergeCell ref="C27:E27"/>
    <x:mergeCell ref="C28:E28"/>
    <x:mergeCell ref="C29:E29"/>
    <x:mergeCell ref="B31:H31"/>
    <x:mergeCell ref="B32:H32"/>
    <x:mergeCell ref="C34:H34"/>
    <x:mergeCell ref="B38:H38"/>
    <x:mergeCell ref="C36:H36"/>
    <x:mergeCell ref="C22:E22"/>
    <x:mergeCell ref="C23:E23"/>
    <x:mergeCell ref="C24:E24"/>
    <x:mergeCell ref="B2:B4"/>
    <x:mergeCell ref="C2:F4"/>
    <x:mergeCell ref="G2:H4"/>
    <x:mergeCell ref="C5:D5"/>
    <x:mergeCell ref="G5:H5"/>
    <x:mergeCell ref="B7:H7"/>
    <x:mergeCell ref="C8:E8"/>
    <x:mergeCell ref="C9:E9"/>
    <x:mergeCell ref="C10:E10"/>
    <x:mergeCell ref="C11:E11"/>
    <x:mergeCell ref="C14:E14"/>
    <x:mergeCell ref="C12:E12"/>
    <x:mergeCell ref="C13:E13"/>
    <x:mergeCell ref="C21:E21"/>
    <x:mergeCell ref="C18:E18"/>
    <x:mergeCell ref="C15:E15"/>
    <x:mergeCell ref="C16:E16"/>
    <x:mergeCell ref="C19:E19"/>
    <x:mergeCell ref="C20:E20"/>
  </x:mergeCells>
  <x:pageMargins left="0.7" right="0.7" top="0.75" bottom="0.75" header="0.3" footer="0.3"/>
</x:worksheet>
</file>

<file path=xl/worksheets/sheet2.xml><?xml version="1.0" encoding="utf-8"?>
<x:worksheet xmlns:x="http://schemas.openxmlformats.org/spreadsheetml/2006/main">
  <x:sheetFormatPr defaultColWidth="8.42578125" defaultRowHeight="15"/>
  <x:cols>
    <x:col min="1" max="1" width="5.85546875" style="77" customWidth="1"/>
    <x:col min="2" max="2" width="17.5703125" style="56" customWidth="1"/>
    <x:col min="3" max="3" width="57.7109375" style="78" customWidth="1"/>
    <x:col min="4" max="4" width="9.28515625" style="78" customWidth="1"/>
    <x:col min="5" max="5" width="13.7109375" style="114" customWidth="1"/>
    <x:col min="6" max="6" width="9.140625" style="79" customWidth="1"/>
    <x:col min="7" max="7" width="35.140625" style="56" customWidth="1"/>
    <x:col min="8" max="8" width="14.5703125" style="56" customWidth="1"/>
    <x:col min="9" max="9" width="11" style="56" customWidth="1"/>
    <x:col min="10" max="11" width="13.28515625" style="56" customWidth="1"/>
    <x:col min="12" max="13" width="8.42578125" style="56" customWidth="0"/>
    <x:col min="14" max="14" width="13.140625" style="56" customWidth="1"/>
    <x:col min="15" max="16384" width="8.42578125" style="56" customWidth="0"/>
  </x:cols>
  <x:sheetData>
    <x:row r="1">
      <x:c r="A1" s="298" t="s">
        <x:v>60</x:v>
      </x:c>
      <x:c r="B1" s="298"/>
      <x:c r="C1" s="298"/>
      <x:c r="D1" s="298"/>
      <x:c r="E1" s="298"/>
      <x:c r="F1" s="298"/>
      <x:c r="G1" s="298"/>
      <x:c r="H1" s="298"/>
      <x:c r="I1" s="54"/>
      <x:c r="J1" s="54"/>
      <x:c r="K1" s="54"/>
    </x:row>
    <x:row r="2" ht="26.25">
      <x:c r="A2" s="296" t="s">
        <x:v>61</x:v>
      </x:c>
      <x:c r="B2" s="296"/>
      <x:c r="C2" s="297"/>
      <x:c r="D2" s="107" t="s">
        <x:v>62</x:v>
      </x:c>
      <x:c r="E2" s="108" t="s">
        <x:v>63</x:v>
      </x:c>
      <x:c r="F2" s="57" t="s">
        <x:v>64</x:v>
      </x:c>
      <x:c r="G2" s="58" t="s">
        <x:v>65</x:v>
      </x:c>
      <x:c r="H2" s="58" t="s">
        <x:v>66</x:v>
      </x:c>
      <x:c r="I2" s="108" t="s">
        <x:v>67</x:v>
      </x:c>
      <x:c r="J2" s="108" t="s">
        <x:v>7</x:v>
      </x:c>
      <x:c r="K2" s="108" t="s">
        <x:v>68</x:v>
      </x:c>
    </x:row>
    <x:row r="3" ht="60">
      <x:c r="A3" s="59" t="s">
        <x:v>69</x:v>
      </x:c>
      <x:c r="B3" s="60" t="s">
        <x:v>70</x:v>
      </x:c>
      <x:c r="C3" s="61" t="s">
        <x:v>71</x:v>
      </x:c>
      <x:c r="D3" s="61" t="s">
        <x:v>72</x:v>
      </x:c>
      <x:c r="E3" s="61" t="s">
        <x:v>73</x:v>
      </x:c>
      <x:c r="F3" s="62" t="s">
        <x:v>74</x:v>
      </x:c>
      <x:c r="G3" s="63" t="s">
        <x:v>75</x:v>
      </x:c>
      <x:c r="H3" s="64" t="s">
        <x:v>76</x:v>
      </x:c>
      <x:c r="I3" s="109" t="s">
        <x:v>77</x:v>
      </x:c>
      <x:c r="J3" s="110" t="s">
        <x:v>78</x:v>
      </x:c>
      <x:c r="K3" s="110"/>
    </x:row>
    <x:row r="4">
      <x:c r="A4" s="65"/>
      <x:c r="B4" s="66"/>
      <x:c r="C4" s="141"/>
      <x:c r="D4" s="66"/>
      <x:c r="E4" s="111"/>
      <x:c r="F4" s="66"/>
      <x:c r="G4" s="66"/>
      <x:c r="H4" s="67"/>
      <x:c r="I4" s="68"/>
      <x:c r="J4" s="69"/>
      <x:c r="K4" s="70"/>
    </x:row>
    <x:row r="5">
      <x:c r="A5" s="299" t="s">
        <x:v>79</x:v>
      </x:c>
      <x:c r="B5" s="300"/>
      <x:c r="C5" s="301"/>
      <x:c r="D5" s="66"/>
      <x:c r="E5" s="111"/>
      <x:c r="F5" s="71"/>
      <x:c r="G5" s="71"/>
      <x:c r="H5" s="68"/>
      <x:c r="I5" s="68"/>
      <x:c r="J5" s="69"/>
      <x:c r="K5" s="70"/>
    </x:row>
    <x:row r="6" ht="38.25">
      <x:c r="A6" s="65">
        <x:v>0</x:v>
      </x:c>
      <x:c r="B6" s="66" t="s">
        <x:v>80</x:v>
      </x:c>
      <x:c r="C6" s="99" t="s">
        <x:v>81</x:v>
      </x:c>
      <x:c r="D6" s="66" t="s">
        <x:v>82</x:v>
      </x:c>
      <x:c r="E6" s="120" t="s">
        <x:v>83</x:v>
      </x:c>
      <x:c r="F6" s="71" t="s">
        <x:v>84</x:v>
      </x:c>
      <x:c r="G6" s="71"/>
      <x:c r="H6" s="68"/>
      <x:c r="I6" s="68"/>
      <x:c r="J6" s="69" t="s">
        <x:v>85</x:v>
      </x:c>
      <x:c r="K6" s="70"/>
    </x:row>
    <x:row r="7">
      <x:c r="A7" s="65" t="s">
        <x:v>86</x:v>
      </x:c>
      <x:c r="B7" s="71" t="s">
        <x:v>87</x:v>
      </x:c>
      <x:c r="C7" s="88" t="s">
        <x:v>88</x:v>
      </x:c>
      <x:c r="D7" s="66"/>
      <x:c r="E7" s="117"/>
      <x:c r="F7" s="71"/>
      <x:c r="G7" s="71"/>
      <x:c r="H7" s="68"/>
      <x:c r="I7" s="68"/>
      <x:c r="J7" s="69"/>
      <x:c r="K7" s="70"/>
    </x:row>
    <x:row r="8" ht="25.5">
      <x:c r="A8" s="104" t="s">
        <x:v>86</x:v>
      </x:c>
      <x:c r="B8" s="105" t="s">
        <x:v>89</x:v>
      </x:c>
      <x:c r="C8" s="105" t="s">
        <x:v>90</x:v>
      </x:c>
      <x:c r="D8" s="106"/>
      <x:c r="E8" s="112"/>
      <x:c r="F8" s="105"/>
      <x:c r="G8" s="105" t="s">
        <x:v>91</x:v>
      </x:c>
      <x:c r="H8" s="68"/>
      <x:c r="I8" s="68"/>
      <x:c r="J8" s="69"/>
      <x:c r="K8" s="70"/>
    </x:row>
    <x:row r="9">
      <x:c r="A9" s="65"/>
      <x:c r="B9" s="71"/>
      <x:c r="C9" s="88"/>
      <x:c r="D9" s="66"/>
      <x:c r="E9" s="111"/>
      <x:c r="F9" s="71"/>
      <x:c r="G9" s="71"/>
      <x:c r="H9" s="68"/>
      <x:c r="I9" s="68"/>
      <x:c r="J9" s="69"/>
      <x:c r="K9" s="70"/>
    </x:row>
    <x:row r="10">
      <x:c r="A10" s="302" t="s">
        <x:v>92</x:v>
      </x:c>
      <x:c r="B10" s="303"/>
      <x:c r="C10" s="304"/>
      <x:c r="D10" s="66"/>
      <x:c r="E10" s="111"/>
      <x:c r="F10" s="71"/>
      <x:c r="G10" s="71"/>
      <x:c r="H10" s="68"/>
      <x:c r="I10" s="68"/>
      <x:c r="J10" s="69"/>
      <x:c r="K10" s="70"/>
    </x:row>
    <x:row r="11" ht="25.5">
      <x:c r="A11" s="65">
        <x:v>1</x:v>
      </x:c>
      <x:c r="B11" s="66" t="s">
        <x:v>93</x:v>
      </x:c>
      <x:c r="C11" s="88" t="s">
        <x:v>94</x:v>
      </x:c>
      <x:c r="D11" s="66" t="s">
        <x:v>95</x:v>
      </x:c>
      <x:c r="E11" s="120" t="s">
        <x:v>83</x:v>
      </x:c>
      <x:c r="F11" s="71" t="s">
        <x:v>84</x:v>
      </x:c>
      <x:c r="G11" s="71"/>
      <x:c r="H11" s="68"/>
      <x:c r="I11" s="68"/>
      <x:c r="J11" s="69" t="s">
        <x:v>85</x:v>
      </x:c>
      <x:c r="K11" s="70"/>
    </x:row>
    <x:row r="12">
      <x:c r="A12" s="65" t="s">
        <x:v>86</x:v>
      </x:c>
      <x:c r="B12" s="71" t="s">
        <x:v>96</x:v>
      </x:c>
      <x:c r="C12" s="71" t="s">
        <x:v>97</x:v>
      </x:c>
      <x:c r="D12" s="66"/>
      <x:c r="E12" s="117"/>
      <x:c r="F12" s="71"/>
      <x:c r="G12" s="71"/>
      <x:c r="H12" s="68"/>
      <x:c r="I12" s="68"/>
      <x:c r="J12" s="69"/>
      <x:c r="K12" s="70"/>
    </x:row>
    <x:row r="13">
      <x:c r="A13" s="104" t="s">
        <x:v>86</x:v>
      </x:c>
      <x:c r="B13" s="105" t="s">
        <x:v>98</x:v>
      </x:c>
      <x:c r="C13" s="105" t="s">
        <x:v>99</x:v>
      </x:c>
      <x:c r="D13" s="66"/>
      <x:c r="E13" s="117"/>
      <x:c r="F13" s="71"/>
      <x:c r="G13" s="71"/>
      <x:c r="H13" s="68"/>
      <x:c r="I13" s="68"/>
      <x:c r="J13" s="69"/>
      <x:c r="K13" s="70"/>
    </x:row>
    <x:row r="14" ht="25.5">
      <x:c r="A14" s="65">
        <x:v>0</x:v>
      </x:c>
      <x:c r="B14" s="71" t="s">
        <x:v>100</x:v>
      </x:c>
      <x:c r="C14" s="101" t="s">
        <x:v>101</x:v>
      </x:c>
      <x:c r="D14" s="66" t="s">
        <x:v>95</x:v>
      </x:c>
      <x:c r="E14" s="120" t="s">
        <x:v>83</x:v>
      </x:c>
      <x:c r="F14" s="71" t="s">
        <x:v>84</x:v>
      </x:c>
      <x:c r="G14" s="72"/>
      <x:c r="H14" s="72"/>
      <x:c r="I14" s="72"/>
      <x:c r="J14" s="69" t="s">
        <x:v>85</x:v>
      </x:c>
      <x:c r="K14" s="72"/>
    </x:row>
    <x:row r="15" ht="63.75">
      <x:c r="A15" s="65">
        <x:v>1</x:v>
      </x:c>
      <x:c r="B15" s="71" t="s">
        <x:v>102</x:v>
      </x:c>
      <x:c r="C15" s="100" t="s">
        <x:v>103</x:v>
      </x:c>
      <x:c r="D15" s="66" t="s">
        <x:v>95</x:v>
      </x:c>
      <x:c r="E15" s="120" t="s">
        <x:v>83</x:v>
      </x:c>
      <x:c r="F15" s="71" t="s">
        <x:v>84</x:v>
      </x:c>
      <x:c r="G15" s="72"/>
      <x:c r="H15" s="72"/>
      <x:c r="I15" s="72"/>
      <x:c r="J15" s="69" t="s">
        <x:v>85</x:v>
      </x:c>
      <x:c r="K15" s="72"/>
    </x:row>
    <x:row r="16" ht="38.25">
      <x:c r="A16" s="65">
        <x:v>0</x:v>
      </x:c>
      <x:c r="B16" s="71" t="s">
        <x:v>104</x:v>
      </x:c>
      <x:c r="C16" s="100" t="s">
        <x:v>105</x:v>
      </x:c>
      <x:c r="D16" s="66" t="s">
        <x:v>95</x:v>
      </x:c>
      <x:c r="E16" s="120" t="s">
        <x:v>83</x:v>
      </x:c>
      <x:c r="F16" s="71" t="s">
        <x:v>84</x:v>
      </x:c>
      <x:c r="G16" s="72"/>
      <x:c r="H16" s="72"/>
      <x:c r="I16" s="72"/>
      <x:c r="J16" s="69" t="s">
        <x:v>85</x:v>
      </x:c>
      <x:c r="K16" s="72"/>
    </x:row>
    <x:row r="17" ht="25.5">
      <x:c r="A17" s="65" t="s">
        <x:v>86</x:v>
      </x:c>
      <x:c r="B17" s="71" t="s">
        <x:v>106</x:v>
      </x:c>
      <x:c r="C17" s="71" t="s">
        <x:v>107</x:v>
      </x:c>
      <x:c r="D17" s="66"/>
      <x:c r="E17" s="117"/>
      <x:c r="F17" s="71"/>
      <x:c r="G17" s="71"/>
      <x:c r="H17" s="68"/>
      <x:c r="I17" s="68"/>
      <x:c r="J17" s="69"/>
      <x:c r="K17" s="70"/>
    </x:row>
    <x:row r="18">
      <x:c r="A18" s="65"/>
      <x:c r="B18" s="71"/>
      <x:c r="C18" s="99"/>
      <x:c r="D18" s="73"/>
      <x:c r="E18" s="113"/>
      <x:c r="F18" s="71"/>
      <x:c r="G18" s="71"/>
      <x:c r="H18" s="68"/>
      <x:c r="I18" s="68"/>
      <x:c r="J18" s="69"/>
      <x:c r="K18" s="70"/>
    </x:row>
    <x:row r="19">
      <x:c r="A19" s="290" t="s">
        <x:v>108</x:v>
      </x:c>
      <x:c r="B19" s="291"/>
      <x:c r="C19" s="292"/>
      <x:c r="D19" s="73"/>
      <x:c r="E19" s="113"/>
      <x:c r="F19" s="73"/>
      <x:c r="G19" s="73"/>
      <x:c r="H19" s="67"/>
      <x:c r="I19" s="68"/>
      <x:c r="J19" s="69"/>
      <x:c r="K19" s="70"/>
    </x:row>
    <x:row r="20" ht="25.5">
      <x:c r="A20" s="65">
        <x:v>1</x:v>
      </x:c>
      <x:c r="B20" s="71" t="s">
        <x:v>109</x:v>
      </x:c>
      <x:c r="C20" s="102" t="s">
        <x:v>110</x:v>
      </x:c>
      <x:c r="D20" s="73" t="s">
        <x:v>95</x:v>
      </x:c>
      <x:c r="E20" s="113"/>
      <x:c r="F20" s="71" t="s">
        <x:v>84</x:v>
      </x:c>
      <x:c r="G20" s="73" t="s">
        <x:v>111</x:v>
      </x:c>
      <x:c r="H20" s="67"/>
      <x:c r="I20" s="68"/>
      <x:c r="J20" s="69"/>
      <x:c r="K20" s="70"/>
    </x:row>
    <x:row r="21" ht="38.25">
      <x:c r="A21" s="65">
        <x:v>0</x:v>
      </x:c>
      <x:c r="B21" s="71" t="s">
        <x:v>112</x:v>
      </x:c>
      <x:c r="C21" s="102" t="s">
        <x:v>113</x:v>
      </x:c>
      <x:c r="D21" s="73" t="s">
        <x:v>82</x:v>
      </x:c>
      <x:c r="E21" s="113"/>
      <x:c r="F21" s="71" t="s">
        <x:v>84</x:v>
      </x:c>
      <x:c r="G21" s="73"/>
      <x:c r="H21" s="67"/>
      <x:c r="I21" s="68"/>
      <x:c r="J21" s="69" t="s">
        <x:v>85</x:v>
      </x:c>
      <x:c r="K21" s="70"/>
    </x:row>
    <x:row r="22" ht="25.5">
      <x:c r="A22" s="65">
        <x:v>0</x:v>
      </x:c>
      <x:c r="B22" s="71" t="s">
        <x:v>114</x:v>
      </x:c>
      <x:c r="C22" s="102" t="s">
        <x:v>115</x:v>
      </x:c>
      <x:c r="D22" s="73" t="s">
        <x:v>95</x:v>
      </x:c>
      <x:c r="E22" s="113"/>
      <x:c r="F22" s="71" t="s">
        <x:v>84</x:v>
      </x:c>
      <x:c r="G22" s="73"/>
      <x:c r="H22" s="67"/>
      <x:c r="I22" s="68"/>
      <x:c r="J22" s="69" t="s">
        <x:v>85</x:v>
      </x:c>
      <x:c r="K22" s="70"/>
    </x:row>
    <x:row r="23" ht="24">
      <x:c r="A23" s="65">
        <x:v>0</x:v>
      </x:c>
      <x:c r="B23" s="71" t="s">
        <x:v>116</x:v>
      </x:c>
      <x:c r="C23" s="142" t="s">
        <x:v>117</x:v>
      </x:c>
      <x:c r="D23" s="66" t="s">
        <x:v>95</x:v>
      </x:c>
      <x:c r="E23" s="111"/>
      <x:c r="F23" s="66" t="s">
        <x:v>84</x:v>
      </x:c>
      <x:c r="G23" s="66"/>
      <x:c r="H23" s="67"/>
      <x:c r="I23" s="68"/>
      <x:c r="J23" s="69" t="s">
        <x:v>85</x:v>
      </x:c>
      <x:c r="K23" s="70"/>
    </x:row>
    <x:row r="24" ht="25.5">
      <x:c r="A24" s="65">
        <x:v>0</x:v>
      </x:c>
      <x:c r="B24" s="71" t="s">
        <x:v>118</x:v>
      </x:c>
      <x:c r="C24" s="103" t="s">
        <x:v>119</x:v>
      </x:c>
      <x:c r="D24" s="66" t="s">
        <x:v>95</x:v>
      </x:c>
      <x:c r="E24" s="111"/>
      <x:c r="F24" s="66" t="s">
        <x:v>84</x:v>
      </x:c>
      <x:c r="G24" s="66"/>
      <x:c r="H24" s="67"/>
      <x:c r="I24" s="68"/>
      <x:c r="J24" s="69" t="s">
        <x:v>85</x:v>
      </x:c>
      <x:c r="K24" s="70"/>
    </x:row>
    <x:row r="25" ht="38.25">
      <x:c r="A25" s="201">
        <x:v>0</x:v>
      </x:c>
      <x:c r="B25" s="202" t="s">
        <x:v>120</x:v>
      </x:c>
      <x:c r="C25" s="203" t="s">
        <x:v>121</x:v>
      </x:c>
      <x:c r="D25" s="203" t="s">
        <x:v>95</x:v>
      </x:c>
      <x:c r="E25" s="204"/>
      <x:c r="F25" s="203" t="s">
        <x:v>84</x:v>
      </x:c>
      <x:c r="G25" s="203"/>
      <x:c r="H25" s="205"/>
      <x:c r="I25" s="206"/>
      <x:c r="J25" s="207" t="s">
        <x:v>85</x:v>
      </x:c>
      <x:c r="K25" s="70"/>
    </x:row>
    <x:row r="26" ht="63.75">
      <x:c r="A26" s="65">
        <x:v>0</x:v>
      </x:c>
      <x:c r="B26" s="71" t="s">
        <x:v>122</x:v>
      </x:c>
      <x:c r="C26" s="73" t="s">
        <x:v>123</x:v>
      </x:c>
      <x:c r="D26" s="66" t="s">
        <x:v>95</x:v>
      </x:c>
      <x:c r="E26" s="111"/>
      <x:c r="F26" s="66" t="s">
        <x:v>84</x:v>
      </x:c>
      <x:c r="G26" s="66"/>
      <x:c r="H26" s="67"/>
      <x:c r="I26" s="68"/>
      <x:c r="J26" s="69" t="s">
        <x:v>85</x:v>
      </x:c>
      <x:c r="K26" s="70"/>
    </x:row>
    <x:row r="27" ht="48.75" customHeight="1">
      <x:c r="A27" s="65">
        <x:v>0</x:v>
      </x:c>
      <x:c r="B27" s="71" t="s">
        <x:v>124</x:v>
      </x:c>
      <x:c r="C27" s="118" t="s">
        <x:v>125</x:v>
      </x:c>
      <x:c r="D27" s="73" t="s">
        <x:v>95</x:v>
      </x:c>
      <x:c r="E27" s="113"/>
      <x:c r="F27" s="73" t="s">
        <x:v>84</x:v>
      </x:c>
      <x:c r="G27" s="73"/>
      <x:c r="H27" s="67"/>
      <x:c r="I27" s="68"/>
      <x:c r="J27" s="69" t="s">
        <x:v>85</x:v>
      </x:c>
      <x:c r="K27" s="70"/>
    </x:row>
    <x:row r="28" ht="25.5">
      <x:c r="A28" s="65" t="s">
        <x:v>86</x:v>
      </x:c>
      <x:c r="B28" s="71" t="s">
        <x:v>126</x:v>
      </x:c>
      <x:c r="C28" s="73" t="s">
        <x:v>127</x:v>
      </x:c>
      <x:c r="D28" s="73"/>
      <x:c r="E28" s="113"/>
      <x:c r="F28" s="73"/>
      <x:c r="G28" s="73"/>
      <x:c r="H28" s="67"/>
      <x:c r="I28" s="68"/>
      <x:c r="J28" s="69"/>
      <x:c r="K28" s="70"/>
    </x:row>
    <x:row r="29" ht="153">
      <x:c r="A29" s="65">
        <x:v>0</x:v>
      </x:c>
      <x:c r="B29" s="185" t="s">
        <x:v>128</x:v>
      </x:c>
      <x:c r="C29" s="184" t="s">
        <x:v>129</x:v>
      </x:c>
      <x:c r="D29" s="66" t="s">
        <x:v>95</x:v>
      </x:c>
      <x:c r="E29" s="111"/>
      <x:c r="F29" s="66" t="s">
        <x:v>84</x:v>
      </x:c>
      <x:c r="G29" s="66" t="s">
        <x:v>130</x:v>
      </x:c>
      <x:c r="H29" s="67"/>
      <x:c r="I29" s="68"/>
      <x:c r="J29" s="69" t="s">
        <x:v>131</x:v>
      </x:c>
      <x:c r="K29" s="70"/>
    </x:row>
    <x:row r="30">
      <x:c r="A30" s="65"/>
      <x:c r="B30" s="71"/>
      <x:c r="C30" s="103"/>
      <x:c r="D30" s="66"/>
      <x:c r="E30" s="111"/>
      <x:c r="F30" s="66"/>
      <x:c r="G30" s="66"/>
      <x:c r="H30" s="67"/>
      <x:c r="I30" s="68"/>
      <x:c r="J30" s="69"/>
      <x:c r="K30" s="70"/>
    </x:row>
    <x:row r="31" ht="51">
      <x:c r="A31" s="65" t="s">
        <x:v>86</x:v>
      </x:c>
      <x:c r="B31" s="71" t="s">
        <x:v>132</x:v>
      </x:c>
      <x:c r="C31" s="66" t="s">
        <x:v>133</x:v>
      </x:c>
      <x:c r="D31" s="66"/>
      <x:c r="E31" s="111"/>
      <x:c r="F31" s="66"/>
      <x:c r="G31" s="66"/>
      <x:c r="H31" s="67"/>
      <x:c r="I31" s="68"/>
      <x:c r="J31" s="69"/>
      <x:c r="K31" s="70"/>
    </x:row>
    <x:row r="32" ht="51">
      <x:c r="A32" s="65" t="s">
        <x:v>86</x:v>
      </x:c>
      <x:c r="B32" s="71" t="s">
        <x:v>134</x:v>
      </x:c>
      <x:c r="C32" s="73" t="s">
        <x:v>135</x:v>
      </x:c>
      <x:c r="D32" s="66"/>
      <x:c r="E32" s="111"/>
      <x:c r="F32" s="73"/>
      <x:c r="G32" s="73"/>
      <x:c r="H32" s="67"/>
      <x:c r="I32" s="68"/>
      <x:c r="J32" s="69"/>
      <x:c r="K32" s="70"/>
    </x:row>
    <x:row r="33" ht="89.25">
      <x:c r="A33" s="65">
        <x:v>0</x:v>
      </x:c>
      <x:c r="B33" s="71" t="s">
        <x:v>136</x:v>
      </x:c>
      <x:c r="C33" s="118" t="s">
        <x:v>137</x:v>
      </x:c>
      <x:c r="D33" s="66" t="s">
        <x:v>95</x:v>
      </x:c>
      <x:c r="E33" s="187" t="s">
        <x:v>138</x:v>
      </x:c>
      <x:c r="F33" s="73" t="s">
        <x:v>84</x:v>
      </x:c>
      <x:c r="G33" s="73" t="s">
        <x:v>139</x:v>
      </x:c>
      <x:c r="H33" s="67"/>
      <x:c r="I33" s="68"/>
      <x:c r="J33" s="69" t="s">
        <x:v>85</x:v>
      </x:c>
      <x:c r="K33" s="70"/>
    </x:row>
    <x:row r="34" ht="25.5">
      <x:c r="A34" s="65">
        <x:v>0</x:v>
      </x:c>
      <x:c r="B34" s="71" t="s">
        <x:v>140</x:v>
      </x:c>
      <x:c r="C34" s="102" t="s">
        <x:v>141</x:v>
      </x:c>
      <x:c r="D34" s="66" t="s">
        <x:v>95</x:v>
      </x:c>
      <x:c r="E34" s="187" t="s">
        <x:v>138</x:v>
      </x:c>
      <x:c r="F34" s="73"/>
      <x:c r="G34" s="73"/>
      <x:c r="H34" s="67"/>
      <x:c r="I34" s="68"/>
      <x:c r="J34" s="69" t="s">
        <x:v>85</x:v>
      </x:c>
      <x:c r="K34" s="70"/>
    </x:row>
    <x:row r="35" ht="63.75">
      <x:c r="A35" s="65"/>
      <x:c r="B35" s="185" t="s">
        <x:v>142</x:v>
      </x:c>
      <x:c r="C35" s="188" t="s">
        <x:v>143</x:v>
      </x:c>
      <x:c r="D35" s="189" t="s">
        <x:v>95</x:v>
      </x:c>
      <x:c r="E35" s="111"/>
      <x:c r="F35" s="73" t="s">
        <x:v>84</x:v>
      </x:c>
      <x:c r="G35" s="73" t="s">
        <x:v>144</x:v>
      </x:c>
      <x:c r="H35" s="67"/>
      <x:c r="I35" s="68"/>
      <x:c r="J35" s="69" t="s">
        <x:v>131</x:v>
      </x:c>
      <x:c r="K35" s="70"/>
    </x:row>
    <x:row r="36" ht="38.25">
      <x:c r="A36" s="65">
        <x:v>0</x:v>
      </x:c>
      <x:c r="B36" s="185" t="s">
        <x:v>145</x:v>
      </x:c>
      <x:c r="C36" s="186" t="s">
        <x:v>146</x:v>
      </x:c>
      <x:c r="D36" s="66" t="s">
        <x:v>95</x:v>
      </x:c>
      <x:c r="E36" s="111"/>
      <x:c r="F36" s="73" t="s">
        <x:v>84</x:v>
      </x:c>
      <x:c r="G36" s="73" t="s">
        <x:v>147</x:v>
      </x:c>
      <x:c r="H36" s="67"/>
      <x:c r="I36" s="68"/>
      <x:c r="J36" s="69" t="s">
        <x:v>131</x:v>
      </x:c>
      <x:c r="K36" s="70"/>
    </x:row>
    <x:row r="37" ht="89.25">
      <x:c r="A37" s="65">
        <x:v>0</x:v>
      </x:c>
      <x:c r="B37" s="71" t="s">
        <x:v>148</x:v>
      </x:c>
      <x:c r="C37" s="119" t="s">
        <x:v>149</x:v>
      </x:c>
      <x:c r="D37" s="66" t="s">
        <x:v>95</x:v>
      </x:c>
      <x:c r="E37" s="187" t="s">
        <x:v>138</x:v>
      </x:c>
      <x:c r="F37" s="73" t="s">
        <x:v>84</x:v>
      </x:c>
      <x:c r="G37" s="73"/>
      <x:c r="H37" s="67"/>
      <x:c r="I37" s="68"/>
      <x:c r="J37" s="69" t="s">
        <x:v>85</x:v>
      </x:c>
      <x:c r="K37" s="70"/>
    </x:row>
    <x:row r="38">
      <x:c r="A38" s="65">
        <x:v>0</x:v>
      </x:c>
      <x:c r="B38" s="71" t="s">
        <x:v>150</x:v>
      </x:c>
      <x:c r="C38" s="183" t="s">
        <x:v>151</x:v>
      </x:c>
      <x:c r="D38" s="66" t="s">
        <x:v>95</x:v>
      </x:c>
      <x:c r="E38" s="111"/>
      <x:c r="F38" s="73" t="s">
        <x:v>84</x:v>
      </x:c>
      <x:c r="G38" s="66"/>
      <x:c r="H38" s="67"/>
      <x:c r="I38" s="68"/>
      <x:c r="J38" s="69" t="s">
        <x:v>85</x:v>
      </x:c>
      <x:c r="K38" s="70"/>
    </x:row>
    <x:row r="39" ht="38.25">
      <x:c r="A39" s="116">
        <x:v>0</x:v>
      </x:c>
      <x:c r="B39" s="71" t="s">
        <x:v>152</x:v>
      </x:c>
      <x:c r="C39" s="71" t="s">
        <x:v>153</x:v>
      </x:c>
      <x:c r="D39" s="66" t="s">
        <x:v>82</x:v>
      </x:c>
      <x:c r="E39" s="111"/>
      <x:c r="F39" s="73" t="s">
        <x:v>154</x:v>
      </x:c>
      <x:c r="G39" s="73" t="s">
        <x:v>155</x:v>
      </x:c>
      <x:c r="H39" s="67"/>
      <x:c r="I39" s="68"/>
      <x:c r="J39" s="69"/>
      <x:c r="K39" s="70"/>
    </x:row>
    <x:row r="40" ht="38.25">
      <x:c r="A40" s="116">
        <x:v>0</x:v>
      </x:c>
      <x:c r="B40" s="71" t="s">
        <x:v>156</x:v>
      </x:c>
      <x:c r="C40" s="71" t="s">
        <x:v>157</x:v>
      </x:c>
      <x:c r="D40" s="66" t="s">
        <x:v>82</x:v>
      </x:c>
      <x:c r="E40" s="111"/>
      <x:c r="F40" s="73" t="s">
        <x:v>154</x:v>
      </x:c>
      <x:c r="G40" s="73"/>
      <x:c r="H40" s="67"/>
      <x:c r="I40" s="68"/>
      <x:c r="J40" s="69"/>
      <x:c r="K40" s="70"/>
    </x:row>
    <x:row r="41" ht="38.25">
      <x:c r="A41" s="116">
        <x:v>0</x:v>
      </x:c>
      <x:c r="B41" s="71" t="s">
        <x:v>158</x:v>
      </x:c>
      <x:c r="C41" s="71" t="s">
        <x:v>159</x:v>
      </x:c>
      <x:c r="D41" s="66" t="s">
        <x:v>82</x:v>
      </x:c>
      <x:c r="E41" s="111"/>
      <x:c r="F41" s="73" t="s">
        <x:v>154</x:v>
      </x:c>
      <x:c r="G41" s="73"/>
      <x:c r="H41" s="67"/>
      <x:c r="I41" s="68"/>
      <x:c r="J41" s="69"/>
      <x:c r="K41" s="70"/>
    </x:row>
    <x:row r="42" ht="38.25">
      <x:c r="A42" s="116">
        <x:v>0</x:v>
      </x:c>
      <x:c r="B42" s="71" t="s">
        <x:v>160</x:v>
      </x:c>
      <x:c r="C42" s="71" t="s">
        <x:v>161</x:v>
      </x:c>
      <x:c r="D42" s="66" t="s">
        <x:v>82</x:v>
      </x:c>
      <x:c r="E42" s="111"/>
      <x:c r="F42" s="73" t="s">
        <x:v>154</x:v>
      </x:c>
      <x:c r="G42" s="73"/>
      <x:c r="H42" s="67"/>
      <x:c r="I42" s="68"/>
      <x:c r="J42" s="69"/>
      <x:c r="K42" s="70"/>
    </x:row>
    <x:row r="43">
      <x:c r="A43" s="115"/>
      <x:c r="B43" s="71"/>
      <x:c r="C43" s="71"/>
      <x:c r="D43" s="66"/>
      <x:c r="E43" s="111"/>
      <x:c r="F43" s="73"/>
      <x:c r="G43" s="73"/>
      <x:c r="H43" s="67"/>
      <x:c r="I43" s="68"/>
      <x:c r="J43" s="69"/>
      <x:c r="K43" s="70"/>
    </x:row>
    <x:row r="44">
      <x:c r="A44" s="65"/>
      <x:c r="B44" s="73"/>
      <x:c r="C44" s="73"/>
      <x:c r="D44" s="66"/>
      <x:c r="E44" s="111"/>
      <x:c r="F44" s="73"/>
      <x:c r="G44" s="73"/>
      <x:c r="H44" s="67"/>
      <x:c r="I44" s="68"/>
      <x:c r="J44" s="69"/>
      <x:c r="K44" s="70"/>
    </x:row>
    <x:row r="45">
      <x:c r="A45" s="293" t="s">
        <x:v>162</x:v>
      </x:c>
      <x:c r="B45" s="294"/>
      <x:c r="C45" s="295"/>
      <x:c r="D45" s="66"/>
      <x:c r="E45" s="111"/>
      <x:c r="F45" s="73"/>
      <x:c r="G45" s="73"/>
      <x:c r="H45" s="67"/>
      <x:c r="I45" s="68"/>
      <x:c r="J45" s="69"/>
      <x:c r="K45" s="70"/>
    </x:row>
    <x:row r="46" ht="25.5">
      <x:c r="A46" s="65">
        <x:v>0</x:v>
      </x:c>
      <x:c r="B46" s="73"/>
      <x:c r="C46" s="73" t="s">
        <x:v>163</x:v>
      </x:c>
      <x:c r="D46" s="66"/>
      <x:c r="E46" s="111"/>
      <x:c r="F46" s="73"/>
      <x:c r="G46" s="73"/>
      <x:c r="H46" s="67"/>
      <x:c r="I46" s="68"/>
      <x:c r="J46" s="69"/>
      <x:c r="K46" s="70"/>
    </x:row>
    <x:row r="47" ht="38.25">
      <x:c r="A47" s="65">
        <x:v>0</x:v>
      </x:c>
      <x:c r="B47" s="73"/>
      <x:c r="C47" s="73" t="s">
        <x:v>164</x:v>
      </x:c>
      <x:c r="D47" s="66" t="s">
        <x:v>82</x:v>
      </x:c>
      <x:c r="E47" s="111"/>
      <x:c r="F47" s="73"/>
      <x:c r="G47" s="73" t="s">
        <x:v>165</x:v>
      </x:c>
      <x:c r="H47" s="67"/>
      <x:c r="I47" s="68"/>
      <x:c r="J47" s="69"/>
      <x:c r="K47" s="70"/>
    </x:row>
    <x:row r="48">
      <x:c r="A48" s="56"/>
      <x:c r="C48" s="56"/>
      <x:c r="D48" s="66"/>
      <x:c r="E48" s="111"/>
      <x:c r="F48" s="73"/>
      <x:c r="G48" s="73"/>
      <x:c r="H48" s="67"/>
      <x:c r="I48" s="68"/>
      <x:c r="J48" s="69"/>
      <x:c r="K48" s="70"/>
    </x:row>
    <x:row r="49">
      <x:c r="A49" s="293" t="s">
        <x:v>166</x:v>
      </x:c>
      <x:c r="B49" s="294"/>
      <x:c r="C49" s="295"/>
      <x:c r="D49" s="66"/>
      <x:c r="E49" s="111"/>
      <x:c r="F49" s="73"/>
      <x:c r="G49" s="73"/>
      <x:c r="H49" s="67"/>
      <x:c r="I49" s="68"/>
      <x:c r="J49" s="69"/>
      <x:c r="K49" s="70"/>
    </x:row>
    <x:row r="50" ht="25.5">
      <x:c r="A50" s="65" t="s">
        <x:v>86</x:v>
      </x:c>
      <x:c r="B50" s="73" t="s">
        <x:v>167</x:v>
      </x:c>
      <x:c r="C50" s="73" t="s">
        <x:v>168</x:v>
      </x:c>
      <x:c r="D50" s="66"/>
      <x:c r="E50" s="111"/>
      <x:c r="F50" s="73"/>
      <x:c r="G50" s="73"/>
      <x:c r="H50" s="67"/>
      <x:c r="I50" s="68"/>
      <x:c r="J50" s="69"/>
      <x:c r="K50" s="70"/>
    </x:row>
    <x:row r="51" ht="83.25" customHeight="1">
      <x:c r="A51" s="65" t="s">
        <x:v>86</x:v>
      </x:c>
      <x:c r="B51" s="73" t="s">
        <x:v>169</x:v>
      </x:c>
      <x:c r="C51" s="73" t="s">
        <x:v>170</x:v>
      </x:c>
      <x:c r="D51" s="66"/>
      <x:c r="E51" s="111"/>
      <x:c r="F51" s="73"/>
      <x:c r="G51" s="73"/>
      <x:c r="H51" s="67"/>
      <x:c r="I51" s="68"/>
      <x:c r="J51" s="69"/>
      <x:c r="K51" s="70"/>
    </x:row>
    <x:row r="52" ht="63.75">
      <x:c r="A52" s="65" t="s">
        <x:v>86</x:v>
      </x:c>
      <x:c r="B52" s="73" t="s">
        <x:v>171</x:v>
      </x:c>
      <x:c r="C52" s="73" t="s">
        <x:v>172</x:v>
      </x:c>
      <x:c r="D52" s="66"/>
      <x:c r="E52" s="111"/>
      <x:c r="F52" s="73"/>
      <x:c r="G52" s="73"/>
      <x:c r="H52" s="67"/>
      <x:c r="I52" s="68"/>
      <x:c r="J52" s="69"/>
      <x:c r="K52" s="70"/>
    </x:row>
    <x:row r="53" ht="24">
      <x:c r="A53" s="65">
        <x:v>0</x:v>
      </x:c>
      <x:c r="B53" s="73" t="s">
        <x:v>173</x:v>
      </x:c>
      <x:c r="C53" s="165" t="s">
        <x:v>174</x:v>
      </x:c>
      <x:c r="D53" s="66" t="s">
        <x:v>95</x:v>
      </x:c>
      <x:c r="E53" s="187" t="s">
        <x:v>175</x:v>
      </x:c>
      <x:c r="F53" s="73"/>
      <x:c r="G53" s="73"/>
      <x:c r="H53" s="67"/>
      <x:c r="I53" s="68"/>
      <x:c r="J53" s="69" t="s">
        <x:v>85</x:v>
      </x:c>
      <x:c r="K53" s="70"/>
    </x:row>
    <x:row r="54" ht="153">
      <x:c r="A54" s="143" t="s">
        <x:v>86</x:v>
      </x:c>
      <x:c r="B54" s="73" t="s">
        <x:v>176</x:v>
      </x:c>
      <x:c r="C54" s="87" t="s">
        <x:v>177</x:v>
      </x:c>
      <x:c r="D54" s="66"/>
      <x:c r="E54" s="111"/>
      <x:c r="F54" s="73"/>
      <x:c r="G54" s="73"/>
      <x:c r="H54" s="67"/>
      <x:c r="I54" s="68"/>
      <x:c r="J54" s="69"/>
      <x:c r="K54" s="70"/>
    </x:row>
    <x:row r="55" ht="38.25">
      <x:c r="A55" s="143">
        <x:v>0</x:v>
      </x:c>
      <x:c r="B55" s="73" t="s">
        <x:v>178</x:v>
      </x:c>
      <x:c r="C55" s="87" t="s">
        <x:v>179</x:v>
      </x:c>
      <x:c r="D55" s="66" t="s">
        <x:v>95</x:v>
      </x:c>
      <x:c r="E55" s="187" t="s">
        <x:v>175</x:v>
      </x:c>
      <x:c r="F55" s="73"/>
      <x:c r="G55" s="73"/>
      <x:c r="H55" s="67"/>
      <x:c r="I55" s="68"/>
      <x:c r="J55" s="69" t="s">
        <x:v>85</x:v>
      </x:c>
      <x:c r="K55" s="70"/>
    </x:row>
    <x:row r="56" ht="25.5">
      <x:c r="A56" s="143" t="s">
        <x:v>180</x:v>
      </x:c>
      <x:c r="B56" s="73" t="s">
        <x:v>181</x:v>
      </x:c>
      <x:c r="C56" s="87" t="s">
        <x:v>182</x:v>
      </x:c>
      <x:c r="D56" s="66" t="s">
        <x:v>95</x:v>
      </x:c>
      <x:c r="E56" s="187" t="s">
        <x:v>175</x:v>
      </x:c>
      <x:c r="F56" s="73"/>
      <x:c r="G56" s="73"/>
      <x:c r="H56" s="67"/>
      <x:c r="I56" s="68"/>
      <x:c r="J56" s="69" t="s">
        <x:v>85</x:v>
      </x:c>
      <x:c r="K56" s="70"/>
    </x:row>
    <x:row r="57" ht="25.5">
      <x:c r="A57" s="65">
        <x:v>0</x:v>
      </x:c>
      <x:c r="B57" s="73" t="s">
        <x:v>183</x:v>
      </x:c>
      <x:c r="C57" s="73" t="s">
        <x:v>184</x:v>
      </x:c>
      <x:c r="D57" s="66" t="s">
        <x:v>95</x:v>
      </x:c>
      <x:c r="E57" s="111"/>
      <x:c r="F57" s="73"/>
      <x:c r="G57" s="73"/>
      <x:c r="H57" s="67"/>
      <x:c r="I57" s="68"/>
      <x:c r="J57" s="69" t="s">
        <x:v>85</x:v>
      </x:c>
      <x:c r="K57" s="70"/>
    </x:row>
    <x:row r="58" ht="51">
      <x:c r="A58" s="143" t="s">
        <x:v>86</x:v>
      </x:c>
      <x:c r="B58" s="73" t="s">
        <x:v>185</x:v>
      </x:c>
      <x:c r="C58" s="73" t="s">
        <x:v>186</x:v>
      </x:c>
      <x:c r="D58" s="66"/>
      <x:c r="E58" s="111"/>
      <x:c r="F58" s="73"/>
      <x:c r="G58" s="73"/>
      <x:c r="H58" s="67"/>
      <x:c r="I58" s="68"/>
      <x:c r="J58" s="69"/>
      <x:c r="K58" s="70"/>
    </x:row>
    <x:row r="59" ht="36">
      <x:c r="A59" s="143" t="s">
        <x:v>86</x:v>
      </x:c>
      <x:c r="B59" s="73" t="s">
        <x:v>187</x:v>
      </x:c>
      <x:c r="C59" s="165" t="s">
        <x:v>188</x:v>
      </x:c>
      <x:c r="D59" s="66"/>
      <x:c r="E59" s="111"/>
      <x:c r="F59" s="73"/>
      <x:c r="G59" s="73"/>
      <x:c r="H59" s="67"/>
      <x:c r="I59" s="68"/>
      <x:c r="J59" s="69"/>
      <x:c r="K59" s="70"/>
    </x:row>
    <x:row r="60" ht="89.25">
      <x:c r="A60" s="143">
        <x:v>0</x:v>
      </x:c>
      <x:c r="B60" s="73" t="s">
        <x:v>189</x:v>
      </x:c>
      <x:c r="C60" s="73" t="s">
        <x:v>190</x:v>
      </x:c>
      <x:c r="D60" s="66" t="s">
        <x:v>95</x:v>
      </x:c>
      <x:c r="E60" s="187" t="s">
        <x:v>175</x:v>
      </x:c>
      <x:c r="F60" s="73"/>
      <x:c r="G60" s="73"/>
      <x:c r="H60" s="67"/>
      <x:c r="I60" s="68"/>
      <x:c r="J60" s="69" t="s">
        <x:v>85</x:v>
      </x:c>
      <x:c r="K60" s="70"/>
    </x:row>
    <x:row r="61" ht="36">
      <x:c r="A61" s="65">
        <x:v>0</x:v>
      </x:c>
      <x:c r="B61" s="73" t="s">
        <x:v>191</x:v>
      </x:c>
      <x:c r="C61" s="165" t="s">
        <x:v>192</x:v>
      </x:c>
      <x:c r="D61" s="66" t="s">
        <x:v>95</x:v>
      </x:c>
      <x:c r="E61" s="187" t="s">
        <x:v>175</x:v>
      </x:c>
      <x:c r="F61" s="73"/>
      <x:c r="G61" s="73"/>
      <x:c r="H61" s="67"/>
      <x:c r="I61" s="68"/>
      <x:c r="J61" s="69" t="s">
        <x:v>85</x:v>
      </x:c>
      <x:c r="K61" s="70"/>
    </x:row>
    <x:row r="62" ht="38.25">
      <x:c r="A62" s="65">
        <x:v>0</x:v>
      </x:c>
      <x:c r="B62" s="73" t="s">
        <x:v>193</x:v>
      </x:c>
      <x:c r="C62" s="73" t="s">
        <x:v>194</x:v>
      </x:c>
      <x:c r="D62" s="66" t="s">
        <x:v>95</x:v>
      </x:c>
      <x:c r="E62" s="187"/>
      <x:c r="F62" s="73"/>
      <x:c r="G62" s="73"/>
      <x:c r="H62" s="67"/>
      <x:c r="I62" s="68"/>
      <x:c r="J62" s="69"/>
      <x:c r="K62" s="70"/>
    </x:row>
    <x:row r="63" ht="38.25">
      <x:c r="A63" s="65">
        <x:v>0</x:v>
      </x:c>
      <x:c r="B63" s="73" t="s">
        <x:v>195</x:v>
      </x:c>
      <x:c r="C63" s="73" t="s">
        <x:v>196</x:v>
      </x:c>
      <x:c r="D63" s="66" t="s">
        <x:v>95</x:v>
      </x:c>
      <x:c r="E63" s="187" t="s">
        <x:v>175</x:v>
      </x:c>
      <x:c r="F63" s="73"/>
      <x:c r="G63" s="73" t="s">
        <x:v>197</x:v>
      </x:c>
      <x:c r="H63" s="67"/>
      <x:c r="I63" s="68"/>
      <x:c r="J63" s="69" t="s">
        <x:v>85</x:v>
      </x:c>
      <x:c r="K63" s="70"/>
    </x:row>
    <x:row r="64" ht="38.25">
      <x:c r="A64" s="65">
        <x:v>0</x:v>
      </x:c>
      <x:c r="B64" s="73" t="s">
        <x:v>198</x:v>
      </x:c>
      <x:c r="C64" s="73" t="s">
        <x:v>199</x:v>
      </x:c>
      <x:c r="D64" s="66" t="s">
        <x:v>95</x:v>
      </x:c>
      <x:c r="E64" s="187" t="s">
        <x:v>175</x:v>
      </x:c>
      <x:c r="F64" s="73"/>
      <x:c r="G64" s="73"/>
      <x:c r="H64" s="67"/>
      <x:c r="I64" s="68"/>
      <x:c r="J64" s="69" t="s">
        <x:v>85</x:v>
      </x:c>
      <x:c r="K64" s="70"/>
    </x:row>
    <x:row r="65" ht="63.75">
      <x:c r="A65" s="65">
        <x:v>0</x:v>
      </x:c>
      <x:c r="B65" s="73" t="s">
        <x:v>200</x:v>
      </x:c>
      <x:c r="C65" s="73" t="s">
        <x:v>201</x:v>
      </x:c>
      <x:c r="D65" s="66" t="s">
        <x:v>95</x:v>
      </x:c>
      <x:c r="E65" s="187"/>
      <x:c r="F65" s="73"/>
      <x:c r="G65" s="73"/>
      <x:c r="H65" s="67"/>
      <x:c r="I65" s="68"/>
      <x:c r="J65" s="69" t="s">
        <x:v>85</x:v>
      </x:c>
      <x:c r="K65" s="70"/>
    </x:row>
    <x:row r="66" ht="76.5">
      <x:c r="A66" s="65">
        <x:v>0</x:v>
      </x:c>
      <x:c r="B66" s="73" t="s">
        <x:v>202</x:v>
      </x:c>
      <x:c r="C66" s="73" t="s">
        <x:v>203</x:v>
      </x:c>
      <x:c r="D66" s="66" t="s">
        <x:v>95</x:v>
      </x:c>
      <x:c r="E66" s="187"/>
      <x:c r="F66" s="73"/>
      <x:c r="G66" s="73"/>
      <x:c r="H66" s="67"/>
      <x:c r="I66" s="68"/>
      <x:c r="J66" s="69" t="s">
        <x:v>85</x:v>
      </x:c>
      <x:c r="K66" s="70"/>
    </x:row>
    <x:row r="67" ht="165.75">
      <x:c r="A67" s="65">
        <x:v>0</x:v>
      </x:c>
      <x:c r="B67" s="73" t="s">
        <x:v>204</x:v>
      </x:c>
      <x:c r="C67" s="73" t="s">
        <x:v>205</x:v>
      </x:c>
      <x:c r="D67" s="66" t="s">
        <x:v>95</x:v>
      </x:c>
      <x:c r="E67" s="187" t="s">
        <x:v>175</x:v>
      </x:c>
      <x:c r="F67" s="73"/>
      <x:c r="G67" s="73"/>
      <x:c r="H67" s="67"/>
      <x:c r="I67" s="68"/>
      <x:c r="J67" s="69" t="s">
        <x:v>85</x:v>
      </x:c>
      <x:c r="K67" s="70"/>
    </x:row>
    <x:row r="68" ht="36">
      <x:c r="A68" s="143" t="s">
        <x:v>86</x:v>
      </x:c>
      <x:c r="B68" s="73" t="s">
        <x:v>206</x:v>
      </x:c>
      <x:c r="C68" s="165" t="s">
        <x:v>207</x:v>
      </x:c>
      <x:c r="D68" s="66"/>
      <x:c r="E68" s="111"/>
      <x:c r="F68" s="73"/>
      <x:c r="G68" s="73"/>
      <x:c r="H68" s="67"/>
      <x:c r="I68" s="68"/>
      <x:c r="J68" s="69"/>
      <x:c r="K68" s="70"/>
    </x:row>
    <x:row r="69" ht="25.5">
      <x:c r="A69" s="65" t="s">
        <x:v>86</x:v>
      </x:c>
      <x:c r="B69" s="73" t="s">
        <x:v>208</x:v>
      </x:c>
      <x:c r="C69" s="73" t="s">
        <x:v>209</x:v>
      </x:c>
      <x:c r="D69" s="66"/>
      <x:c r="E69" s="111"/>
      <x:c r="F69" s="73"/>
      <x:c r="G69" s="73"/>
      <x:c r="H69" s="67"/>
      <x:c r="I69" s="68"/>
      <x:c r="J69" s="69"/>
      <x:c r="K69" s="70"/>
    </x:row>
    <x:row r="70" ht="51">
      <x:c r="A70" s="65">
        <x:v>0</x:v>
      </x:c>
      <x:c r="B70" s="73" t="s">
        <x:v>210</x:v>
      </x:c>
      <x:c r="C70" s="208" t="s">
        <x:v>211</x:v>
      </x:c>
      <x:c r="D70" s="66" t="s">
        <x:v>95</x:v>
      </x:c>
      <x:c r="E70" s="111"/>
      <x:c r="F70" s="73"/>
      <x:c r="G70" s="73"/>
      <x:c r="H70" s="67"/>
      <x:c r="I70" s="68"/>
      <x:c r="J70" s="69" t="s">
        <x:v>212</x:v>
      </x:c>
      <x:c r="K70" s="70"/>
    </x:row>
    <x:row r="71" ht="25.5">
      <x:c r="A71" s="65" t="s">
        <x:v>86</x:v>
      </x:c>
      <x:c r="B71" s="73" t="s">
        <x:v>213</x:v>
      </x:c>
      <x:c r="C71" s="73" t="s">
        <x:v>214</x:v>
      </x:c>
      <x:c r="D71" s="66"/>
      <x:c r="E71" s="111"/>
      <x:c r="F71" s="73"/>
      <x:c r="G71" s="73"/>
      <x:c r="H71" s="67"/>
      <x:c r="I71" s="68"/>
      <x:c r="J71" s="69"/>
      <x:c r="K71" s="70"/>
    </x:row>
    <x:row r="72" ht="195">
      <x:c r="A72" s="65">
        <x:v>0</x:v>
      </x:c>
      <x:c r="B72" s="73" t="s">
        <x:v>215</x:v>
      </x:c>
      <x:c r="C72" s="39" t="s">
        <x:v>216</x:v>
      </x:c>
      <x:c r="D72" s="66" t="s">
        <x:v>95</x:v>
      </x:c>
      <x:c r="E72" s="187" t="s">
        <x:v>175</x:v>
      </x:c>
      <x:c r="F72" s="73"/>
      <x:c r="G72" s="73"/>
      <x:c r="H72" s="67"/>
      <x:c r="I72" s="68"/>
      <x:c r="J72" s="69" t="s">
        <x:v>85</x:v>
      </x:c>
      <x:c r="K72" s="70"/>
    </x:row>
    <x:row r="73" ht="51">
      <x:c r="A73" s="65">
        <x:v>0</x:v>
      </x:c>
      <x:c r="B73" s="73" t="s">
        <x:v>217</x:v>
      </x:c>
      <x:c r="C73" s="102" t="s">
        <x:v>218</x:v>
      </x:c>
      <x:c r="D73" s="66" t="s">
        <x:v>95</x:v>
      </x:c>
      <x:c r="E73" s="187" t="s">
        <x:v>175</x:v>
      </x:c>
      <x:c r="F73" s="73"/>
      <x:c r="G73" s="73"/>
      <x:c r="H73" s="67"/>
      <x:c r="I73" s="68"/>
      <x:c r="J73" s="69" t="s">
        <x:v>85</x:v>
      </x:c>
      <x:c r="K73" s="70"/>
    </x:row>
    <x:row r="74">
      <x:c r="A74" s="65">
        <x:v>0</x:v>
      </x:c>
      <x:c r="B74" s="73" t="s">
        <x:v>219</x:v>
      </x:c>
      <x:c r="C74" s="102" t="s">
        <x:v>220</x:v>
      </x:c>
      <x:c r="D74" s="66" t="s">
        <x:v>221</x:v>
      </x:c>
      <x:c r="E74" s="187"/>
      <x:c r="F74" s="73"/>
      <x:c r="G74" s="73"/>
      <x:c r="H74" s="67"/>
      <x:c r="I74" s="68"/>
      <x:c r="J74" s="69" t="s">
        <x:v>212</x:v>
      </x:c>
      <x:c r="K74" s="70"/>
    </x:row>
    <x:row r="75">
      <x:c r="A75" s="65">
        <x:v>0</x:v>
      </x:c>
      <x:c r="B75" s="73" t="s">
        <x:v>183</x:v>
      </x:c>
      <x:c r="C75" s="102" t="s">
        <x:v>220</x:v>
      </x:c>
      <x:c r="D75" s="66" t="s">
        <x:v>222</x:v>
      </x:c>
      <x:c r="E75" s="187"/>
      <x:c r="F75" s="73"/>
      <x:c r="G75" s="73"/>
      <x:c r="H75" s="67"/>
      <x:c r="I75" s="68"/>
      <x:c r="J75" s="69" t="s">
        <x:v>212</x:v>
      </x:c>
      <x:c r="K75" s="70"/>
    </x:row>
    <x:row r="76" ht="242.25">
      <x:c r="A76" s="65">
        <x:v>0</x:v>
      </x:c>
      <x:c r="B76" s="73" t="s">
        <x:v>223</x:v>
      </x:c>
      <x:c r="C76" s="209" t="s">
        <x:v>224</x:v>
      </x:c>
      <x:c r="D76" s="66" t="s">
        <x:v>221</x:v>
      </x:c>
      <x:c r="E76" s="187"/>
      <x:c r="F76" s="73"/>
      <x:c r="G76" s="168"/>
      <x:c r="H76" s="67"/>
      <x:c r="I76" s="68"/>
      <x:c r="J76" s="69" t="s">
        <x:v>225</x:v>
      </x:c>
      <x:c r="K76" s="70"/>
    </x:row>
    <x:row r="77" ht="89.25">
      <x:c r="A77" s="65">
        <x:v>0</x:v>
      </x:c>
      <x:c r="B77" s="73" t="s">
        <x:v>226</x:v>
      </x:c>
      <x:c r="C77" s="73" t="s">
        <x:v>227</x:v>
      </x:c>
      <x:c r="D77" s="66" t="s">
        <x:v>95</x:v>
      </x:c>
      <x:c r="E77" s="187" t="s">
        <x:v>175</x:v>
      </x:c>
      <x:c r="F77" s="73"/>
      <x:c r="G77" s="168"/>
      <x:c r="H77" s="67"/>
      <x:c r="I77" s="68"/>
      <x:c r="J77" s="69" t="s">
        <x:v>85</x:v>
      </x:c>
      <x:c r="K77" s="70"/>
    </x:row>
    <x:row r="78" ht="38.25">
      <x:c r="A78" s="65">
        <x:v>0</x:v>
      </x:c>
      <x:c r="B78" s="73" t="s">
        <x:v>228</x:v>
      </x:c>
      <x:c r="C78" s="73" t="s">
        <x:v>229</x:v>
      </x:c>
      <x:c r="D78" s="66" t="s">
        <x:v>95</x:v>
      </x:c>
      <x:c r="E78" s="187"/>
      <x:c r="F78" s="73"/>
      <x:c r="G78" s="168"/>
      <x:c r="H78" s="67"/>
      <x:c r="I78" s="68"/>
      <x:c r="J78" s="69" t="s">
        <x:v>85</x:v>
      </x:c>
      <x:c r="K78" s="70"/>
    </x:row>
    <x:row r="79" ht="25.5">
      <x:c r="A79" s="65">
        <x:v>0</x:v>
      </x:c>
      <x:c r="B79" s="73" t="s">
        <x:v>230</x:v>
      </x:c>
      <x:c r="C79" s="73" t="s">
        <x:v>231</x:v>
      </x:c>
      <x:c r="D79" s="66" t="s">
        <x:v>95</x:v>
      </x:c>
      <x:c r="E79" s="187"/>
      <x:c r="F79" s="73"/>
      <x:c r="G79" s="168"/>
      <x:c r="H79" s="67"/>
      <x:c r="I79" s="68"/>
      <x:c r="J79" s="69" t="s">
        <x:v>85</x:v>
      </x:c>
      <x:c r="K79" s="70"/>
    </x:row>
    <x:row r="80" ht="25.5">
      <x:c r="A80" s="65">
        <x:v>0</x:v>
      </x:c>
      <x:c r="B80" s="73" t="s">
        <x:v>232</x:v>
      </x:c>
      <x:c r="C80" s="73" t="s">
        <x:v>233</x:v>
      </x:c>
      <x:c r="D80" s="66" t="s">
        <x:v>95</x:v>
      </x:c>
      <x:c r="E80" s="187"/>
      <x:c r="F80" s="73"/>
      <x:c r="G80" s="168"/>
      <x:c r="H80" s="67"/>
      <x:c r="I80" s="68"/>
      <x:c r="J80" s="69" t="s">
        <x:v>85</x:v>
      </x:c>
      <x:c r="K80" s="70"/>
    </x:row>
    <x:row r="81" ht="25.5">
      <x:c r="A81" s="65">
        <x:v>0</x:v>
      </x:c>
      <x:c r="B81" s="73" t="s">
        <x:v>234</x:v>
      </x:c>
      <x:c r="C81" s="73" t="s">
        <x:v>235</x:v>
      </x:c>
      <x:c r="D81" s="66" t="s">
        <x:v>95</x:v>
      </x:c>
      <x:c r="E81" s="187"/>
      <x:c r="F81" s="73"/>
      <x:c r="G81" s="168"/>
      <x:c r="H81" s="67"/>
      <x:c r="I81" s="68"/>
      <x:c r="J81" s="69" t="s">
        <x:v>85</x:v>
      </x:c>
      <x:c r="K81" s="70"/>
    </x:row>
    <x:row r="82">
      <x:c r="A82" s="65"/>
      <x:c r="B82" s="73"/>
      <x:c r="C82" s="73"/>
      <x:c r="D82" s="66"/>
      <x:c r="E82" s="111"/>
      <x:c r="F82" s="73"/>
      <x:c r="G82" s="73"/>
      <x:c r="H82" s="67"/>
      <x:c r="I82" s="68"/>
      <x:c r="J82" s="70"/>
      <x:c r="K82" s="70"/>
    </x:row>
    <x:row r="83">
      <x:c r="A83" s="65"/>
      <x:c r="B83" s="73"/>
      <x:c r="C83" s="73"/>
      <x:c r="D83" s="66"/>
      <x:c r="E83" s="111"/>
      <x:c r="F83" s="73"/>
      <x:c r="G83" s="73"/>
      <x:c r="H83" s="67"/>
      <x:c r="I83" s="68"/>
      <x:c r="J83" s="70"/>
      <x:c r="K83" s="70"/>
    </x:row>
    <x:row r="84">
      <x:c r="A84" s="290" t="s">
        <x:v>236</x:v>
      </x:c>
      <x:c r="B84" s="291"/>
      <x:c r="C84" s="292"/>
      <x:c r="D84" s="66"/>
      <x:c r="E84" s="111"/>
      <x:c r="F84" s="73"/>
      <x:c r="G84" s="73"/>
      <x:c r="H84" s="67"/>
      <x:c r="I84" s="68"/>
      <x:c r="J84" s="69"/>
      <x:c r="K84" s="70"/>
    </x:row>
    <x:row r="85" ht="25.5">
      <x:c r="A85" s="65" t="s">
        <x:v>86</x:v>
      </x:c>
      <x:c r="B85" s="73" t="s">
        <x:v>237</x:v>
      </x:c>
      <x:c r="C85" s="73" t="s">
        <x:v>209</x:v>
      </x:c>
      <x:c r="D85" s="66"/>
      <x:c r="E85" s="111"/>
      <x:c r="F85" s="73"/>
      <x:c r="G85" s="73"/>
      <x:c r="H85" s="67"/>
      <x:c r="I85" s="68"/>
      <x:c r="J85" s="70"/>
      <x:c r="K85" s="70"/>
    </x:row>
    <x:row r="86">
      <x:c r="A86" s="65"/>
      <x:c r="B86" s="73"/>
      <x:c r="C86" s="73"/>
      <x:c r="D86" s="66"/>
      <x:c r="E86" s="111"/>
      <x:c r="F86" s="73"/>
      <x:c r="G86" s="73"/>
      <x:c r="H86" s="67"/>
      <x:c r="I86" s="68"/>
      <x:c r="J86" s="70"/>
      <x:c r="K86" s="70"/>
    </x:row>
    <x:row r="87">
      <x:c r="A87" s="65"/>
      <x:c r="B87" s="73"/>
      <x:c r="C87" s="73"/>
      <x:c r="D87" s="66"/>
      <x:c r="E87" s="111"/>
      <x:c r="F87" s="73"/>
      <x:c r="G87" s="73"/>
      <x:c r="H87" s="67"/>
      <x:c r="I87" s="68"/>
      <x:c r="J87" s="70"/>
      <x:c r="K87" s="70"/>
    </x:row>
    <x:row r="88">
      <x:c r="A88" s="290" t="s">
        <x:v>238</x:v>
      </x:c>
      <x:c r="B88" s="291"/>
      <x:c r="C88" s="292"/>
      <x:c r="D88" s="66"/>
      <x:c r="E88" s="111"/>
      <x:c r="F88" s="73"/>
      <x:c r="G88" s="73"/>
      <x:c r="H88" s="67"/>
      <x:c r="I88" s="68"/>
      <x:c r="J88" s="69"/>
      <x:c r="K88" s="70"/>
    </x:row>
    <x:row r="89" ht="38.25">
      <x:c r="A89" s="65">
        <x:v>1</x:v>
      </x:c>
      <x:c r="B89" s="73" t="s">
        <x:v>239</x:v>
      </x:c>
      <x:c r="C89" s="73" t="s">
        <x:v>240</x:v>
      </x:c>
      <x:c r="D89" s="66" t="s">
        <x:v>95</x:v>
      </x:c>
      <x:c r="E89" s="111"/>
      <x:c r="F89" s="73"/>
      <x:c r="G89" s="73"/>
      <x:c r="H89" s="67"/>
      <x:c r="I89" s="68"/>
      <x:c r="J89" s="69"/>
      <x:c r="K89" s="70"/>
    </x:row>
    <x:row r="90" ht="25.5">
      <x:c r="A90" s="65">
        <x:v>0</x:v>
      </x:c>
      <x:c r="B90" s="73" t="s">
        <x:v>241</x:v>
      </x:c>
      <x:c r="C90" s="73" t="s">
        <x:v>242</x:v>
      </x:c>
      <x:c r="D90" s="66" t="s">
        <x:v>95</x:v>
      </x:c>
      <x:c r="E90" s="111"/>
      <x:c r="F90" s="73"/>
      <x:c r="G90" s="73"/>
      <x:c r="H90" s="67"/>
      <x:c r="I90" s="68"/>
      <x:c r="J90" s="70"/>
      <x:c r="K90" s="70"/>
    </x:row>
    <x:row r="91" ht="25.5">
      <x:c r="A91" s="65">
        <x:v>0</x:v>
      </x:c>
      <x:c r="B91" s="73" t="s">
        <x:v>243</x:v>
      </x:c>
      <x:c r="C91" s="73" t="s">
        <x:v>244</x:v>
      </x:c>
      <x:c r="D91" s="66" t="s">
        <x:v>95</x:v>
      </x:c>
      <x:c r="E91" s="111"/>
      <x:c r="F91" s="73"/>
      <x:c r="G91" s="73"/>
      <x:c r="H91" s="67"/>
      <x:c r="I91" s="68"/>
      <x:c r="J91" s="70"/>
      <x:c r="K91" s="70"/>
    </x:row>
    <x:row r="92" ht="51">
      <x:c r="A92" s="65">
        <x:v>0</x:v>
      </x:c>
      <x:c r="B92" s="73" t="s">
        <x:v>245</x:v>
      </x:c>
      <x:c r="C92" s="73" t="s">
        <x:v>246</x:v>
      </x:c>
      <x:c r="D92" s="66" t="s">
        <x:v>95</x:v>
      </x:c>
      <x:c r="E92" s="111"/>
      <x:c r="F92" s="73"/>
      <x:c r="G92" s="73"/>
      <x:c r="H92" s="67"/>
      <x:c r="I92" s="68"/>
      <x:c r="J92" s="70"/>
      <x:c r="K92" s="70"/>
    </x:row>
    <x:row r="93" ht="76.5">
      <x:c r="A93" s="65">
        <x:v>0</x:v>
      </x:c>
      <x:c r="B93" s="73" t="s">
        <x:v>247</x:v>
      </x:c>
      <x:c r="C93" s="73" t="s">
        <x:v>248</x:v>
      </x:c>
      <x:c r="D93" s="66" t="s">
        <x:v>95</x:v>
      </x:c>
      <x:c r="E93" s="111"/>
      <x:c r="F93" s="73"/>
      <x:c r="G93" s="73"/>
      <x:c r="H93" s="67"/>
      <x:c r="I93" s="68"/>
      <x:c r="J93" s="70"/>
      <x:c r="K93" s="70"/>
    </x:row>
    <x:row r="94" ht="63.75">
      <x:c r="A94" s="65">
        <x:v>1</x:v>
      </x:c>
      <x:c r="B94" s="73" t="s">
        <x:v>249</x:v>
      </x:c>
      <x:c r="C94" s="73" t="s">
        <x:v>250</x:v>
      </x:c>
      <x:c r="D94" s="66" t="s">
        <x:v>95</x:v>
      </x:c>
      <x:c r="E94" s="111"/>
      <x:c r="F94" s="73"/>
      <x:c r="G94" s="73"/>
      <x:c r="H94" s="67"/>
      <x:c r="I94" s="68"/>
      <x:c r="J94" s="70"/>
      <x:c r="K94" s="70"/>
    </x:row>
    <x:row r="95" ht="25.5">
      <x:c r="A95" s="65">
        <x:v>0</x:v>
      </x:c>
      <x:c r="B95" s="73" t="s">
        <x:v>251</x:v>
      </x:c>
      <x:c r="C95" s="73" t="s">
        <x:v>252</x:v>
      </x:c>
      <x:c r="D95" s="66" t="s">
        <x:v>95</x:v>
      </x:c>
      <x:c r="E95" s="111"/>
      <x:c r="F95" s="73"/>
      <x:c r="G95" s="73"/>
      <x:c r="H95" s="67"/>
      <x:c r="I95" s="68"/>
      <x:c r="J95" s="70"/>
      <x:c r="K95" s="70"/>
    </x:row>
    <x:row r="96">
      <x:c r="A96" s="65"/>
      <x:c r="B96" s="73"/>
      <x:c r="C96" s="73"/>
      <x:c r="D96" s="66"/>
      <x:c r="E96" s="111"/>
      <x:c r="F96" s="73"/>
      <x:c r="G96" s="73"/>
      <x:c r="H96" s="67"/>
      <x:c r="I96" s="68"/>
      <x:c r="J96" s="70"/>
      <x:c r="K96" s="70"/>
    </x:row>
    <x:row r="97">
      <x:c r="A97" s="65"/>
      <x:c r="B97" s="73"/>
      <x:c r="C97" s="73"/>
      <x:c r="D97" s="66"/>
      <x:c r="E97" s="111"/>
      <x:c r="F97" s="73"/>
      <x:c r="G97" s="73"/>
      <x:c r="H97" s="67"/>
      <x:c r="I97" s="68"/>
      <x:c r="J97" s="70"/>
      <x:c r="K97" s="70"/>
    </x:row>
    <x:row r="98">
      <x:c r="A98" s="65"/>
      <x:c r="B98" s="73"/>
      <x:c r="C98" s="197" t="s">
        <x:v>253</x:v>
      </x:c>
      <x:c r="D98" s="66"/>
      <x:c r="E98" s="111"/>
      <x:c r="F98" s="73"/>
      <x:c r="G98" s="73"/>
      <x:c r="H98" s="67"/>
      <x:c r="I98" s="68"/>
      <x:c r="J98" s="70"/>
      <x:c r="K98" s="70"/>
    </x:row>
    <x:row r="99">
      <x:c r="A99" s="65"/>
      <x:c r="B99" s="73"/>
      <x:c r="C99" s="73"/>
      <x:c r="D99" s="66"/>
      <x:c r="E99" s="111"/>
      <x:c r="F99" s="73"/>
      <x:c r="G99" s="73"/>
      <x:c r="H99" s="67"/>
      <x:c r="I99" s="68"/>
      <x:c r="J99" s="70"/>
      <x:c r="K99" s="70"/>
    </x:row>
    <x:row r="100">
      <x:c r="A100" s="65"/>
      <x:c r="B100" s="73"/>
      <x:c r="C100" s="73"/>
      <x:c r="D100" s="66"/>
      <x:c r="E100" s="111"/>
      <x:c r="F100" s="73"/>
      <x:c r="G100" s="73"/>
      <x:c r="H100" s="67"/>
      <x:c r="I100" s="68"/>
      <x:c r="J100" s="70"/>
      <x:c r="K100" s="70"/>
    </x:row>
    <x:row r="101">
      <x:c r="A101" s="65"/>
      <x:c r="B101" s="73"/>
      <x:c r="C101" s="73"/>
      <x:c r="D101" s="66"/>
      <x:c r="E101" s="111"/>
      <x:c r="F101" s="73"/>
      <x:c r="G101" s="73"/>
      <x:c r="H101" s="67"/>
      <x:c r="I101" s="68"/>
      <x:c r="J101" s="70"/>
      <x:c r="K101" s="70"/>
    </x:row>
    <x:row r="102">
      <x:c r="A102" s="65"/>
      <x:c r="B102" s="73"/>
      <x:c r="C102" s="73"/>
      <x:c r="D102" s="66"/>
      <x:c r="E102" s="111"/>
      <x:c r="F102" s="73"/>
      <x:c r="G102" s="73"/>
      <x:c r="H102" s="67"/>
      <x:c r="I102" s="68"/>
      <x:c r="J102" s="70"/>
      <x:c r="K102" s="70"/>
    </x:row>
    <x:row r="103">
      <x:c r="A103" s="65"/>
      <x:c r="B103" s="74"/>
      <x:c r="C103" s="73"/>
      <x:c r="D103" s="66"/>
      <x:c r="E103" s="111"/>
      <x:c r="F103" s="73"/>
      <x:c r="G103" s="73"/>
      <x:c r="H103" s="67"/>
      <x:c r="I103" s="68"/>
      <x:c r="J103" s="70"/>
      <x:c r="K103" s="70"/>
    </x:row>
    <x:row r="104">
      <x:c r="A104" s="65"/>
      <x:c r="B104" s="73"/>
      <x:c r="C104" s="73"/>
      <x:c r="D104" s="66"/>
      <x:c r="E104" s="111"/>
      <x:c r="F104" s="73"/>
      <x:c r="G104" s="73"/>
      <x:c r="H104" s="67"/>
      <x:c r="I104" s="68"/>
      <x:c r="J104" s="70"/>
      <x:c r="K104" s="70"/>
    </x:row>
    <x:row r="105">
      <x:c r="A105" s="65"/>
      <x:c r="B105" s="73"/>
      <x:c r="C105" s="73"/>
      <x:c r="D105" s="66"/>
      <x:c r="E105" s="111"/>
      <x:c r="F105" s="73"/>
      <x:c r="G105" s="73"/>
      <x:c r="H105" s="67"/>
      <x:c r="I105" s="68"/>
      <x:c r="J105" s="70"/>
      <x:c r="K105" s="70"/>
    </x:row>
    <x:row r="106">
      <x:c r="A106" s="65"/>
      <x:c r="B106" s="73"/>
      <x:c r="C106" s="73"/>
      <x:c r="D106" s="66"/>
      <x:c r="E106" s="111"/>
      <x:c r="F106" s="73"/>
      <x:c r="G106" s="73"/>
      <x:c r="H106" s="67"/>
      <x:c r="I106" s="68"/>
      <x:c r="J106" s="70"/>
      <x:c r="K106" s="70"/>
    </x:row>
    <x:row r="107">
      <x:c r="A107" s="65"/>
      <x:c r="B107" s="73"/>
      <x:c r="C107" s="73"/>
      <x:c r="D107" s="66"/>
      <x:c r="E107" s="111"/>
      <x:c r="F107" s="73"/>
      <x:c r="G107" s="73"/>
      <x:c r="H107" s="67"/>
      <x:c r="I107" s="68"/>
      <x:c r="J107" s="70"/>
      <x:c r="K107" s="70"/>
    </x:row>
    <x:row r="108">
      <x:c r="A108" s="65"/>
      <x:c r="B108" s="73"/>
      <x:c r="C108" s="73"/>
      <x:c r="D108" s="66"/>
      <x:c r="E108" s="111"/>
      <x:c r="F108" s="73"/>
      <x:c r="G108" s="73"/>
      <x:c r="H108" s="67"/>
      <x:c r="I108" s="68"/>
      <x:c r="J108" s="70"/>
      <x:c r="K108" s="70"/>
    </x:row>
    <x:row r="109">
      <x:c r="A109" s="65"/>
      <x:c r="B109" s="73"/>
      <x:c r="C109" s="73"/>
      <x:c r="D109" s="66"/>
      <x:c r="E109" s="111"/>
      <x:c r="F109" s="73"/>
      <x:c r="G109" s="73"/>
      <x:c r="H109" s="67"/>
      <x:c r="I109" s="68"/>
      <x:c r="J109" s="70"/>
      <x:c r="K109" s="70"/>
    </x:row>
    <x:row r="110">
      <x:c r="A110" s="65"/>
      <x:c r="B110" s="73"/>
      <x:c r="C110" s="73"/>
      <x:c r="D110" s="66"/>
      <x:c r="E110" s="111"/>
      <x:c r="F110" s="73"/>
      <x:c r="G110" s="73"/>
      <x:c r="H110" s="67"/>
      <x:c r="I110" s="68"/>
      <x:c r="J110" s="70"/>
      <x:c r="K110" s="70"/>
    </x:row>
    <x:row r="111">
      <x:c r="A111" s="65"/>
      <x:c r="B111" s="73"/>
      <x:c r="C111" s="73"/>
      <x:c r="D111" s="66"/>
      <x:c r="E111" s="111"/>
      <x:c r="F111" s="73"/>
      <x:c r="G111" s="73"/>
      <x:c r="H111" s="67"/>
      <x:c r="I111" s="68"/>
      <x:c r="J111" s="70"/>
      <x:c r="K111" s="70"/>
    </x:row>
    <x:row r="112">
      <x:c r="A112" s="65"/>
      <x:c r="B112" s="73"/>
      <x:c r="C112" s="73"/>
      <x:c r="D112" s="66"/>
      <x:c r="E112" s="111"/>
      <x:c r="F112" s="73"/>
      <x:c r="G112" s="73"/>
      <x:c r="H112" s="67"/>
      <x:c r="I112" s="68"/>
      <x:c r="J112" s="70"/>
      <x:c r="K112" s="70"/>
    </x:row>
    <x:row r="113">
      <x:c r="A113" s="65"/>
      <x:c r="B113" s="73"/>
      <x:c r="C113" s="73"/>
      <x:c r="D113" s="66"/>
      <x:c r="E113" s="111"/>
      <x:c r="F113" s="73"/>
      <x:c r="G113" s="73"/>
      <x:c r="H113" s="67"/>
      <x:c r="I113" s="68"/>
      <x:c r="J113" s="69"/>
      <x:c r="K113" s="70"/>
    </x:row>
    <x:row r="114">
      <x:c r="A114" s="65"/>
      <x:c r="B114" s="73"/>
      <x:c r="C114" s="73"/>
      <x:c r="D114" s="66"/>
      <x:c r="E114" s="111"/>
      <x:c r="F114" s="73"/>
      <x:c r="G114" s="73"/>
      <x:c r="H114" s="67"/>
      <x:c r="I114" s="68"/>
      <x:c r="J114" s="69"/>
      <x:c r="K114" s="70"/>
    </x:row>
    <x:row r="115">
      <x:c r="A115" s="65"/>
      <x:c r="B115" s="73"/>
      <x:c r="C115" s="73"/>
      <x:c r="D115" s="66"/>
      <x:c r="E115" s="111"/>
      <x:c r="F115" s="73"/>
      <x:c r="G115" s="73"/>
      <x:c r="H115" s="67"/>
      <x:c r="I115" s="68"/>
      <x:c r="J115" s="69"/>
      <x:c r="K115" s="70"/>
    </x:row>
    <x:row r="116">
      <x:c r="A116" s="65"/>
      <x:c r="B116" s="73"/>
      <x:c r="C116" s="73"/>
      <x:c r="D116" s="66"/>
      <x:c r="E116" s="111"/>
      <x:c r="F116" s="73"/>
      <x:c r="G116" s="73"/>
      <x:c r="H116" s="67"/>
      <x:c r="I116" s="68"/>
      <x:c r="J116" s="69"/>
      <x:c r="K116" s="70"/>
    </x:row>
    <x:row r="117">
      <x:c r="A117" s="65"/>
      <x:c r="B117" s="73"/>
      <x:c r="C117" s="73"/>
      <x:c r="D117" s="66"/>
      <x:c r="E117" s="111"/>
      <x:c r="F117" s="73"/>
      <x:c r="G117" s="73"/>
      <x:c r="H117" s="67"/>
      <x:c r="I117" s="68"/>
      <x:c r="J117" s="69"/>
      <x:c r="K117" s="70"/>
    </x:row>
    <x:row r="118">
      <x:c r="A118" s="65"/>
      <x:c r="B118" s="73"/>
      <x:c r="C118" s="73"/>
      <x:c r="D118" s="66"/>
      <x:c r="E118" s="111"/>
      <x:c r="F118" s="73"/>
      <x:c r="G118" s="73"/>
      <x:c r="H118" s="67"/>
      <x:c r="I118" s="68"/>
      <x:c r="J118" s="69"/>
      <x:c r="K118" s="70"/>
    </x:row>
    <x:row r="119">
      <x:c r="A119" s="65"/>
      <x:c r="B119" s="73"/>
      <x:c r="C119" s="73"/>
      <x:c r="D119" s="66"/>
      <x:c r="E119" s="111"/>
      <x:c r="F119" s="73"/>
      <x:c r="G119" s="73"/>
      <x:c r="H119" s="67"/>
      <x:c r="I119" s="68"/>
      <x:c r="J119" s="69"/>
      <x:c r="K119" s="70"/>
    </x:row>
    <x:row r="120">
      <x:c r="A120" s="65"/>
      <x:c r="B120" s="73"/>
      <x:c r="C120" s="73"/>
      <x:c r="D120" s="66"/>
      <x:c r="E120" s="111"/>
      <x:c r="F120" s="73"/>
      <x:c r="G120" s="73"/>
      <x:c r="H120" s="67"/>
      <x:c r="I120" s="68"/>
      <x:c r="J120" s="69"/>
      <x:c r="K120" s="70"/>
    </x:row>
    <x:row r="121">
      <x:c r="A121" s="65"/>
      <x:c r="B121" s="73"/>
      <x:c r="C121" s="73"/>
      <x:c r="D121" s="66"/>
      <x:c r="E121" s="111"/>
      <x:c r="F121" s="73"/>
      <x:c r="G121" s="73"/>
      <x:c r="H121" s="67"/>
      <x:c r="I121" s="68"/>
      <x:c r="J121" s="69"/>
      <x:c r="K121" s="70"/>
    </x:row>
    <x:row r="122">
      <x:c r="A122" s="65"/>
      <x:c r="B122" s="73"/>
      <x:c r="C122" s="73"/>
      <x:c r="D122" s="66"/>
      <x:c r="E122" s="111"/>
      <x:c r="F122" s="73"/>
      <x:c r="G122" s="73"/>
      <x:c r="H122" s="67"/>
      <x:c r="I122" s="68"/>
      <x:c r="J122" s="69"/>
      <x:c r="K122" s="70"/>
    </x:row>
    <x:row r="123">
      <x:c r="A123" s="65"/>
      <x:c r="B123" s="73"/>
      <x:c r="C123" s="73"/>
      <x:c r="D123" s="66"/>
      <x:c r="E123" s="111"/>
      <x:c r="F123" s="73"/>
      <x:c r="G123" s="73"/>
      <x:c r="H123" s="67"/>
      <x:c r="I123" s="68"/>
      <x:c r="J123" s="70"/>
      <x:c r="K123" s="70"/>
    </x:row>
    <x:row r="124">
      <x:c r="A124" s="65"/>
      <x:c r="B124" s="73"/>
      <x:c r="C124" s="73"/>
      <x:c r="D124" s="66"/>
      <x:c r="E124" s="111"/>
      <x:c r="F124" s="73"/>
      <x:c r="G124" s="73"/>
      <x:c r="H124" s="67"/>
      <x:c r="I124" s="68"/>
      <x:c r="J124" s="70"/>
      <x:c r="K124" s="70"/>
    </x:row>
    <x:row r="125">
      <x:c r="A125" s="65"/>
      <x:c r="B125" s="73"/>
      <x:c r="C125" s="73"/>
      <x:c r="D125" s="66"/>
      <x:c r="E125" s="111"/>
      <x:c r="F125" s="73"/>
      <x:c r="G125" s="73"/>
      <x:c r="H125" s="67"/>
      <x:c r="I125" s="68"/>
      <x:c r="J125" s="70"/>
      <x:c r="K125" s="70"/>
    </x:row>
    <x:row r="126">
      <x:c r="A126" s="65"/>
      <x:c r="B126" s="73"/>
      <x:c r="C126" s="73"/>
      <x:c r="D126" s="66"/>
      <x:c r="E126" s="111"/>
      <x:c r="F126" s="73"/>
      <x:c r="G126" s="73"/>
      <x:c r="H126" s="67"/>
      <x:c r="I126" s="68"/>
      <x:c r="J126" s="70"/>
      <x:c r="K126" s="70"/>
    </x:row>
    <x:row r="127">
      <x:c r="A127" s="65"/>
      <x:c r="B127" s="73"/>
      <x:c r="C127" s="73"/>
      <x:c r="D127" s="66"/>
      <x:c r="E127" s="111"/>
      <x:c r="F127" s="73"/>
      <x:c r="G127" s="73"/>
      <x:c r="H127" s="67"/>
      <x:c r="I127" s="68"/>
      <x:c r="J127" s="70"/>
      <x:c r="K127" s="70"/>
    </x:row>
    <x:row r="128">
      <x:c r="A128" s="65"/>
      <x:c r="B128" s="73"/>
      <x:c r="C128" s="73"/>
      <x:c r="D128" s="66"/>
      <x:c r="E128" s="111"/>
      <x:c r="F128" s="73"/>
      <x:c r="G128" s="73"/>
      <x:c r="H128" s="67"/>
      <x:c r="I128" s="68"/>
      <x:c r="J128" s="70"/>
      <x:c r="K128" s="70"/>
    </x:row>
    <x:row r="129">
      <x:c r="A129" s="65"/>
      <x:c r="B129" s="73"/>
      <x:c r="C129" s="73"/>
      <x:c r="D129" s="66"/>
      <x:c r="E129" s="111"/>
      <x:c r="F129" s="73"/>
      <x:c r="G129" s="73"/>
      <x:c r="H129" s="67"/>
      <x:c r="I129" s="68"/>
      <x:c r="J129" s="70"/>
      <x:c r="K129" s="70"/>
    </x:row>
    <x:row r="130">
      <x:c r="A130" s="65"/>
      <x:c r="B130" s="73"/>
      <x:c r="C130" s="73"/>
      <x:c r="D130" s="66"/>
      <x:c r="E130" s="111"/>
      <x:c r="F130" s="73"/>
      <x:c r="G130" s="73"/>
      <x:c r="H130" s="67"/>
      <x:c r="I130" s="68"/>
      <x:c r="J130" s="70"/>
      <x:c r="K130" s="70"/>
    </x:row>
    <x:row r="131">
      <x:c r="A131" s="65"/>
      <x:c r="B131" s="73"/>
      <x:c r="C131" s="73"/>
      <x:c r="D131" s="66"/>
      <x:c r="E131" s="111"/>
      <x:c r="F131" s="73"/>
      <x:c r="G131" s="73"/>
      <x:c r="H131" s="67"/>
      <x:c r="I131" s="68"/>
      <x:c r="J131" s="70"/>
      <x:c r="K131" s="70"/>
    </x:row>
    <x:row r="132">
      <x:c r="A132" s="65"/>
      <x:c r="B132" s="73"/>
      <x:c r="C132" s="73"/>
      <x:c r="D132" s="66"/>
      <x:c r="E132" s="111"/>
      <x:c r="F132" s="73"/>
      <x:c r="G132" s="73"/>
      <x:c r="H132" s="67"/>
      <x:c r="I132" s="68"/>
      <x:c r="J132" s="70"/>
      <x:c r="K132" s="70"/>
    </x:row>
    <x:row r="133">
      <x:c r="A133" s="65"/>
      <x:c r="B133" s="73"/>
      <x:c r="C133" s="73"/>
      <x:c r="D133" s="66"/>
      <x:c r="E133" s="111"/>
      <x:c r="F133" s="73"/>
      <x:c r="G133" s="73"/>
      <x:c r="H133" s="67"/>
      <x:c r="I133" s="68"/>
      <x:c r="J133" s="70"/>
      <x:c r="K133" s="70"/>
    </x:row>
    <x:row r="134">
      <x:c r="A134" s="65"/>
      <x:c r="B134" s="73"/>
      <x:c r="C134" s="73"/>
      <x:c r="D134" s="66"/>
      <x:c r="E134" s="111"/>
      <x:c r="F134" s="73"/>
      <x:c r="G134" s="73"/>
      <x:c r="H134" s="67"/>
      <x:c r="I134" s="68"/>
      <x:c r="J134" s="70"/>
      <x:c r="K134" s="70"/>
    </x:row>
    <x:row r="135">
      <x:c r="A135" s="65"/>
      <x:c r="B135" s="73"/>
      <x:c r="C135" s="73"/>
      <x:c r="D135" s="66"/>
      <x:c r="E135" s="111"/>
      <x:c r="F135" s="73"/>
      <x:c r="G135" s="73"/>
      <x:c r="H135" s="67"/>
      <x:c r="I135" s="68"/>
      <x:c r="J135" s="70"/>
      <x:c r="K135" s="70"/>
    </x:row>
    <x:row r="136">
      <x:c r="A136" s="65"/>
      <x:c r="B136" s="73"/>
      <x:c r="C136" s="73"/>
      <x:c r="D136" s="66"/>
      <x:c r="E136" s="111"/>
      <x:c r="F136" s="73"/>
      <x:c r="G136" s="73"/>
      <x:c r="H136" s="67"/>
      <x:c r="I136" s="68"/>
      <x:c r="J136" s="70"/>
      <x:c r="K136" s="70"/>
    </x:row>
    <x:row r="137">
      <x:c r="A137" s="65"/>
      <x:c r="B137" s="73"/>
      <x:c r="C137" s="73"/>
      <x:c r="D137" s="66"/>
      <x:c r="E137" s="111"/>
      <x:c r="F137" s="73"/>
      <x:c r="G137" s="73"/>
      <x:c r="H137" s="67"/>
      <x:c r="I137" s="68"/>
      <x:c r="J137" s="70"/>
      <x:c r="K137" s="70"/>
    </x:row>
    <x:row r="138">
      <x:c r="A138" s="65"/>
      <x:c r="B138" s="73"/>
      <x:c r="C138" s="73"/>
      <x:c r="D138" s="66"/>
      <x:c r="E138" s="111"/>
      <x:c r="F138" s="73"/>
      <x:c r="G138" s="73"/>
      <x:c r="H138" s="67"/>
      <x:c r="I138" s="68"/>
      <x:c r="J138" s="69"/>
      <x:c r="K138" s="70"/>
    </x:row>
    <x:row r="139">
      <x:c r="A139" s="65"/>
      <x:c r="B139" s="73"/>
      <x:c r="C139" s="73"/>
      <x:c r="D139" s="66"/>
      <x:c r="E139" s="111"/>
      <x:c r="F139" s="73"/>
      <x:c r="G139" s="73"/>
      <x:c r="H139" s="67"/>
      <x:c r="I139" s="68"/>
      <x:c r="J139" s="69"/>
      <x:c r="K139" s="70"/>
    </x:row>
    <x:row r="140">
      <x:c r="A140" s="65"/>
      <x:c r="B140" s="73"/>
      <x:c r="C140" s="73"/>
      <x:c r="D140" s="66"/>
      <x:c r="E140" s="111"/>
      <x:c r="F140" s="73"/>
      <x:c r="G140" s="73"/>
      <x:c r="H140" s="67"/>
      <x:c r="I140" s="68"/>
      <x:c r="J140" s="69"/>
      <x:c r="K140" s="70"/>
    </x:row>
    <x:row r="141">
      <x:c r="A141" s="65"/>
      <x:c r="B141" s="73"/>
      <x:c r="C141" s="73"/>
      <x:c r="D141" s="66"/>
      <x:c r="E141" s="111"/>
      <x:c r="F141" s="73"/>
      <x:c r="G141" s="73"/>
      <x:c r="H141" s="67"/>
      <x:c r="I141" s="68"/>
      <x:c r="J141" s="69"/>
      <x:c r="K141" s="70"/>
    </x:row>
    <x:row r="142">
      <x:c r="A142" s="65"/>
      <x:c r="B142" s="73"/>
      <x:c r="C142" s="73"/>
      <x:c r="D142" s="66"/>
      <x:c r="E142" s="111"/>
      <x:c r="F142" s="73"/>
      <x:c r="G142" s="73"/>
      <x:c r="H142" s="67"/>
      <x:c r="I142" s="68"/>
      <x:c r="J142" s="70"/>
      <x:c r="K142" s="70"/>
    </x:row>
    <x:row r="143">
      <x:c r="A143" s="65"/>
      <x:c r="B143" s="73"/>
      <x:c r="C143" s="73"/>
      <x:c r="D143" s="66"/>
      <x:c r="E143" s="111"/>
      <x:c r="F143" s="73"/>
      <x:c r="G143" s="73"/>
      <x:c r="H143" s="67"/>
      <x:c r="I143" s="68"/>
      <x:c r="J143" s="70"/>
      <x:c r="K143" s="70"/>
    </x:row>
    <x:row r="144">
      <x:c r="A144" s="65"/>
      <x:c r="B144" s="73"/>
      <x:c r="C144" s="73"/>
      <x:c r="D144" s="66"/>
      <x:c r="E144" s="111"/>
      <x:c r="F144" s="73"/>
      <x:c r="G144" s="73"/>
      <x:c r="H144" s="67"/>
      <x:c r="I144" s="68"/>
      <x:c r="J144" s="70"/>
      <x:c r="K144" s="70"/>
    </x:row>
    <x:row r="145">
      <x:c r="A145" s="65"/>
      <x:c r="B145" s="73"/>
      <x:c r="C145" s="73"/>
      <x:c r="D145" s="66"/>
      <x:c r="E145" s="111"/>
      <x:c r="F145" s="73"/>
      <x:c r="G145" s="73"/>
      <x:c r="H145" s="67"/>
      <x:c r="I145" s="68"/>
      <x:c r="J145" s="69"/>
      <x:c r="K145" s="70"/>
    </x:row>
    <x:row r="146">
      <x:c r="A146" s="65"/>
      <x:c r="B146" s="73"/>
      <x:c r="C146" s="73"/>
      <x:c r="D146" s="66"/>
      <x:c r="E146" s="111"/>
      <x:c r="F146" s="73"/>
      <x:c r="G146" s="73"/>
      <x:c r="H146" s="67"/>
      <x:c r="I146" s="68"/>
      <x:c r="J146" s="69"/>
      <x:c r="K146" s="70"/>
    </x:row>
    <x:row r="147">
      <x:c r="A147" s="65"/>
      <x:c r="B147" s="73"/>
      <x:c r="C147" s="73"/>
      <x:c r="D147" s="66"/>
      <x:c r="E147" s="111"/>
      <x:c r="F147" s="73"/>
      <x:c r="G147" s="73"/>
      <x:c r="H147" s="67"/>
      <x:c r="I147" s="68"/>
      <x:c r="J147" s="69"/>
      <x:c r="K147" s="70"/>
    </x:row>
    <x:row r="148">
      <x:c r="A148" s="65"/>
      <x:c r="B148" s="73"/>
      <x:c r="C148" s="73"/>
      <x:c r="D148" s="66"/>
      <x:c r="E148" s="111"/>
      <x:c r="F148" s="73"/>
      <x:c r="G148" s="73"/>
      <x:c r="H148" s="67"/>
      <x:c r="I148" s="68"/>
      <x:c r="J148" s="69"/>
      <x:c r="K148" s="70"/>
    </x:row>
    <x:row r="149">
      <x:c r="A149" s="65"/>
      <x:c r="B149" s="73"/>
      <x:c r="C149" s="73"/>
      <x:c r="D149" s="66"/>
      <x:c r="E149" s="111"/>
      <x:c r="F149" s="73"/>
      <x:c r="G149" s="73"/>
      <x:c r="H149" s="67"/>
      <x:c r="I149" s="68"/>
      <x:c r="J149" s="69"/>
      <x:c r="K149" s="70"/>
    </x:row>
    <x:row r="150">
      <x:c r="A150" s="65"/>
      <x:c r="B150" s="73"/>
      <x:c r="C150" s="73"/>
      <x:c r="D150" s="66"/>
      <x:c r="E150" s="111"/>
      <x:c r="F150" s="73"/>
      <x:c r="G150" s="73"/>
      <x:c r="H150" s="67"/>
      <x:c r="I150" s="68"/>
      <x:c r="J150" s="69"/>
      <x:c r="K150" s="70"/>
    </x:row>
    <x:row r="151">
      <x:c r="A151" s="65"/>
      <x:c r="B151" s="73"/>
      <x:c r="C151" s="73"/>
      <x:c r="D151" s="66"/>
      <x:c r="E151" s="111"/>
      <x:c r="F151" s="73"/>
      <x:c r="G151" s="73"/>
      <x:c r="H151" s="67"/>
      <x:c r="I151" s="68"/>
      <x:c r="J151" s="70"/>
      <x:c r="K151" s="70"/>
    </x:row>
    <x:row r="152">
      <x:c r="A152" s="65"/>
      <x:c r="B152" s="73"/>
      <x:c r="C152" s="73"/>
      <x:c r="D152" s="66"/>
      <x:c r="E152" s="111"/>
      <x:c r="F152" s="73"/>
      <x:c r="G152" s="73"/>
      <x:c r="H152" s="67"/>
      <x:c r="I152" s="68"/>
      <x:c r="J152" s="69"/>
      <x:c r="K152" s="70"/>
    </x:row>
    <x:row r="153">
      <x:c r="A153" s="65"/>
      <x:c r="B153" s="73"/>
      <x:c r="C153" s="73"/>
      <x:c r="D153" s="66"/>
      <x:c r="E153" s="111"/>
      <x:c r="F153" s="73"/>
      <x:c r="G153" s="73"/>
      <x:c r="H153" s="67"/>
      <x:c r="I153" s="68"/>
      <x:c r="J153" s="69"/>
      <x:c r="K153" s="70"/>
    </x:row>
    <x:row r="154">
      <x:c r="A154" s="65"/>
      <x:c r="B154" s="73"/>
      <x:c r="C154" s="73"/>
      <x:c r="D154" s="66"/>
      <x:c r="E154" s="111"/>
      <x:c r="F154" s="73"/>
      <x:c r="G154" s="73"/>
      <x:c r="H154" s="67"/>
      <x:c r="I154" s="68"/>
      <x:c r="J154" s="69"/>
      <x:c r="K154" s="70"/>
    </x:row>
    <x:row r="155">
      <x:c r="A155" s="65"/>
      <x:c r="B155" s="73"/>
      <x:c r="C155" s="73"/>
      <x:c r="D155" s="66"/>
      <x:c r="E155" s="111"/>
      <x:c r="F155" s="73"/>
      <x:c r="G155" s="73"/>
      <x:c r="H155" s="67"/>
      <x:c r="I155" s="68"/>
      <x:c r="J155" s="69"/>
      <x:c r="K155" s="70"/>
    </x:row>
    <x:row r="156">
      <x:c r="A156" s="65"/>
      <x:c r="B156" s="73"/>
      <x:c r="C156" s="73"/>
      <x:c r="D156" s="66"/>
      <x:c r="E156" s="111"/>
      <x:c r="F156" s="73"/>
      <x:c r="G156" s="73"/>
      <x:c r="H156" s="67"/>
      <x:c r="I156" s="68"/>
      <x:c r="J156" s="69"/>
      <x:c r="K156" s="70"/>
    </x:row>
    <x:row r="157">
      <x:c r="A157" s="65"/>
      <x:c r="B157" s="73"/>
      <x:c r="C157" s="73"/>
      <x:c r="D157" s="66"/>
      <x:c r="E157" s="111"/>
      <x:c r="F157" s="73"/>
      <x:c r="G157" s="73"/>
      <x:c r="H157" s="67"/>
      <x:c r="I157" s="68"/>
      <x:c r="J157" s="69"/>
      <x:c r="K157" s="70"/>
    </x:row>
    <x:row r="158">
      <x:c r="A158" s="65"/>
      <x:c r="B158" s="73"/>
      <x:c r="C158" s="73"/>
      <x:c r="D158" s="66"/>
      <x:c r="E158" s="111"/>
      <x:c r="F158" s="73"/>
      <x:c r="G158" s="73"/>
      <x:c r="H158" s="67"/>
      <x:c r="I158" s="68"/>
      <x:c r="J158" s="69"/>
      <x:c r="K158" s="70"/>
    </x:row>
    <x:row r="159">
      <x:c r="A159" s="65"/>
      <x:c r="B159" s="73"/>
      <x:c r="C159" s="73"/>
      <x:c r="D159" s="66"/>
      <x:c r="E159" s="111"/>
      <x:c r="F159" s="73"/>
      <x:c r="G159" s="73"/>
      <x:c r="H159" s="67"/>
      <x:c r="I159" s="68"/>
      <x:c r="J159" s="69"/>
      <x:c r="K159" s="70"/>
    </x:row>
    <x:row r="160">
      <x:c r="A160" s="65"/>
      <x:c r="B160" s="73"/>
      <x:c r="C160" s="73"/>
      <x:c r="D160" s="66"/>
      <x:c r="E160" s="111"/>
      <x:c r="F160" s="73"/>
      <x:c r="G160" s="73"/>
      <x:c r="H160" s="67"/>
      <x:c r="I160" s="68"/>
      <x:c r="J160" s="70"/>
      <x:c r="K160" s="70"/>
    </x:row>
    <x:row r="161">
      <x:c r="A161" s="65"/>
      <x:c r="B161" s="73"/>
      <x:c r="C161" s="73"/>
      <x:c r="D161" s="66"/>
      <x:c r="E161" s="111"/>
      <x:c r="F161" s="73"/>
      <x:c r="G161" s="73"/>
      <x:c r="H161" s="67"/>
      <x:c r="I161" s="68"/>
      <x:c r="J161" s="69"/>
      <x:c r="K161" s="70"/>
    </x:row>
    <x:row r="162">
      <x:c r="A162" s="65"/>
      <x:c r="B162" s="73"/>
      <x:c r="C162" s="73"/>
      <x:c r="D162" s="66"/>
      <x:c r="E162" s="111"/>
      <x:c r="F162" s="73"/>
      <x:c r="G162" s="73"/>
      <x:c r="H162" s="67"/>
      <x:c r="I162" s="68"/>
      <x:c r="J162" s="70"/>
      <x:c r="K162" s="70"/>
    </x:row>
    <x:row r="163">
      <x:c r="A163" s="65"/>
      <x:c r="B163" s="73"/>
      <x:c r="C163" s="73"/>
      <x:c r="D163" s="66"/>
      <x:c r="E163" s="111"/>
      <x:c r="F163" s="73"/>
      <x:c r="G163" s="73"/>
      <x:c r="H163" s="67"/>
      <x:c r="I163" s="68"/>
      <x:c r="J163" s="70"/>
      <x:c r="K163" s="70"/>
    </x:row>
    <x:row r="164">
      <x:c r="A164" s="65"/>
      <x:c r="B164" s="73"/>
      <x:c r="C164" s="73"/>
      <x:c r="D164" s="66"/>
      <x:c r="E164" s="111"/>
      <x:c r="F164" s="73"/>
      <x:c r="G164" s="73"/>
      <x:c r="H164" s="67"/>
      <x:c r="I164" s="68"/>
      <x:c r="J164" s="70"/>
      <x:c r="K164" s="70"/>
    </x:row>
    <x:row r="165">
      <x:c r="A165" s="65"/>
      <x:c r="B165" s="73"/>
      <x:c r="C165" s="73"/>
      <x:c r="D165" s="66"/>
      <x:c r="E165" s="111"/>
      <x:c r="F165" s="73"/>
      <x:c r="G165" s="73"/>
      <x:c r="H165" s="67"/>
      <x:c r="I165" s="68"/>
      <x:c r="J165" s="70"/>
      <x:c r="K165" s="70"/>
    </x:row>
    <x:row r="166">
      <x:c r="A166" s="65"/>
      <x:c r="B166" s="70"/>
      <x:c r="C166" s="87"/>
      <x:c r="D166" s="66"/>
      <x:c r="E166" s="111"/>
      <x:c r="F166" s="76"/>
      <x:c r="G166" s="70"/>
      <x:c r="H166" s="70"/>
      <x:c r="I166" s="70"/>
      <x:c r="J166" s="70"/>
      <x:c r="K166" s="70"/>
    </x:row>
    <x:row r="167">
      <x:c r="A167" s="65"/>
      <x:c r="B167" s="70"/>
      <x:c r="C167" s="87"/>
      <x:c r="D167" s="66"/>
      <x:c r="E167" s="111"/>
      <x:c r="F167" s="76"/>
      <x:c r="G167" s="70"/>
      <x:c r="H167" s="70"/>
      <x:c r="I167" s="70"/>
      <x:c r="J167" s="70"/>
      <x:c r="K167" s="70"/>
    </x:row>
    <x:row r="168">
      <x:c r="A168" s="65"/>
      <x:c r="B168" s="75"/>
      <x:c r="C168" s="87"/>
      <x:c r="D168" s="66"/>
      <x:c r="E168" s="111"/>
      <x:c r="F168" s="76"/>
      <x:c r="G168" s="70"/>
      <x:c r="H168" s="70"/>
      <x:c r="I168" s="75"/>
      <x:c r="J168" s="70"/>
      <x:c r="K168" s="70"/>
    </x:row>
    <x:row r="169">
      <x:c r="A169" s="65"/>
      <x:c r="B169" s="75"/>
      <x:c r="C169" s="87"/>
      <x:c r="D169" s="66"/>
      <x:c r="E169" s="111"/>
      <x:c r="F169" s="76"/>
      <x:c r="G169" s="70"/>
      <x:c r="H169" s="70"/>
      <x:c r="I169" s="75"/>
      <x:c r="J169" s="70"/>
      <x:c r="K169" s="70"/>
    </x:row>
    <x:row r="170">
      <x:c r="A170" s="65"/>
      <x:c r="B170" s="75"/>
      <x:c r="C170" s="87"/>
      <x:c r="D170" s="66"/>
      <x:c r="E170" s="111"/>
      <x:c r="F170" s="75"/>
      <x:c r="G170" s="75"/>
      <x:c r="H170" s="75"/>
      <x:c r="I170" s="75"/>
      <x:c r="J170" s="70"/>
      <x:c r="K170" s="70"/>
    </x:row>
    <x:row r="171">
      <x:c r="A171" s="65"/>
      <x:c r="B171" s="75"/>
      <x:c r="C171" s="87"/>
      <x:c r="D171" s="66"/>
      <x:c r="E171" s="111"/>
      <x:c r="F171" s="75"/>
      <x:c r="G171" s="75"/>
      <x:c r="H171" s="75"/>
      <x:c r="I171" s="75"/>
      <x:c r="J171" s="69"/>
      <x:c r="K171" s="70"/>
    </x:row>
    <x:row r="172">
      <x:c r="A172" s="65"/>
      <x:c r="B172" s="75"/>
      <x:c r="C172" s="87"/>
      <x:c r="D172" s="66"/>
      <x:c r="E172" s="111"/>
      <x:c r="F172" s="75"/>
      <x:c r="G172" s="75"/>
      <x:c r="H172" s="75"/>
      <x:c r="I172" s="75"/>
      <x:c r="J172" s="70"/>
      <x:c r="K172" s="70"/>
    </x:row>
    <x:row r="173">
      <x:c r="A173" s="65"/>
      <x:c r="B173" s="75"/>
      <x:c r="C173" s="87"/>
      <x:c r="D173" s="66"/>
      <x:c r="E173" s="111"/>
      <x:c r="F173" s="75"/>
      <x:c r="G173" s="75"/>
      <x:c r="H173" s="75"/>
      <x:c r="I173" s="75"/>
      <x:c r="J173" s="70"/>
      <x:c r="K173" s="70"/>
    </x:row>
    <x:row r="174">
      <x:c r="A174" s="65"/>
      <x:c r="B174" s="75"/>
      <x:c r="C174" s="87"/>
      <x:c r="D174" s="66"/>
      <x:c r="E174" s="111"/>
      <x:c r="F174" s="75"/>
      <x:c r="G174" s="75"/>
      <x:c r="H174" s="75"/>
      <x:c r="I174" s="75"/>
      <x:c r="J174" s="70"/>
      <x:c r="K174" s="70"/>
    </x:row>
    <x:row r="175">
      <x:c r="A175" s="65"/>
      <x:c r="B175" s="75"/>
      <x:c r="C175" s="87"/>
      <x:c r="D175" s="66"/>
      <x:c r="E175" s="111"/>
      <x:c r="F175" s="75"/>
      <x:c r="G175" s="75"/>
      <x:c r="H175" s="75"/>
      <x:c r="I175" s="75"/>
      <x:c r="J175" s="69"/>
      <x:c r="K175" s="70"/>
    </x:row>
    <x:row r="176">
      <x:c r="A176" s="65"/>
      <x:c r="B176" s="75"/>
      <x:c r="C176" s="87"/>
      <x:c r="D176" s="66"/>
      <x:c r="E176" s="111"/>
      <x:c r="F176" s="75"/>
      <x:c r="G176" s="75"/>
      <x:c r="H176" s="75"/>
      <x:c r="I176" s="75"/>
      <x:c r="J176" s="70"/>
      <x:c r="K176" s="70"/>
    </x:row>
    <x:row r="177">
      <x:c r="A177" s="65"/>
      <x:c r="B177" s="75"/>
      <x:c r="C177" s="87"/>
      <x:c r="D177" s="66"/>
      <x:c r="E177" s="111"/>
      <x:c r="F177" s="75"/>
      <x:c r="G177" s="75"/>
      <x:c r="H177" s="75"/>
      <x:c r="I177" s="75"/>
      <x:c r="J177" s="70"/>
      <x:c r="K177" s="70"/>
    </x:row>
    <x:row r="178">
      <x:c r="A178" s="65"/>
      <x:c r="B178" s="75"/>
      <x:c r="C178" s="87"/>
      <x:c r="D178" s="66"/>
      <x:c r="E178" s="111"/>
      <x:c r="F178" s="75"/>
      <x:c r="G178" s="75"/>
      <x:c r="H178" s="75"/>
      <x:c r="I178" s="75"/>
      <x:c r="J178" s="70"/>
      <x:c r="K178" s="70"/>
    </x:row>
    <x:row r="179">
      <x:c r="A179" s="65"/>
      <x:c r="B179" s="75"/>
      <x:c r="C179" s="87"/>
      <x:c r="D179" s="66"/>
      <x:c r="E179" s="111"/>
      <x:c r="F179" s="75"/>
      <x:c r="G179" s="75"/>
      <x:c r="H179" s="75"/>
      <x:c r="I179" s="75"/>
      <x:c r="J179" s="70"/>
      <x:c r="K179" s="70"/>
    </x:row>
    <x:row r="180">
      <x:c r="A180" s="65"/>
      <x:c r="B180" s="75"/>
      <x:c r="C180" s="87"/>
      <x:c r="D180" s="66"/>
      <x:c r="E180" s="111"/>
      <x:c r="F180" s="75"/>
      <x:c r="G180" s="75"/>
      <x:c r="H180" s="75"/>
      <x:c r="I180" s="75"/>
      <x:c r="J180" s="70"/>
      <x:c r="K180" s="70"/>
    </x:row>
    <x:row r="181">
      <x:c r="A181" s="65"/>
      <x:c r="B181" s="75"/>
      <x:c r="C181" s="87"/>
      <x:c r="D181" s="66"/>
      <x:c r="E181" s="111"/>
      <x:c r="F181" s="75"/>
      <x:c r="G181" s="75"/>
      <x:c r="H181" s="75"/>
      <x:c r="I181" s="75"/>
      <x:c r="J181" s="70"/>
      <x:c r="K181" s="70"/>
    </x:row>
    <x:row r="182">
      <x:c r="A182" s="65"/>
      <x:c r="B182" s="75"/>
      <x:c r="C182" s="87"/>
      <x:c r="D182" s="66"/>
      <x:c r="E182" s="111"/>
      <x:c r="F182" s="75"/>
      <x:c r="G182" s="75"/>
      <x:c r="H182" s="75"/>
      <x:c r="I182" s="75"/>
      <x:c r="J182" s="69"/>
      <x:c r="K182" s="70"/>
    </x:row>
    <x:row r="183">
      <x:c r="A183" s="65"/>
      <x:c r="B183" s="75"/>
      <x:c r="C183" s="87"/>
      <x:c r="D183" s="66"/>
      <x:c r="E183" s="111"/>
      <x:c r="F183" s="75"/>
      <x:c r="G183" s="75"/>
      <x:c r="H183" s="75"/>
      <x:c r="I183" s="75"/>
      <x:c r="J183" s="69"/>
      <x:c r="K183" s="70"/>
    </x:row>
    <x:row r="184">
      <x:c r="A184" s="65"/>
      <x:c r="B184" s="75"/>
      <x:c r="C184" s="87"/>
      <x:c r="D184" s="66"/>
      <x:c r="E184" s="111"/>
      <x:c r="F184" s="75"/>
      <x:c r="G184" s="75"/>
      <x:c r="H184" s="75"/>
      <x:c r="I184" s="75"/>
      <x:c r="J184" s="69"/>
      <x:c r="K184" s="70"/>
    </x:row>
    <x:row r="185">
      <x:c r="A185" s="65"/>
      <x:c r="B185" s="75"/>
      <x:c r="C185" s="87"/>
      <x:c r="D185" s="66"/>
      <x:c r="E185" s="111"/>
      <x:c r="F185" s="75"/>
      <x:c r="G185" s="75"/>
      <x:c r="H185" s="75"/>
      <x:c r="I185" s="75"/>
      <x:c r="J185" s="69"/>
      <x:c r="K185" s="70"/>
    </x:row>
    <x:row r="186">
      <x:c r="A186" s="65"/>
      <x:c r="B186" s="75"/>
      <x:c r="C186" s="87"/>
      <x:c r="D186" s="66"/>
      <x:c r="E186" s="111"/>
      <x:c r="F186" s="75"/>
      <x:c r="G186" s="75"/>
      <x:c r="H186" s="75"/>
      <x:c r="I186" s="75"/>
      <x:c r="J186" s="69"/>
      <x:c r="K186" s="70"/>
    </x:row>
    <x:row r="187">
      <x:c r="A187" s="65"/>
      <x:c r="B187" s="75"/>
      <x:c r="C187" s="87"/>
      <x:c r="D187" s="66"/>
      <x:c r="E187" s="111"/>
      <x:c r="F187" s="75"/>
      <x:c r="G187" s="75"/>
      <x:c r="H187" s="75"/>
      <x:c r="I187" s="75"/>
      <x:c r="J187" s="69"/>
      <x:c r="K187" s="70"/>
    </x:row>
    <x:row r="188">
      <x:c r="A188" s="65"/>
      <x:c r="B188" s="75"/>
      <x:c r="C188" s="87"/>
      <x:c r="D188" s="66"/>
      <x:c r="E188" s="111"/>
      <x:c r="F188" s="75"/>
      <x:c r="G188" s="75"/>
      <x:c r="H188" s="75"/>
      <x:c r="I188" s="75"/>
      <x:c r="J188" s="70"/>
      <x:c r="K188" s="70"/>
    </x:row>
    <x:row r="189">
      <x:c r="A189" s="65"/>
      <x:c r="B189" s="75"/>
      <x:c r="C189" s="87"/>
      <x:c r="D189" s="66"/>
      <x:c r="E189" s="111"/>
      <x:c r="F189" s="75"/>
      <x:c r="G189" s="75"/>
      <x:c r="H189" s="75"/>
      <x:c r="I189" s="75"/>
      <x:c r="J189" s="69"/>
      <x:c r="K189" s="70"/>
    </x:row>
    <x:row r="190">
      <x:c r="A190" s="65"/>
      <x:c r="B190" s="75"/>
      <x:c r="C190" s="87"/>
      <x:c r="D190" s="66"/>
      <x:c r="E190" s="111"/>
      <x:c r="F190" s="75"/>
      <x:c r="G190" s="75"/>
      <x:c r="H190" s="75"/>
      <x:c r="I190" s="75"/>
      <x:c r="J190" s="69"/>
      <x:c r="K190" s="70"/>
    </x:row>
    <x:row r="191">
      <x:c r="A191" s="65"/>
      <x:c r="B191" s="75"/>
      <x:c r="C191" s="87"/>
      <x:c r="D191" s="66"/>
      <x:c r="E191" s="111"/>
      <x:c r="F191" s="75"/>
      <x:c r="G191" s="75"/>
      <x:c r="H191" s="75"/>
      <x:c r="I191" s="75"/>
      <x:c r="J191" s="69"/>
      <x:c r="K191" s="70"/>
    </x:row>
    <x:row r="192">
      <x:c r="A192" s="65"/>
      <x:c r="B192" s="75"/>
      <x:c r="C192" s="87"/>
      <x:c r="D192" s="66"/>
      <x:c r="E192" s="111"/>
      <x:c r="F192" s="75"/>
      <x:c r="G192" s="75"/>
      <x:c r="H192" s="75"/>
      <x:c r="I192" s="75"/>
      <x:c r="J192" s="69"/>
      <x:c r="K192" s="70"/>
    </x:row>
    <x:row r="193">
      <x:c r="A193" s="65"/>
      <x:c r="B193" s="75"/>
      <x:c r="C193" s="87"/>
      <x:c r="D193" s="66"/>
      <x:c r="E193" s="111"/>
      <x:c r="F193" s="75"/>
      <x:c r="G193" s="75"/>
      <x:c r="H193" s="75"/>
      <x:c r="I193" s="75"/>
      <x:c r="J193" s="69"/>
      <x:c r="K193" s="70"/>
    </x:row>
    <x:row r="194">
      <x:c r="A194" s="65"/>
      <x:c r="B194" s="75"/>
      <x:c r="C194" s="87"/>
      <x:c r="D194" s="66"/>
      <x:c r="E194" s="111"/>
      <x:c r="F194" s="75"/>
      <x:c r="G194" s="75"/>
      <x:c r="H194" s="75"/>
      <x:c r="I194" s="75"/>
      <x:c r="J194" s="69"/>
      <x:c r="K194" s="70"/>
    </x:row>
    <x:row r="195">
      <x:c r="A195" s="65"/>
      <x:c r="B195" s="75"/>
      <x:c r="C195" s="87"/>
      <x:c r="D195" s="66"/>
      <x:c r="E195" s="111"/>
      <x:c r="F195" s="75"/>
      <x:c r="G195" s="75"/>
      <x:c r="H195" s="75"/>
      <x:c r="I195" s="75"/>
      <x:c r="J195" s="69"/>
      <x:c r="K195" s="70"/>
    </x:row>
    <x:row r="196">
      <x:c r="A196" s="65"/>
      <x:c r="B196" s="75"/>
      <x:c r="C196" s="87"/>
      <x:c r="D196" s="66"/>
      <x:c r="E196" s="111"/>
      <x:c r="F196" s="75"/>
      <x:c r="G196" s="75"/>
      <x:c r="H196" s="75"/>
      <x:c r="I196" s="75"/>
      <x:c r="J196" s="70"/>
      <x:c r="K196" s="70"/>
    </x:row>
    <x:row r="197">
      <x:c r="A197" s="65"/>
      <x:c r="B197" s="75"/>
      <x:c r="C197" s="87"/>
      <x:c r="D197" s="66"/>
      <x:c r="E197" s="111"/>
      <x:c r="F197" s="75"/>
      <x:c r="G197" s="75"/>
      <x:c r="H197" s="75"/>
      <x:c r="I197" s="75"/>
      <x:c r="J197" s="70"/>
      <x:c r="K197" s="70"/>
    </x:row>
    <x:row r="198">
      <x:c r="A198" s="65"/>
      <x:c r="B198" s="75"/>
      <x:c r="C198" s="87"/>
      <x:c r="D198" s="66"/>
      <x:c r="E198" s="111"/>
      <x:c r="F198" s="75"/>
      <x:c r="G198" s="75"/>
      <x:c r="H198" s="75"/>
      <x:c r="I198" s="75"/>
      <x:c r="J198" s="69"/>
      <x:c r="K198" s="70"/>
    </x:row>
    <x:row r="199">
      <x:c r="A199" s="65"/>
      <x:c r="B199" s="75"/>
      <x:c r="C199" s="87"/>
      <x:c r="D199" s="66"/>
      <x:c r="E199" s="111"/>
      <x:c r="F199" s="75"/>
      <x:c r="G199" s="75"/>
      <x:c r="H199" s="75"/>
      <x:c r="I199" s="75"/>
      <x:c r="J199" s="69"/>
      <x:c r="K199" s="70"/>
    </x:row>
    <x:row r="200">
      <x:c r="A200" s="65"/>
      <x:c r="B200" s="75"/>
      <x:c r="C200" s="87"/>
      <x:c r="D200" s="66"/>
      <x:c r="E200" s="111"/>
      <x:c r="F200" s="75"/>
      <x:c r="G200" s="75"/>
      <x:c r="H200" s="75"/>
      <x:c r="I200" s="75"/>
      <x:c r="J200" s="69"/>
      <x:c r="K200" s="70"/>
    </x:row>
    <x:row r="201">
      <x:c r="A201" s="65"/>
      <x:c r="B201" s="75"/>
      <x:c r="C201" s="87"/>
      <x:c r="D201" s="66"/>
      <x:c r="E201" s="111"/>
      <x:c r="F201" s="75"/>
      <x:c r="G201" s="75"/>
      <x:c r="H201" s="75"/>
      <x:c r="I201" s="75"/>
      <x:c r="J201" s="69"/>
      <x:c r="K201" s="70"/>
    </x:row>
    <x:row r="202">
      <x:c r="A202" s="65"/>
      <x:c r="B202" s="75"/>
      <x:c r="C202" s="87"/>
      <x:c r="D202" s="66"/>
      <x:c r="E202" s="111"/>
      <x:c r="F202" s="75"/>
      <x:c r="G202" s="75"/>
      <x:c r="H202" s="75"/>
      <x:c r="I202" s="75"/>
      <x:c r="J202" s="69"/>
      <x:c r="K202" s="70"/>
    </x:row>
    <x:row r="203">
      <x:c r="A203" s="65"/>
      <x:c r="B203" s="75"/>
      <x:c r="C203" s="87"/>
      <x:c r="D203" s="66"/>
      <x:c r="E203" s="111"/>
      <x:c r="F203" s="75"/>
      <x:c r="G203" s="75"/>
      <x:c r="H203" s="75"/>
      <x:c r="I203" s="75"/>
      <x:c r="J203" s="69"/>
      <x:c r="K203" s="70"/>
    </x:row>
    <x:row r="204">
      <x:c r="A204" s="65"/>
      <x:c r="B204" s="75"/>
      <x:c r="C204" s="87"/>
      <x:c r="D204" s="66"/>
      <x:c r="E204" s="111"/>
      <x:c r="F204" s="75"/>
      <x:c r="G204" s="75"/>
      <x:c r="H204" s="75"/>
      <x:c r="I204" s="75"/>
      <x:c r="J204" s="69"/>
      <x:c r="K204" s="70"/>
    </x:row>
    <x:row r="205">
      <x:c r="A205" s="65"/>
      <x:c r="B205" s="75"/>
      <x:c r="C205" s="87"/>
      <x:c r="D205" s="66"/>
      <x:c r="E205" s="111"/>
      <x:c r="F205" s="75"/>
      <x:c r="G205" s="75"/>
      <x:c r="H205" s="75"/>
      <x:c r="I205" s="75"/>
      <x:c r="J205" s="69"/>
      <x:c r="K205" s="70"/>
    </x:row>
    <x:row r="206">
      <x:c r="A206" s="65"/>
      <x:c r="B206" s="75"/>
      <x:c r="C206" s="87"/>
      <x:c r="D206" s="66"/>
      <x:c r="E206" s="111"/>
      <x:c r="F206" s="75"/>
      <x:c r="G206" s="75"/>
      <x:c r="H206" s="75"/>
      <x:c r="I206" s="75"/>
      <x:c r="J206" s="69"/>
      <x:c r="K206" s="70"/>
    </x:row>
    <x:row r="207">
      <x:c r="A207" s="65"/>
      <x:c r="B207" s="75"/>
      <x:c r="C207" s="87"/>
      <x:c r="D207" s="66"/>
      <x:c r="E207" s="111"/>
      <x:c r="F207" s="75"/>
      <x:c r="G207" s="75"/>
      <x:c r="H207" s="75"/>
      <x:c r="I207" s="75"/>
      <x:c r="J207" s="69"/>
      <x:c r="K207" s="70"/>
    </x:row>
    <x:row r="208">
      <x:c r="A208" s="65"/>
      <x:c r="B208" s="75"/>
      <x:c r="C208" s="87"/>
      <x:c r="D208" s="66"/>
      <x:c r="E208" s="111"/>
      <x:c r="F208" s="75"/>
      <x:c r="G208" s="75"/>
      <x:c r="H208" s="75"/>
      <x:c r="I208" s="75"/>
      <x:c r="J208" s="69"/>
      <x:c r="K208" s="70"/>
    </x:row>
    <x:row r="209">
      <x:c r="A209" s="65"/>
      <x:c r="B209" s="75"/>
      <x:c r="C209" s="87"/>
      <x:c r="D209" s="66"/>
      <x:c r="E209" s="111"/>
      <x:c r="F209" s="75"/>
      <x:c r="G209" s="75"/>
      <x:c r="H209" s="75"/>
      <x:c r="I209" s="75"/>
      <x:c r="J209" s="69"/>
      <x:c r="K209" s="70"/>
    </x:row>
    <x:row r="210">
      <x:c r="A210" s="65"/>
      <x:c r="B210" s="75"/>
      <x:c r="C210" s="87"/>
      <x:c r="D210" s="66"/>
      <x:c r="E210" s="111"/>
      <x:c r="F210" s="75"/>
      <x:c r="G210" s="75"/>
      <x:c r="H210" s="75"/>
      <x:c r="I210" s="75"/>
      <x:c r="J210" s="70"/>
      <x:c r="K210" s="70"/>
    </x:row>
    <x:row r="211">
      <x:c r="A211" s="65"/>
      <x:c r="B211" s="75"/>
      <x:c r="C211" s="87"/>
      <x:c r="D211" s="66"/>
      <x:c r="E211" s="111"/>
      <x:c r="F211" s="75"/>
      <x:c r="G211" s="75"/>
      <x:c r="H211" s="75"/>
      <x:c r="I211" s="75"/>
      <x:c r="J211" s="70"/>
      <x:c r="K211" s="70"/>
    </x:row>
    <x:row r="212">
      <x:c r="A212" s="65"/>
      <x:c r="B212" s="75"/>
      <x:c r="C212" s="87"/>
      <x:c r="D212" s="66"/>
      <x:c r="E212" s="111"/>
      <x:c r="F212" s="75"/>
      <x:c r="G212" s="75"/>
      <x:c r="H212" s="75"/>
      <x:c r="I212" s="75"/>
      <x:c r="J212" s="70"/>
      <x:c r="K212" s="70"/>
    </x:row>
    <x:row r="213">
      <x:c r="A213" s="65"/>
      <x:c r="B213" s="75"/>
      <x:c r="C213" s="87"/>
      <x:c r="D213" s="66"/>
      <x:c r="E213" s="111"/>
      <x:c r="F213" s="75"/>
      <x:c r="G213" s="75"/>
      <x:c r="H213" s="75"/>
      <x:c r="I213" s="75"/>
      <x:c r="J213" s="69"/>
      <x:c r="K213" s="70"/>
    </x:row>
    <x:row r="214">
      <x:c r="A214" s="65"/>
      <x:c r="B214" s="75"/>
      <x:c r="C214" s="87"/>
      <x:c r="D214" s="66"/>
      <x:c r="E214" s="111"/>
      <x:c r="F214" s="75"/>
      <x:c r="G214" s="75"/>
      <x:c r="H214" s="75"/>
      <x:c r="I214" s="75"/>
      <x:c r="J214" s="69"/>
      <x:c r="K214" s="70"/>
    </x:row>
    <x:row r="215">
      <x:c r="A215" s="65"/>
      <x:c r="B215" s="75"/>
      <x:c r="C215" s="87"/>
      <x:c r="D215" s="66"/>
      <x:c r="E215" s="111"/>
      <x:c r="F215" s="75"/>
      <x:c r="G215" s="75"/>
      <x:c r="H215" s="75"/>
      <x:c r="I215" s="75"/>
      <x:c r="J215" s="69"/>
      <x:c r="K215" s="70"/>
    </x:row>
    <x:row r="216">
      <x:c r="A216" s="65"/>
      <x:c r="B216" s="75"/>
      <x:c r="C216" s="87"/>
      <x:c r="D216" s="66"/>
      <x:c r="E216" s="111"/>
      <x:c r="F216" s="75"/>
      <x:c r="G216" s="75"/>
      <x:c r="H216" s="75"/>
      <x:c r="I216" s="75"/>
      <x:c r="J216" s="70"/>
      <x:c r="K216" s="70"/>
    </x:row>
    <x:row r="217">
      <x:c r="A217" s="65"/>
      <x:c r="B217" s="75"/>
      <x:c r="C217" s="87"/>
      <x:c r="D217" s="66"/>
      <x:c r="E217" s="111"/>
      <x:c r="F217" s="75"/>
      <x:c r="G217" s="75"/>
      <x:c r="H217" s="75"/>
      <x:c r="I217" s="75"/>
      <x:c r="J217" s="70"/>
      <x:c r="K217" s="70"/>
    </x:row>
    <x:row r="218">
      <x:c r="A218" s="65"/>
      <x:c r="B218" s="75"/>
      <x:c r="C218" s="87"/>
      <x:c r="D218" s="66"/>
      <x:c r="E218" s="111"/>
      <x:c r="F218" s="75"/>
      <x:c r="G218" s="75"/>
      <x:c r="H218" s="75"/>
      <x:c r="I218" s="75"/>
      <x:c r="J218" s="70"/>
      <x:c r="K218" s="70"/>
    </x:row>
    <x:row r="219">
      <x:c r="A219" s="65"/>
      <x:c r="B219" s="75"/>
      <x:c r="C219" s="87"/>
      <x:c r="D219" s="66"/>
      <x:c r="E219" s="111"/>
      <x:c r="F219" s="75"/>
      <x:c r="G219" s="75"/>
      <x:c r="H219" s="75"/>
      <x:c r="I219" s="75"/>
      <x:c r="J219" s="69"/>
      <x:c r="K219" s="70"/>
    </x:row>
    <x:row r="220">
      <x:c r="A220" s="65"/>
      <x:c r="B220" s="75"/>
      <x:c r="C220" s="87"/>
      <x:c r="D220" s="66"/>
      <x:c r="E220" s="111"/>
      <x:c r="F220" s="75"/>
      <x:c r="G220" s="75"/>
      <x:c r="H220" s="75"/>
      <x:c r="I220" s="75"/>
      <x:c r="J220" s="69"/>
      <x:c r="K220" s="70"/>
    </x:row>
    <x:row r="221">
      <x:c r="A221" s="65"/>
      <x:c r="B221" s="75"/>
      <x:c r="C221" s="87"/>
      <x:c r="D221" s="66"/>
      <x:c r="E221" s="111"/>
      <x:c r="F221" s="75"/>
      <x:c r="G221" s="75"/>
      <x:c r="H221" s="75"/>
      <x:c r="I221" s="75"/>
      <x:c r="J221" s="69"/>
      <x:c r="K221" s="70"/>
    </x:row>
    <x:row r="222">
      <x:c r="A222" s="65"/>
      <x:c r="B222" s="75"/>
      <x:c r="C222" s="87"/>
      <x:c r="D222" s="66"/>
      <x:c r="E222" s="111"/>
      <x:c r="F222" s="75"/>
      <x:c r="G222" s="75"/>
      <x:c r="H222" s="75"/>
      <x:c r="I222" s="75"/>
      <x:c r="J222" s="70"/>
      <x:c r="K222" s="70"/>
    </x:row>
    <x:row r="223">
      <x:c r="A223" s="65"/>
      <x:c r="B223" s="75"/>
      <x:c r="C223" s="87"/>
      <x:c r="D223" s="66"/>
      <x:c r="E223" s="111"/>
      <x:c r="F223" s="75"/>
      <x:c r="G223" s="75"/>
      <x:c r="H223" s="75"/>
      <x:c r="I223" s="75"/>
      <x:c r="J223" s="70"/>
      <x:c r="K223" s="70"/>
    </x:row>
    <x:row r="224">
      <x:c r="A224" s="65"/>
      <x:c r="B224" s="75"/>
      <x:c r="C224" s="87"/>
      <x:c r="D224" s="66"/>
      <x:c r="E224" s="111"/>
      <x:c r="F224" s="75"/>
      <x:c r="G224" s="75"/>
      <x:c r="H224" s="75"/>
      <x:c r="I224" s="75"/>
      <x:c r="J224" s="69"/>
      <x:c r="K224" s="70"/>
    </x:row>
    <x:row r="225">
      <x:c r="A225" s="65"/>
      <x:c r="B225" s="75"/>
      <x:c r="C225" s="87"/>
      <x:c r="D225" s="66"/>
      <x:c r="E225" s="111"/>
      <x:c r="F225" s="75"/>
      <x:c r="G225" s="75"/>
      <x:c r="H225" s="75"/>
      <x:c r="I225" s="75"/>
      <x:c r="J225" s="69"/>
      <x:c r="K225" s="70"/>
    </x:row>
    <x:row r="226">
      <x:c r="A226" s="65"/>
      <x:c r="B226" s="75"/>
      <x:c r="C226" s="87"/>
      <x:c r="D226" s="66"/>
      <x:c r="E226" s="111"/>
      <x:c r="F226" s="75"/>
      <x:c r="G226" s="75"/>
      <x:c r="H226" s="75"/>
      <x:c r="I226" s="75"/>
      <x:c r="J226" s="70"/>
      <x:c r="K226" s="70"/>
    </x:row>
    <x:row r="227">
      <x:c r="A227" s="65"/>
      <x:c r="B227" s="75"/>
      <x:c r="C227" s="87"/>
      <x:c r="D227" s="66"/>
      <x:c r="E227" s="111"/>
      <x:c r="F227" s="75"/>
      <x:c r="G227" s="75"/>
      <x:c r="H227" s="75"/>
      <x:c r="I227" s="75"/>
      <x:c r="J227" s="70"/>
      <x:c r="K227" s="70"/>
    </x:row>
    <x:row r="228">
      <x:c r="A228" s="65"/>
      <x:c r="B228" s="75"/>
      <x:c r="C228" s="87"/>
      <x:c r="D228" s="66"/>
      <x:c r="E228" s="111"/>
      <x:c r="F228" s="75"/>
      <x:c r="G228" s="75"/>
      <x:c r="H228" s="75"/>
      <x:c r="I228" s="75"/>
      <x:c r="J228" s="70"/>
      <x:c r="K228" s="70"/>
    </x:row>
    <x:row r="229">
      <x:c r="A229" s="65"/>
      <x:c r="B229" s="75"/>
      <x:c r="C229" s="87"/>
      <x:c r="D229" s="66"/>
      <x:c r="E229" s="111"/>
      <x:c r="F229" s="75"/>
      <x:c r="G229" s="75"/>
      <x:c r="H229" s="75"/>
      <x:c r="I229" s="75"/>
      <x:c r="J229" s="70"/>
      <x:c r="K229" s="70"/>
    </x:row>
    <x:row r="230">
      <x:c r="A230" s="65"/>
      <x:c r="B230" s="75"/>
      <x:c r="C230" s="87"/>
      <x:c r="D230" s="66"/>
      <x:c r="E230" s="111"/>
      <x:c r="F230" s="75"/>
      <x:c r="G230" s="75"/>
      <x:c r="H230" s="75"/>
      <x:c r="I230" s="75"/>
      <x:c r="J230" s="69"/>
      <x:c r="K230" s="70"/>
    </x:row>
    <x:row r="231">
      <x:c r="A231" s="65"/>
      <x:c r="B231" s="75"/>
      <x:c r="C231" s="87"/>
      <x:c r="D231" s="66"/>
      <x:c r="E231" s="111"/>
      <x:c r="F231" s="75"/>
      <x:c r="G231" s="75"/>
      <x:c r="H231" s="75"/>
      <x:c r="I231" s="75"/>
      <x:c r="J231" s="69"/>
      <x:c r="K231" s="70"/>
    </x:row>
    <x:row r="232">
      <x:c r="A232" s="65"/>
      <x:c r="B232" s="75"/>
      <x:c r="C232" s="87"/>
      <x:c r="D232" s="66"/>
      <x:c r="E232" s="111"/>
      <x:c r="F232" s="75"/>
      <x:c r="G232" s="75"/>
      <x:c r="H232" s="75"/>
      <x:c r="I232" s="75"/>
      <x:c r="J232" s="69"/>
      <x:c r="K232" s="70"/>
    </x:row>
    <x:row r="233">
      <x:c r="A233" s="65"/>
      <x:c r="B233" s="75"/>
      <x:c r="C233" s="87"/>
      <x:c r="D233" s="66"/>
      <x:c r="E233" s="111"/>
      <x:c r="F233" s="75"/>
      <x:c r="G233" s="75"/>
      <x:c r="H233" s="75"/>
      <x:c r="I233" s="75"/>
      <x:c r="J233" s="69"/>
      <x:c r="K233" s="70"/>
    </x:row>
    <x:row r="234">
      <x:c r="A234" s="65"/>
      <x:c r="B234" s="75"/>
      <x:c r="C234" s="87"/>
      <x:c r="D234" s="66"/>
      <x:c r="E234" s="111"/>
      <x:c r="F234" s="75"/>
      <x:c r="G234" s="75"/>
      <x:c r="H234" s="75"/>
      <x:c r="I234" s="75"/>
      <x:c r="J234" s="69"/>
      <x:c r="K234" s="70"/>
    </x:row>
    <x:row r="235">
      <x:c r="A235" s="65"/>
      <x:c r="B235" s="75"/>
      <x:c r="C235" s="87"/>
      <x:c r="D235" s="66"/>
      <x:c r="E235" s="111"/>
      <x:c r="F235" s="75"/>
      <x:c r="G235" s="75"/>
      <x:c r="H235" s="75"/>
      <x:c r="I235" s="75"/>
      <x:c r="J235" s="69"/>
      <x:c r="K235" s="70"/>
    </x:row>
    <x:row r="236">
      <x:c r="A236" s="65"/>
      <x:c r="B236" s="75"/>
      <x:c r="C236" s="87"/>
      <x:c r="D236" s="66"/>
      <x:c r="E236" s="111"/>
      <x:c r="F236" s="75"/>
      <x:c r="G236" s="75"/>
      <x:c r="H236" s="75"/>
      <x:c r="I236" s="75"/>
      <x:c r="J236" s="69"/>
      <x:c r="K236" s="70"/>
    </x:row>
    <x:row r="237">
      <x:c r="A237" s="65"/>
      <x:c r="B237" s="75"/>
      <x:c r="C237" s="87"/>
      <x:c r="D237" s="66"/>
      <x:c r="E237" s="111"/>
      <x:c r="F237" s="75"/>
      <x:c r="G237" s="75"/>
      <x:c r="H237" s="75"/>
      <x:c r="I237" s="75"/>
      <x:c r="J237" s="69"/>
      <x:c r="K237" s="70"/>
    </x:row>
    <x:row r="238">
      <x:c r="A238" s="65"/>
      <x:c r="B238" s="75"/>
      <x:c r="C238" s="87"/>
      <x:c r="D238" s="66"/>
      <x:c r="E238" s="111"/>
      <x:c r="F238" s="75"/>
      <x:c r="G238" s="75"/>
      <x:c r="H238" s="75"/>
      <x:c r="I238" s="75"/>
      <x:c r="J238" s="69"/>
      <x:c r="K238" s="70"/>
    </x:row>
    <x:row r="239">
      <x:c r="A239" s="65"/>
      <x:c r="B239" s="75"/>
      <x:c r="C239" s="87"/>
      <x:c r="D239" s="66"/>
      <x:c r="E239" s="111"/>
      <x:c r="F239" s="75"/>
      <x:c r="G239" s="75"/>
      <x:c r="H239" s="75"/>
      <x:c r="I239" s="75"/>
      <x:c r="J239" s="69"/>
      <x:c r="K239" s="70"/>
    </x:row>
    <x:row r="240">
      <x:c r="A240" s="65"/>
      <x:c r="B240" s="75"/>
      <x:c r="C240" s="87"/>
      <x:c r="D240" s="66"/>
      <x:c r="E240" s="111"/>
      <x:c r="F240" s="75"/>
      <x:c r="G240" s="75"/>
      <x:c r="H240" s="75"/>
      <x:c r="I240" s="75"/>
      <x:c r="J240" s="69"/>
      <x:c r="K240" s="70"/>
    </x:row>
    <x:row r="241">
      <x:c r="A241" s="65"/>
      <x:c r="B241" s="75"/>
      <x:c r="C241" s="87"/>
      <x:c r="D241" s="66"/>
      <x:c r="E241" s="111"/>
      <x:c r="F241" s="75"/>
      <x:c r="G241" s="75"/>
      <x:c r="H241" s="75"/>
      <x:c r="I241" s="75"/>
      <x:c r="J241" s="69"/>
      <x:c r="K241" s="70"/>
    </x:row>
    <x:row r="242">
      <x:c r="A242" s="65"/>
      <x:c r="B242" s="75"/>
      <x:c r="C242" s="87"/>
      <x:c r="D242" s="66"/>
      <x:c r="E242" s="111"/>
      <x:c r="F242" s="75"/>
      <x:c r="G242" s="75"/>
      <x:c r="H242" s="75"/>
      <x:c r="I242" s="75"/>
      <x:c r="J242" s="69"/>
      <x:c r="K242" s="70"/>
    </x:row>
    <x:row r="243">
      <x:c r="A243" s="65"/>
      <x:c r="B243" s="75"/>
      <x:c r="C243" s="87"/>
      <x:c r="D243" s="66"/>
      <x:c r="E243" s="111"/>
      <x:c r="F243" s="75"/>
      <x:c r="G243" s="75"/>
      <x:c r="H243" s="75"/>
      <x:c r="I243" s="75"/>
      <x:c r="J243" s="69"/>
      <x:c r="K243" s="70"/>
    </x:row>
    <x:row r="244">
      <x:c r="A244" s="65"/>
      <x:c r="B244" s="75"/>
      <x:c r="C244" s="87"/>
      <x:c r="D244" s="66"/>
      <x:c r="E244" s="111"/>
      <x:c r="F244" s="75"/>
      <x:c r="G244" s="75"/>
      <x:c r="H244" s="75"/>
      <x:c r="I244" s="75"/>
      <x:c r="J244" s="70"/>
      <x:c r="K244" s="70"/>
    </x:row>
    <x:row r="245">
      <x:c r="A245" s="65"/>
      <x:c r="B245" s="75"/>
      <x:c r="C245" s="87"/>
      <x:c r="D245" s="66"/>
      <x:c r="E245" s="111"/>
      <x:c r="F245" s="75"/>
      <x:c r="G245" s="75"/>
      <x:c r="H245" s="75"/>
      <x:c r="I245" s="75"/>
      <x:c r="J245" s="69"/>
      <x:c r="K245" s="70"/>
    </x:row>
    <x:row r="246">
      <x:c r="A246" s="65"/>
      <x:c r="B246" s="75"/>
      <x:c r="C246" s="87"/>
      <x:c r="D246" s="66"/>
      <x:c r="E246" s="111"/>
      <x:c r="F246" s="75"/>
      <x:c r="G246" s="75"/>
      <x:c r="H246" s="75"/>
      <x:c r="I246" s="75"/>
      <x:c r="J246" s="69"/>
      <x:c r="K246" s="70"/>
    </x:row>
    <x:row r="247">
      <x:c r="A247" s="65"/>
      <x:c r="B247" s="75"/>
      <x:c r="C247" s="87"/>
      <x:c r="D247" s="66"/>
      <x:c r="E247" s="111"/>
      <x:c r="F247" s="75"/>
      <x:c r="G247" s="75"/>
      <x:c r="H247" s="75"/>
      <x:c r="I247" s="75"/>
      <x:c r="J247" s="69"/>
      <x:c r="K247" s="70"/>
    </x:row>
    <x:row r="248">
      <x:c r="A248" s="65"/>
      <x:c r="B248" s="75"/>
      <x:c r="C248" s="87"/>
      <x:c r="D248" s="66"/>
      <x:c r="E248" s="111"/>
      <x:c r="F248" s="75"/>
      <x:c r="G248" s="75"/>
      <x:c r="H248" s="75"/>
      <x:c r="I248" s="75"/>
      <x:c r="J248" s="69"/>
      <x:c r="K248" s="70"/>
    </x:row>
    <x:row r="249">
      <x:c r="A249" s="65"/>
      <x:c r="B249" s="75"/>
      <x:c r="C249" s="87"/>
      <x:c r="D249" s="66"/>
      <x:c r="E249" s="111"/>
      <x:c r="F249" s="75"/>
      <x:c r="G249" s="75"/>
      <x:c r="H249" s="75"/>
      <x:c r="I249" s="75"/>
      <x:c r="J249" s="69"/>
      <x:c r="K249" s="70"/>
    </x:row>
    <x:row r="250">
      <x:c r="A250" s="65"/>
      <x:c r="B250" s="75"/>
      <x:c r="C250" s="87"/>
      <x:c r="D250" s="66"/>
      <x:c r="E250" s="111"/>
      <x:c r="F250" s="75"/>
      <x:c r="G250" s="75"/>
      <x:c r="H250" s="75"/>
      <x:c r="I250" s="75"/>
      <x:c r="J250" s="69"/>
      <x:c r="K250" s="70"/>
    </x:row>
    <x:row r="251">
      <x:c r="A251" s="65"/>
      <x:c r="B251" s="75"/>
      <x:c r="C251" s="87"/>
      <x:c r="D251" s="66"/>
      <x:c r="E251" s="111"/>
      <x:c r="F251" s="75"/>
      <x:c r="G251" s="75"/>
      <x:c r="H251" s="75"/>
      <x:c r="I251" s="75"/>
      <x:c r="J251" s="70"/>
      <x:c r="K251" s="70"/>
    </x:row>
    <x:row r="252">
      <x:c r="A252" s="65"/>
      <x:c r="B252" s="75"/>
      <x:c r="C252" s="87"/>
      <x:c r="D252" s="66"/>
      <x:c r="E252" s="111"/>
      <x:c r="F252" s="75"/>
      <x:c r="G252" s="75"/>
      <x:c r="H252" s="75"/>
      <x:c r="I252" s="75"/>
      <x:c r="J252" s="70"/>
      <x:c r="K252" s="70"/>
    </x:row>
    <x:row r="253">
      <x:c r="A253" s="65"/>
      <x:c r="B253" s="75"/>
      <x:c r="C253" s="87"/>
      <x:c r="D253" s="66"/>
      <x:c r="E253" s="111"/>
      <x:c r="F253" s="75"/>
      <x:c r="G253" s="75"/>
      <x:c r="H253" s="75"/>
      <x:c r="I253" s="75"/>
      <x:c r="J253" s="70"/>
      <x:c r="K253" s="70"/>
    </x:row>
    <x:row r="254">
      <x:c r="A254" s="65"/>
      <x:c r="B254" s="75"/>
      <x:c r="C254" s="87"/>
      <x:c r="D254" s="66"/>
      <x:c r="E254" s="111"/>
      <x:c r="F254" s="75"/>
      <x:c r="G254" s="75"/>
      <x:c r="H254" s="75"/>
      <x:c r="I254" s="75"/>
      <x:c r="J254" s="70"/>
      <x:c r="K254" s="70"/>
    </x:row>
    <x:row r="255">
      <x:c r="A255" s="65"/>
      <x:c r="B255" s="75"/>
      <x:c r="C255" s="87"/>
      <x:c r="D255" s="66"/>
      <x:c r="E255" s="111"/>
      <x:c r="F255" s="75"/>
      <x:c r="G255" s="75"/>
      <x:c r="H255" s="75"/>
      <x:c r="I255" s="75"/>
      <x:c r="J255" s="70"/>
      <x:c r="K255" s="70"/>
    </x:row>
    <x:row r="256">
      <x:c r="A256" s="65"/>
      <x:c r="B256" s="75"/>
      <x:c r="C256" s="87"/>
      <x:c r="D256" s="66"/>
      <x:c r="E256" s="111"/>
      <x:c r="F256" s="75"/>
      <x:c r="G256" s="75"/>
      <x:c r="H256" s="75"/>
      <x:c r="I256" s="75"/>
      <x:c r="J256" s="70"/>
      <x:c r="K256" s="70"/>
    </x:row>
    <x:row r="257">
      <x:c r="A257" s="65"/>
      <x:c r="B257" s="75"/>
      <x:c r="C257" s="87"/>
      <x:c r="D257" s="66"/>
      <x:c r="E257" s="111"/>
      <x:c r="F257" s="75"/>
      <x:c r="G257" s="75"/>
      <x:c r="H257" s="75"/>
      <x:c r="I257" s="75"/>
      <x:c r="J257" s="70"/>
      <x:c r="K257" s="70"/>
    </x:row>
    <x:row r="258">
      <x:c r="A258" s="65"/>
      <x:c r="B258" s="75"/>
      <x:c r="C258" s="87"/>
      <x:c r="D258" s="66"/>
      <x:c r="E258" s="111"/>
      <x:c r="F258" s="75"/>
      <x:c r="G258" s="75"/>
      <x:c r="H258" s="75"/>
      <x:c r="I258" s="75"/>
      <x:c r="J258" s="70"/>
      <x:c r="K258" s="70"/>
    </x:row>
    <x:row r="259">
      <x:c r="A259" s="65"/>
      <x:c r="B259" s="75"/>
      <x:c r="C259" s="87"/>
      <x:c r="D259" s="66"/>
      <x:c r="E259" s="111"/>
      <x:c r="F259" s="75"/>
      <x:c r="G259" s="75"/>
      <x:c r="H259" s="75"/>
      <x:c r="I259" s="75"/>
      <x:c r="J259" s="70"/>
      <x:c r="K259" s="70"/>
    </x:row>
    <x:row r="260">
      <x:c r="A260" s="65"/>
      <x:c r="B260" s="75"/>
      <x:c r="C260" s="87"/>
      <x:c r="D260" s="66"/>
      <x:c r="E260" s="111"/>
      <x:c r="F260" s="75"/>
      <x:c r="G260" s="75"/>
      <x:c r="H260" s="75"/>
      <x:c r="I260" s="75"/>
      <x:c r="J260" s="70"/>
      <x:c r="K260" s="70"/>
    </x:row>
    <x:row r="261">
      <x:c r="A261" s="65"/>
      <x:c r="B261" s="75"/>
      <x:c r="C261" s="87"/>
      <x:c r="D261" s="66"/>
      <x:c r="E261" s="111"/>
      <x:c r="F261" s="75"/>
      <x:c r="G261" s="75"/>
      <x:c r="H261" s="75"/>
      <x:c r="I261" s="75"/>
      <x:c r="J261" s="70"/>
      <x:c r="K261" s="70"/>
    </x:row>
    <x:row r="262">
      <x:c r="A262" s="65"/>
      <x:c r="B262" s="75"/>
      <x:c r="C262" s="87"/>
      <x:c r="D262" s="66"/>
      <x:c r="E262" s="111"/>
      <x:c r="F262" s="75"/>
      <x:c r="G262" s="75"/>
      <x:c r="H262" s="75"/>
      <x:c r="I262" s="75"/>
      <x:c r="J262" s="70"/>
      <x:c r="K262" s="70"/>
    </x:row>
    <x:row r="263">
      <x:c r="A263" s="65"/>
      <x:c r="B263" s="75"/>
      <x:c r="C263" s="87"/>
      <x:c r="D263" s="66"/>
      <x:c r="E263" s="111"/>
      <x:c r="F263" s="75"/>
      <x:c r="G263" s="75"/>
      <x:c r="H263" s="75"/>
      <x:c r="I263" s="75"/>
      <x:c r="J263" s="70"/>
      <x:c r="K263" s="70"/>
    </x:row>
    <x:row r="264">
      <x:c r="A264" s="65"/>
      <x:c r="B264" s="75"/>
      <x:c r="C264" s="87"/>
      <x:c r="D264" s="66"/>
      <x:c r="E264" s="111"/>
      <x:c r="F264" s="75"/>
      <x:c r="G264" s="75"/>
      <x:c r="H264" s="75"/>
      <x:c r="I264" s="75"/>
      <x:c r="J264" s="70"/>
      <x:c r="K264" s="70"/>
    </x:row>
    <x:row r="265">
      <x:c r="A265" s="65"/>
      <x:c r="B265" s="75"/>
      <x:c r="C265" s="87"/>
      <x:c r="D265" s="66"/>
      <x:c r="E265" s="111"/>
      <x:c r="F265" s="75"/>
      <x:c r="G265" s="75"/>
      <x:c r="H265" s="75"/>
      <x:c r="I265" s="75"/>
      <x:c r="J265" s="70"/>
      <x:c r="K265" s="70"/>
    </x:row>
    <x:row r="266">
      <x:c r="A266" s="65"/>
      <x:c r="B266" s="75"/>
      <x:c r="C266" s="87"/>
      <x:c r="D266" s="66"/>
      <x:c r="E266" s="111"/>
      <x:c r="F266" s="75"/>
      <x:c r="G266" s="75"/>
      <x:c r="H266" s="75"/>
      <x:c r="I266" s="75"/>
      <x:c r="J266" s="70"/>
      <x:c r="K266" s="70"/>
    </x:row>
    <x:row r="267">
      <x:c r="A267" s="65"/>
      <x:c r="B267" s="75"/>
      <x:c r="C267" s="87"/>
      <x:c r="D267" s="66"/>
      <x:c r="E267" s="111"/>
      <x:c r="F267" s="75"/>
      <x:c r="G267" s="75"/>
      <x:c r="H267" s="75"/>
      <x:c r="I267" s="75"/>
      <x:c r="J267" s="70"/>
      <x:c r="K267" s="70"/>
    </x:row>
    <x:row r="268">
      <x:c r="A268" s="65"/>
      <x:c r="B268" s="75"/>
      <x:c r="C268" s="87"/>
      <x:c r="D268" s="66"/>
      <x:c r="E268" s="111"/>
      <x:c r="F268" s="75"/>
      <x:c r="G268" s="75"/>
      <x:c r="H268" s="75"/>
      <x:c r="I268" s="75"/>
      <x:c r="J268" s="70"/>
      <x:c r="K268" s="70"/>
    </x:row>
    <x:row r="269">
      <x:c r="A269" s="65"/>
      <x:c r="B269" s="75"/>
      <x:c r="C269" s="87"/>
      <x:c r="D269" s="66"/>
      <x:c r="E269" s="111"/>
      <x:c r="F269" s="75"/>
      <x:c r="G269" s="75"/>
      <x:c r="H269" s="75"/>
      <x:c r="I269" s="75"/>
      <x:c r="J269" s="70"/>
      <x:c r="K269" s="70"/>
    </x:row>
    <x:row r="270">
      <x:c r="A270" s="65"/>
      <x:c r="B270" s="75"/>
      <x:c r="C270" s="87"/>
      <x:c r="D270" s="66"/>
      <x:c r="E270" s="111"/>
      <x:c r="F270" s="75"/>
      <x:c r="G270" s="75"/>
      <x:c r="H270" s="75"/>
      <x:c r="I270" s="75"/>
      <x:c r="J270" s="70"/>
      <x:c r="K270" s="70"/>
    </x:row>
    <x:row r="271">
      <x:c r="A271" s="65"/>
      <x:c r="B271" s="75"/>
      <x:c r="C271" s="87"/>
      <x:c r="D271" s="66"/>
      <x:c r="E271" s="111"/>
      <x:c r="F271" s="75"/>
      <x:c r="G271" s="75"/>
      <x:c r="H271" s="75"/>
      <x:c r="I271" s="75"/>
      <x:c r="J271" s="70"/>
      <x:c r="K271" s="70"/>
    </x:row>
    <x:row r="272">
      <x:c r="A272" s="65"/>
      <x:c r="B272" s="75"/>
      <x:c r="C272" s="87"/>
      <x:c r="D272" s="66"/>
      <x:c r="E272" s="111"/>
      <x:c r="F272" s="75"/>
      <x:c r="G272" s="75"/>
      <x:c r="H272" s="75"/>
      <x:c r="I272" s="75"/>
      <x:c r="J272" s="70"/>
      <x:c r="K272" s="70"/>
    </x:row>
    <x:row r="273">
      <x:c r="A273" s="65"/>
      <x:c r="B273" s="75"/>
      <x:c r="C273" s="87"/>
      <x:c r="D273" s="66"/>
      <x:c r="E273" s="111"/>
      <x:c r="F273" s="75"/>
      <x:c r="G273" s="75"/>
      <x:c r="H273" s="75"/>
      <x:c r="I273" s="75"/>
      <x:c r="J273" s="70"/>
      <x:c r="K273" s="70"/>
    </x:row>
    <x:row r="274">
      <x:c r="A274" s="65"/>
      <x:c r="B274" s="75"/>
      <x:c r="C274" s="87"/>
      <x:c r="D274" s="66"/>
      <x:c r="E274" s="111"/>
      <x:c r="F274" s="75"/>
      <x:c r="G274" s="75"/>
      <x:c r="H274" s="75"/>
      <x:c r="I274" s="75"/>
      <x:c r="J274" s="70"/>
      <x:c r="K274" s="70"/>
    </x:row>
    <x:row r="275">
      <x:c r="A275" s="65"/>
      <x:c r="B275" s="75"/>
      <x:c r="C275" s="87"/>
      <x:c r="D275" s="66"/>
      <x:c r="E275" s="111"/>
      <x:c r="F275" s="75"/>
      <x:c r="G275" s="75"/>
      <x:c r="H275" s="75"/>
      <x:c r="I275" s="75"/>
      <x:c r="J275" s="70"/>
      <x:c r="K275" s="70"/>
    </x:row>
    <x:row r="276">
      <x:c r="A276" s="65"/>
      <x:c r="B276" s="75"/>
      <x:c r="C276" s="87"/>
      <x:c r="D276" s="66"/>
      <x:c r="E276" s="111"/>
      <x:c r="F276" s="75"/>
      <x:c r="G276" s="75"/>
      <x:c r="H276" s="75"/>
      <x:c r="I276" s="75"/>
      <x:c r="J276" s="70"/>
      <x:c r="K276" s="70"/>
    </x:row>
    <x:row r="277">
      <x:c r="A277" s="65"/>
      <x:c r="B277" s="75"/>
      <x:c r="C277" s="87"/>
      <x:c r="D277" s="66"/>
      <x:c r="E277" s="111"/>
      <x:c r="F277" s="75"/>
      <x:c r="G277" s="75"/>
      <x:c r="H277" s="75"/>
      <x:c r="I277" s="75"/>
      <x:c r="J277" s="70"/>
      <x:c r="K277" s="70"/>
    </x:row>
    <x:row r="278">
      <x:c r="A278" s="65"/>
      <x:c r="B278" s="75"/>
      <x:c r="C278" s="87"/>
      <x:c r="D278" s="66"/>
      <x:c r="E278" s="111"/>
      <x:c r="F278" s="75"/>
      <x:c r="G278" s="75"/>
      <x:c r="H278" s="75"/>
      <x:c r="I278" s="75"/>
      <x:c r="J278" s="70"/>
      <x:c r="K278" s="70"/>
    </x:row>
    <x:row r="279">
      <x:c r="A279" s="65"/>
      <x:c r="B279" s="75"/>
      <x:c r="C279" s="87"/>
      <x:c r="D279" s="66"/>
      <x:c r="E279" s="111"/>
      <x:c r="F279" s="75"/>
      <x:c r="G279" s="75"/>
      <x:c r="H279" s="75"/>
      <x:c r="I279" s="75"/>
      <x:c r="J279" s="70"/>
      <x:c r="K279" s="70"/>
    </x:row>
    <x:row r="280">
      <x:c r="A280" s="65"/>
      <x:c r="B280" s="75"/>
      <x:c r="C280" s="87"/>
      <x:c r="D280" s="66"/>
      <x:c r="E280" s="111"/>
      <x:c r="F280" s="75"/>
      <x:c r="G280" s="75"/>
      <x:c r="H280" s="75"/>
      <x:c r="I280" s="75"/>
      <x:c r="J280" s="70"/>
      <x:c r="K280" s="70"/>
    </x:row>
    <x:row r="281">
      <x:c r="A281" s="65"/>
      <x:c r="B281" s="75"/>
      <x:c r="C281" s="87"/>
      <x:c r="D281" s="66"/>
      <x:c r="E281" s="111"/>
      <x:c r="F281" s="75"/>
      <x:c r="G281" s="75"/>
      <x:c r="H281" s="75"/>
      <x:c r="I281" s="75"/>
      <x:c r="J281" s="70"/>
      <x:c r="K281" s="70"/>
    </x:row>
    <x:row r="282">
      <x:c r="A282" s="65"/>
      <x:c r="B282" s="75"/>
      <x:c r="C282" s="87"/>
      <x:c r="D282" s="66"/>
      <x:c r="E282" s="111"/>
      <x:c r="F282" s="75"/>
      <x:c r="G282" s="75"/>
      <x:c r="H282" s="75"/>
      <x:c r="I282" s="75"/>
      <x:c r="J282" s="70"/>
      <x:c r="K282" s="70"/>
    </x:row>
    <x:row r="283">
      <x:c r="A283" s="65"/>
      <x:c r="B283" s="75"/>
      <x:c r="C283" s="87"/>
      <x:c r="D283" s="66"/>
      <x:c r="E283" s="111"/>
      <x:c r="F283" s="75"/>
      <x:c r="G283" s="75"/>
      <x:c r="H283" s="75"/>
      <x:c r="I283" s="75"/>
      <x:c r="J283" s="70"/>
      <x:c r="K283" s="70"/>
    </x:row>
    <x:row r="284">
      <x:c r="A284" s="65"/>
      <x:c r="B284" s="75"/>
      <x:c r="C284" s="87"/>
      <x:c r="D284" s="66"/>
      <x:c r="E284" s="111"/>
      <x:c r="F284" s="75"/>
      <x:c r="G284" s="75"/>
      <x:c r="H284" s="75"/>
      <x:c r="I284" s="75"/>
      <x:c r="J284" s="70"/>
      <x:c r="K284" s="70"/>
    </x:row>
    <x:row r="285">
      <x:c r="A285" s="65"/>
      <x:c r="B285" s="75"/>
      <x:c r="C285" s="87"/>
      <x:c r="D285" s="66"/>
      <x:c r="E285" s="111"/>
      <x:c r="F285" s="75"/>
      <x:c r="G285" s="75"/>
      <x:c r="H285" s="75"/>
      <x:c r="I285" s="75"/>
      <x:c r="J285" s="70"/>
      <x:c r="K285" s="70"/>
    </x:row>
    <x:row r="286">
      <x:c r="A286" s="65"/>
      <x:c r="B286" s="75"/>
      <x:c r="C286" s="87"/>
      <x:c r="D286" s="66"/>
      <x:c r="E286" s="111"/>
      <x:c r="F286" s="75"/>
      <x:c r="G286" s="75"/>
      <x:c r="H286" s="75"/>
      <x:c r="I286" s="75"/>
      <x:c r="J286" s="70"/>
      <x:c r="K286" s="70"/>
    </x:row>
    <x:row r="287">
      <x:c r="A287" s="65"/>
      <x:c r="B287" s="75"/>
      <x:c r="C287" s="87"/>
      <x:c r="D287" s="66"/>
      <x:c r="E287" s="111"/>
      <x:c r="F287" s="75"/>
      <x:c r="G287" s="75"/>
      <x:c r="H287" s="75"/>
      <x:c r="I287" s="75"/>
      <x:c r="J287" s="70"/>
      <x:c r="K287" s="70"/>
    </x:row>
    <x:row r="288">
      <x:c r="A288" s="65"/>
      <x:c r="B288" s="75"/>
      <x:c r="C288" s="87"/>
      <x:c r="D288" s="66"/>
      <x:c r="E288" s="111"/>
      <x:c r="F288" s="75"/>
      <x:c r="G288" s="75"/>
      <x:c r="H288" s="75"/>
      <x:c r="I288" s="75"/>
      <x:c r="J288" s="70"/>
      <x:c r="K288" s="70"/>
    </x:row>
    <x:row r="289">
      <x:c r="A289" s="65"/>
      <x:c r="B289" s="75"/>
      <x:c r="C289" s="87"/>
      <x:c r="D289" s="66"/>
      <x:c r="E289" s="111"/>
      <x:c r="F289" s="75"/>
      <x:c r="G289" s="75"/>
      <x:c r="H289" s="75"/>
      <x:c r="I289" s="75"/>
      <x:c r="J289" s="70"/>
      <x:c r="K289" s="70"/>
    </x:row>
    <x:row r="290">
      <x:c r="A290" s="65"/>
      <x:c r="B290" s="75"/>
      <x:c r="C290" s="87"/>
      <x:c r="D290" s="66"/>
      <x:c r="E290" s="111"/>
      <x:c r="F290" s="75"/>
      <x:c r="G290" s="75"/>
      <x:c r="H290" s="75"/>
      <x:c r="I290" s="75"/>
      <x:c r="J290" s="70"/>
      <x:c r="K290" s="70"/>
    </x:row>
    <x:row r="291">
      <x:c r="A291" s="65"/>
      <x:c r="B291" s="75"/>
      <x:c r="C291" s="87"/>
      <x:c r="D291" s="66"/>
      <x:c r="E291" s="111"/>
      <x:c r="F291" s="75"/>
      <x:c r="G291" s="75"/>
      <x:c r="H291" s="75"/>
      <x:c r="I291" s="75"/>
      <x:c r="J291" s="70"/>
      <x:c r="K291" s="70"/>
    </x:row>
    <x:row r="292">
      <x:c r="A292" s="65"/>
      <x:c r="B292" s="75"/>
      <x:c r="C292" s="87"/>
      <x:c r="D292" s="66"/>
      <x:c r="E292" s="111"/>
      <x:c r="F292" s="75"/>
      <x:c r="G292" s="75"/>
      <x:c r="H292" s="75"/>
      <x:c r="I292" s="75"/>
      <x:c r="J292" s="70"/>
      <x:c r="K292" s="70"/>
    </x:row>
    <x:row r="293">
      <x:c r="A293" s="65"/>
      <x:c r="B293" s="75"/>
      <x:c r="C293" s="87"/>
      <x:c r="D293" s="66"/>
      <x:c r="E293" s="111"/>
      <x:c r="F293" s="75"/>
      <x:c r="G293" s="75"/>
      <x:c r="H293" s="75"/>
      <x:c r="I293" s="75"/>
      <x:c r="J293" s="70"/>
      <x:c r="K293" s="70"/>
    </x:row>
    <x:row r="294">
      <x:c r="A294" s="65"/>
      <x:c r="B294" s="75"/>
      <x:c r="C294" s="87"/>
      <x:c r="D294" s="66"/>
      <x:c r="E294" s="111"/>
      <x:c r="F294" s="75"/>
      <x:c r="G294" s="75"/>
      <x:c r="H294" s="75"/>
      <x:c r="I294" s="75"/>
      <x:c r="J294" s="70"/>
      <x:c r="K294" s="70"/>
    </x:row>
    <x:row r="295">
      <x:c r="A295" s="65"/>
      <x:c r="B295" s="75"/>
      <x:c r="C295" s="87"/>
      <x:c r="D295" s="66"/>
      <x:c r="E295" s="111"/>
      <x:c r="F295" s="75"/>
      <x:c r="G295" s="75"/>
      <x:c r="H295" s="75"/>
      <x:c r="I295" s="75"/>
      <x:c r="J295" s="70"/>
      <x:c r="K295" s="70"/>
    </x:row>
    <x:row r="296">
      <x:c r="A296" s="65"/>
      <x:c r="B296" s="75"/>
      <x:c r="C296" s="87"/>
      <x:c r="D296" s="66"/>
      <x:c r="E296" s="111"/>
      <x:c r="F296" s="75"/>
      <x:c r="G296" s="75"/>
      <x:c r="H296" s="75"/>
      <x:c r="I296" s="75"/>
      <x:c r="J296" s="70"/>
      <x:c r="K296" s="70"/>
    </x:row>
    <x:row r="297">
      <x:c r="A297" s="65"/>
      <x:c r="B297" s="75"/>
      <x:c r="C297" s="87"/>
      <x:c r="D297" s="66"/>
      <x:c r="E297" s="111"/>
      <x:c r="F297" s="75"/>
      <x:c r="G297" s="75"/>
      <x:c r="H297" s="75"/>
      <x:c r="I297" s="75"/>
      <x:c r="J297" s="70"/>
      <x:c r="K297" s="70"/>
    </x:row>
    <x:row r="298">
      <x:c r="A298" s="65"/>
      <x:c r="B298" s="75"/>
      <x:c r="C298" s="87"/>
      <x:c r="D298" s="66"/>
      <x:c r="E298" s="111"/>
      <x:c r="F298" s="75"/>
      <x:c r="G298" s="75"/>
      <x:c r="H298" s="75"/>
      <x:c r="I298" s="75"/>
      <x:c r="J298" s="70"/>
      <x:c r="K298" s="70"/>
    </x:row>
    <x:row r="299">
      <x:c r="A299" s="65"/>
      <x:c r="B299" s="75"/>
      <x:c r="C299" s="87"/>
      <x:c r="D299" s="66"/>
      <x:c r="E299" s="111"/>
      <x:c r="F299" s="75"/>
      <x:c r="G299" s="75"/>
      <x:c r="H299" s="75"/>
      <x:c r="I299" s="75"/>
      <x:c r="J299" s="70"/>
      <x:c r="K299" s="70"/>
    </x:row>
    <x:row r="300">
      <x:c r="A300" s="65"/>
      <x:c r="B300" s="75"/>
      <x:c r="C300" s="87"/>
      <x:c r="D300" s="66"/>
      <x:c r="E300" s="111"/>
      <x:c r="F300" s="75"/>
      <x:c r="G300" s="75"/>
      <x:c r="H300" s="75"/>
      <x:c r="I300" s="75"/>
      <x:c r="J300" s="70"/>
      <x:c r="K300" s="70"/>
    </x:row>
    <x:row r="301">
      <x:c r="A301" s="65"/>
      <x:c r="B301" s="75"/>
      <x:c r="C301" s="87"/>
      <x:c r="D301" s="66"/>
      <x:c r="E301" s="111"/>
      <x:c r="F301" s="75"/>
      <x:c r="G301" s="75"/>
      <x:c r="H301" s="75"/>
      <x:c r="I301" s="75"/>
      <x:c r="J301" s="70"/>
      <x:c r="K301" s="70"/>
    </x:row>
    <x:row r="302">
      <x:c r="A302" s="65"/>
      <x:c r="B302" s="75"/>
      <x:c r="C302" s="87"/>
      <x:c r="D302" s="66"/>
      <x:c r="E302" s="111"/>
      <x:c r="F302" s="75"/>
      <x:c r="G302" s="75"/>
      <x:c r="H302" s="75"/>
      <x:c r="I302" s="75"/>
      <x:c r="J302" s="70"/>
      <x:c r="K302" s="70"/>
    </x:row>
    <x:row r="303">
      <x:c r="A303" s="65"/>
      <x:c r="B303" s="75"/>
      <x:c r="C303" s="87"/>
      <x:c r="D303" s="66"/>
      <x:c r="E303" s="111"/>
      <x:c r="F303" s="75"/>
      <x:c r="G303" s="75"/>
      <x:c r="H303" s="75"/>
      <x:c r="I303" s="75"/>
      <x:c r="J303" s="70"/>
      <x:c r="K303" s="70"/>
    </x:row>
    <x:row r="304">
      <x:c r="A304" s="65"/>
      <x:c r="B304" s="75"/>
      <x:c r="C304" s="87"/>
      <x:c r="D304" s="66"/>
      <x:c r="E304" s="111"/>
      <x:c r="F304" s="75"/>
      <x:c r="G304" s="75"/>
      <x:c r="H304" s="75"/>
      <x:c r="I304" s="75"/>
      <x:c r="J304" s="70"/>
      <x:c r="K304" s="70"/>
    </x:row>
    <x:row r="305">
      <x:c r="A305" s="65"/>
      <x:c r="B305" s="75"/>
      <x:c r="C305" s="87"/>
      <x:c r="D305" s="66"/>
      <x:c r="E305" s="111"/>
      <x:c r="F305" s="75"/>
      <x:c r="G305" s="75"/>
      <x:c r="H305" s="75"/>
      <x:c r="I305" s="75"/>
      <x:c r="J305" s="70"/>
      <x:c r="K305" s="70"/>
    </x:row>
    <x:row r="306">
      <x:c r="A306" s="65"/>
      <x:c r="B306" s="75"/>
      <x:c r="C306" s="87"/>
      <x:c r="D306" s="66"/>
      <x:c r="E306" s="111"/>
      <x:c r="F306" s="75"/>
      <x:c r="G306" s="75"/>
      <x:c r="H306" s="75"/>
      <x:c r="I306" s="75"/>
      <x:c r="J306" s="70"/>
      <x:c r="K306" s="70"/>
    </x:row>
    <x:row r="307">
      <x:c r="A307" s="65"/>
      <x:c r="B307" s="75"/>
      <x:c r="C307" s="87"/>
      <x:c r="D307" s="66"/>
      <x:c r="E307" s="111"/>
      <x:c r="F307" s="75"/>
      <x:c r="G307" s="75"/>
      <x:c r="H307" s="75"/>
      <x:c r="I307" s="75"/>
      <x:c r="J307" s="70"/>
      <x:c r="K307" s="70"/>
    </x:row>
    <x:row r="308">
      <x:c r="A308" s="65"/>
      <x:c r="B308" s="75"/>
      <x:c r="C308" s="87"/>
      <x:c r="D308" s="66"/>
      <x:c r="E308" s="111"/>
      <x:c r="F308" s="75"/>
      <x:c r="G308" s="75"/>
      <x:c r="H308" s="75"/>
      <x:c r="I308" s="75"/>
      <x:c r="J308" s="70"/>
      <x:c r="K308" s="70"/>
    </x:row>
    <x:row r="309">
      <x:c r="A309" s="65"/>
      <x:c r="B309" s="75"/>
      <x:c r="C309" s="87"/>
      <x:c r="D309" s="66"/>
      <x:c r="E309" s="111"/>
      <x:c r="F309" s="75"/>
      <x:c r="G309" s="75"/>
      <x:c r="H309" s="75"/>
      <x:c r="I309" s="75"/>
      <x:c r="J309" s="70"/>
      <x:c r="K309" s="70"/>
    </x:row>
    <x:row r="310">
      <x:c r="A310" s="65"/>
      <x:c r="B310" s="75"/>
      <x:c r="C310" s="87"/>
      <x:c r="D310" s="66"/>
      <x:c r="E310" s="111"/>
      <x:c r="F310" s="75"/>
      <x:c r="G310" s="75"/>
      <x:c r="H310" s="75"/>
      <x:c r="I310" s="75"/>
      <x:c r="J310" s="70"/>
      <x:c r="K310" s="70"/>
    </x:row>
    <x:row r="311">
      <x:c r="A311" s="65"/>
      <x:c r="B311" s="75"/>
      <x:c r="C311" s="87"/>
      <x:c r="D311" s="66"/>
      <x:c r="E311" s="111"/>
      <x:c r="F311" s="75"/>
      <x:c r="G311" s="75"/>
      <x:c r="H311" s="75"/>
      <x:c r="I311" s="75"/>
      <x:c r="J311" s="70"/>
      <x:c r="K311" s="70"/>
    </x:row>
    <x:row r="312">
      <x:c r="A312" s="65"/>
      <x:c r="B312" s="75"/>
      <x:c r="C312" s="87"/>
      <x:c r="D312" s="66"/>
      <x:c r="E312" s="111"/>
      <x:c r="F312" s="75"/>
      <x:c r="G312" s="75"/>
      <x:c r="H312" s="75"/>
      <x:c r="I312" s="75"/>
      <x:c r="J312" s="70"/>
      <x:c r="K312" s="70"/>
    </x:row>
    <x:row r="313">
      <x:c r="A313" s="65"/>
      <x:c r="B313" s="75"/>
      <x:c r="C313" s="87"/>
      <x:c r="D313" s="66"/>
      <x:c r="E313" s="111"/>
      <x:c r="F313" s="75"/>
      <x:c r="G313" s="75"/>
      <x:c r="H313" s="75"/>
      <x:c r="I313" s="75"/>
      <x:c r="J313" s="70"/>
      <x:c r="K313" s="70"/>
    </x:row>
    <x:row r="314">
      <x:c r="A314" s="65"/>
      <x:c r="B314" s="75"/>
      <x:c r="C314" s="87"/>
      <x:c r="D314" s="66"/>
      <x:c r="E314" s="111"/>
      <x:c r="F314" s="75"/>
      <x:c r="G314" s="75"/>
      <x:c r="H314" s="75"/>
      <x:c r="I314" s="75"/>
      <x:c r="J314" s="70"/>
      <x:c r="K314" s="70"/>
    </x:row>
    <x:row r="315">
      <x:c r="A315" s="65"/>
      <x:c r="B315" s="75"/>
      <x:c r="C315" s="87"/>
      <x:c r="D315" s="66"/>
      <x:c r="E315" s="111"/>
      <x:c r="F315" s="75"/>
      <x:c r="G315" s="75"/>
      <x:c r="H315" s="75"/>
      <x:c r="I315" s="75"/>
      <x:c r="J315" s="70"/>
      <x:c r="K315" s="70"/>
    </x:row>
    <x:row r="316">
      <x:c r="A316" s="65"/>
      <x:c r="B316" s="75"/>
      <x:c r="C316" s="87"/>
      <x:c r="D316" s="66"/>
      <x:c r="E316" s="111"/>
      <x:c r="F316" s="75"/>
      <x:c r="G316" s="75"/>
      <x:c r="H316" s="75"/>
      <x:c r="I316" s="75"/>
      <x:c r="J316" s="70"/>
      <x:c r="K316" s="70"/>
    </x:row>
    <x:row r="317">
      <x:c r="A317" s="65"/>
      <x:c r="B317" s="75"/>
      <x:c r="C317" s="87"/>
      <x:c r="D317" s="66"/>
      <x:c r="E317" s="111"/>
      <x:c r="F317" s="75"/>
      <x:c r="G317" s="75"/>
      <x:c r="H317" s="75"/>
      <x:c r="I317" s="75"/>
      <x:c r="J317" s="70"/>
      <x:c r="K317" s="70"/>
    </x:row>
    <x:row r="318">
      <x:c r="A318" s="65"/>
      <x:c r="B318" s="75"/>
      <x:c r="C318" s="87"/>
      <x:c r="D318" s="66"/>
      <x:c r="E318" s="111"/>
      <x:c r="F318" s="75"/>
      <x:c r="G318" s="75"/>
      <x:c r="H318" s="75"/>
      <x:c r="I318" s="75"/>
      <x:c r="J318" s="70"/>
      <x:c r="K318" s="70"/>
    </x:row>
    <x:row r="319">
      <x:c r="A319" s="65"/>
      <x:c r="B319" s="75"/>
      <x:c r="C319" s="87"/>
      <x:c r="D319" s="66"/>
      <x:c r="E319" s="111"/>
      <x:c r="F319" s="75"/>
      <x:c r="G319" s="75"/>
      <x:c r="H319" s="75"/>
      <x:c r="I319" s="75"/>
      <x:c r="J319" s="70"/>
      <x:c r="K319" s="70"/>
    </x:row>
    <x:row r="320">
      <x:c r="A320" s="65"/>
      <x:c r="B320" s="75"/>
      <x:c r="C320" s="87"/>
      <x:c r="D320" s="66"/>
      <x:c r="E320" s="111"/>
      <x:c r="F320" s="75"/>
      <x:c r="G320" s="75"/>
      <x:c r="H320" s="75"/>
      <x:c r="I320" s="75"/>
      <x:c r="J320" s="70"/>
      <x:c r="K320" s="70"/>
    </x:row>
    <x:row r="321">
      <x:c r="A321" s="65"/>
      <x:c r="B321" s="75"/>
      <x:c r="C321" s="87"/>
      <x:c r="D321" s="66"/>
      <x:c r="E321" s="111"/>
      <x:c r="F321" s="75"/>
      <x:c r="G321" s="75"/>
      <x:c r="H321" s="75"/>
      <x:c r="I321" s="75"/>
      <x:c r="J321" s="70"/>
      <x:c r="K321" s="70"/>
    </x:row>
    <x:row r="322">
      <x:c r="A322" s="65"/>
      <x:c r="B322" s="75"/>
      <x:c r="C322" s="87"/>
      <x:c r="D322" s="66"/>
      <x:c r="E322" s="111"/>
      <x:c r="F322" s="75"/>
      <x:c r="G322" s="75"/>
      <x:c r="H322" s="75"/>
      <x:c r="I322" s="75"/>
      <x:c r="J322" s="70"/>
      <x:c r="K322" s="70"/>
    </x:row>
    <x:row r="323">
      <x:c r="A323" s="65"/>
      <x:c r="B323" s="75"/>
      <x:c r="C323" s="87"/>
      <x:c r="D323" s="66"/>
      <x:c r="E323" s="111"/>
      <x:c r="F323" s="75"/>
      <x:c r="G323" s="75"/>
      <x:c r="H323" s="75"/>
      <x:c r="I323" s="75"/>
      <x:c r="J323" s="70"/>
      <x:c r="K323" s="70"/>
    </x:row>
    <x:row r="324">
      <x:c r="A324" s="65"/>
      <x:c r="B324" s="75"/>
      <x:c r="C324" s="87"/>
      <x:c r="D324" s="66"/>
      <x:c r="E324" s="111"/>
      <x:c r="F324" s="75"/>
      <x:c r="G324" s="75"/>
      <x:c r="H324" s="75"/>
      <x:c r="I324" s="75"/>
      <x:c r="J324" s="70"/>
      <x:c r="K324" s="70"/>
    </x:row>
    <x:row r="325">
      <x:c r="A325" s="65"/>
      <x:c r="B325" s="75"/>
      <x:c r="C325" s="87"/>
      <x:c r="D325" s="66"/>
      <x:c r="E325" s="111"/>
      <x:c r="F325" s="75"/>
      <x:c r="G325" s="75"/>
      <x:c r="H325" s="75"/>
      <x:c r="I325" s="75"/>
      <x:c r="J325" s="70"/>
      <x:c r="K325" s="70"/>
    </x:row>
    <x:row r="326">
      <x:c r="A326" s="65"/>
      <x:c r="B326" s="75"/>
      <x:c r="C326" s="87"/>
      <x:c r="D326" s="66"/>
      <x:c r="E326" s="111"/>
      <x:c r="F326" s="75"/>
      <x:c r="G326" s="75"/>
      <x:c r="H326" s="75"/>
      <x:c r="I326" s="75"/>
      <x:c r="J326" s="70"/>
      <x:c r="K326" s="70"/>
    </x:row>
    <x:row r="327">
      <x:c r="A327" s="65"/>
      <x:c r="B327" s="75"/>
      <x:c r="C327" s="87"/>
      <x:c r="D327" s="66"/>
      <x:c r="E327" s="111"/>
      <x:c r="F327" s="75"/>
      <x:c r="G327" s="75"/>
      <x:c r="H327" s="75"/>
      <x:c r="I327" s="75"/>
      <x:c r="J327" s="70"/>
      <x:c r="K327" s="70"/>
    </x:row>
    <x:row r="328">
      <x:c r="A328" s="65"/>
      <x:c r="B328" s="75"/>
      <x:c r="C328" s="87"/>
      <x:c r="D328" s="66"/>
      <x:c r="E328" s="111"/>
      <x:c r="F328" s="75"/>
      <x:c r="G328" s="75"/>
      <x:c r="H328" s="75"/>
      <x:c r="I328" s="75"/>
      <x:c r="J328" s="70"/>
      <x:c r="K328" s="70"/>
    </x:row>
    <x:row r="329">
      <x:c r="A329" s="65"/>
      <x:c r="B329" s="75"/>
      <x:c r="C329" s="87"/>
      <x:c r="D329" s="66"/>
      <x:c r="E329" s="111"/>
      <x:c r="F329" s="75"/>
      <x:c r="G329" s="75"/>
      <x:c r="H329" s="75"/>
      <x:c r="I329" s="75"/>
      <x:c r="J329" s="70"/>
      <x:c r="K329" s="70"/>
    </x:row>
    <x:row r="330">
      <x:c r="A330" s="65"/>
      <x:c r="B330" s="75"/>
      <x:c r="C330" s="87"/>
      <x:c r="D330" s="66"/>
      <x:c r="E330" s="111"/>
      <x:c r="F330" s="75"/>
      <x:c r="G330" s="75"/>
      <x:c r="H330" s="75"/>
      <x:c r="I330" s="75"/>
      <x:c r="J330" s="70"/>
      <x:c r="K330" s="70"/>
    </x:row>
    <x:row r="331">
      <x:c r="A331" s="65"/>
      <x:c r="B331" s="75"/>
      <x:c r="C331" s="87"/>
      <x:c r="D331" s="66"/>
      <x:c r="E331" s="111"/>
      <x:c r="F331" s="75"/>
      <x:c r="G331" s="75"/>
      <x:c r="H331" s="75"/>
      <x:c r="I331" s="75"/>
      <x:c r="J331" s="70"/>
      <x:c r="K331" s="70"/>
    </x:row>
    <x:row r="332">
      <x:c r="A332" s="65"/>
      <x:c r="B332" s="75"/>
      <x:c r="C332" s="87"/>
      <x:c r="D332" s="66"/>
      <x:c r="E332" s="111"/>
      <x:c r="F332" s="75"/>
      <x:c r="G332" s="75"/>
      <x:c r="H332" s="75"/>
      <x:c r="I332" s="75"/>
      <x:c r="J332" s="70"/>
      <x:c r="K332" s="70"/>
    </x:row>
    <x:row r="333">
      <x:c r="A333" s="65"/>
      <x:c r="B333" s="75"/>
      <x:c r="C333" s="87"/>
      <x:c r="D333" s="66"/>
      <x:c r="E333" s="111"/>
      <x:c r="F333" s="75"/>
      <x:c r="G333" s="75"/>
      <x:c r="H333" s="75"/>
      <x:c r="I333" s="75"/>
      <x:c r="J333" s="70"/>
      <x:c r="K333" s="70"/>
    </x:row>
    <x:row r="334">
      <x:c r="A334" s="65"/>
      <x:c r="B334" s="75"/>
      <x:c r="C334" s="87"/>
      <x:c r="D334" s="66"/>
      <x:c r="E334" s="111"/>
      <x:c r="F334" s="75"/>
      <x:c r="G334" s="75"/>
      <x:c r="H334" s="75"/>
      <x:c r="I334" s="75"/>
      <x:c r="J334" s="70"/>
      <x:c r="K334" s="70"/>
    </x:row>
    <x:row r="335">
      <x:c r="A335" s="65"/>
      <x:c r="B335" s="75"/>
      <x:c r="C335" s="87"/>
      <x:c r="D335" s="66"/>
      <x:c r="E335" s="111"/>
      <x:c r="F335" s="75"/>
      <x:c r="G335" s="75"/>
      <x:c r="H335" s="75"/>
      <x:c r="I335" s="75"/>
      <x:c r="J335" s="70"/>
      <x:c r="K335" s="70"/>
    </x:row>
    <x:row r="336">
      <x:c r="A336" s="65"/>
      <x:c r="B336" s="75"/>
      <x:c r="C336" s="87"/>
      <x:c r="D336" s="66"/>
      <x:c r="E336" s="111"/>
      <x:c r="F336" s="75"/>
      <x:c r="G336" s="75"/>
      <x:c r="H336" s="75"/>
      <x:c r="I336" s="75"/>
      <x:c r="J336" s="70"/>
      <x:c r="K336" s="70"/>
    </x:row>
    <x:row r="337">
      <x:c r="A337" s="65"/>
      <x:c r="B337" s="75"/>
      <x:c r="C337" s="87"/>
      <x:c r="D337" s="66"/>
      <x:c r="E337" s="111"/>
      <x:c r="F337" s="75"/>
      <x:c r="G337" s="75"/>
      <x:c r="H337" s="75"/>
      <x:c r="I337" s="75"/>
      <x:c r="J337" s="70"/>
      <x:c r="K337" s="70"/>
    </x:row>
    <x:row r="338">
      <x:c r="A338" s="65"/>
      <x:c r="B338" s="75"/>
      <x:c r="C338" s="87"/>
      <x:c r="D338" s="66"/>
      <x:c r="E338" s="111"/>
      <x:c r="F338" s="75"/>
      <x:c r="G338" s="75"/>
      <x:c r="H338" s="75"/>
      <x:c r="I338" s="75"/>
      <x:c r="J338" s="70"/>
      <x:c r="K338" s="70"/>
    </x:row>
    <x:row r="339">
      <x:c r="A339" s="65"/>
      <x:c r="B339" s="75"/>
      <x:c r="C339" s="87"/>
      <x:c r="D339" s="66"/>
      <x:c r="E339" s="111"/>
      <x:c r="F339" s="75"/>
      <x:c r="G339" s="75"/>
      <x:c r="H339" s="75"/>
      <x:c r="I339" s="75"/>
      <x:c r="J339" s="70"/>
      <x:c r="K339" s="70"/>
    </x:row>
    <x:row r="340">
      <x:c r="A340" s="65"/>
      <x:c r="B340" s="75"/>
      <x:c r="C340" s="87"/>
      <x:c r="D340" s="66"/>
      <x:c r="E340" s="111"/>
      <x:c r="F340" s="75"/>
      <x:c r="G340" s="75"/>
      <x:c r="H340" s="75"/>
      <x:c r="I340" s="75"/>
      <x:c r="J340" s="70"/>
      <x:c r="K340" s="70"/>
    </x:row>
    <x:row r="341">
      <x:c r="A341" s="65"/>
      <x:c r="B341" s="75"/>
      <x:c r="C341" s="87"/>
      <x:c r="D341" s="66"/>
      <x:c r="E341" s="111"/>
      <x:c r="F341" s="75"/>
      <x:c r="G341" s="75"/>
      <x:c r="H341" s="75"/>
      <x:c r="I341" s="75"/>
      <x:c r="J341" s="70"/>
      <x:c r="K341" s="70"/>
    </x:row>
    <x:row r="342">
      <x:c r="A342" s="65"/>
      <x:c r="B342" s="75"/>
      <x:c r="C342" s="87"/>
      <x:c r="D342" s="66"/>
      <x:c r="E342" s="111"/>
      <x:c r="F342" s="75"/>
      <x:c r="G342" s="75"/>
      <x:c r="H342" s="75"/>
      <x:c r="I342" s="75"/>
      <x:c r="J342" s="70"/>
      <x:c r="K342" s="70"/>
    </x:row>
    <x:row r="343">
      <x:c r="A343" s="65"/>
      <x:c r="B343" s="75"/>
      <x:c r="C343" s="87"/>
      <x:c r="D343" s="66"/>
      <x:c r="E343" s="111"/>
      <x:c r="F343" s="75"/>
      <x:c r="G343" s="75"/>
      <x:c r="H343" s="75"/>
      <x:c r="I343" s="75"/>
      <x:c r="J343" s="70"/>
      <x:c r="K343" s="70"/>
    </x:row>
    <x:row r="344">
      <x:c r="A344" s="65"/>
      <x:c r="B344" s="75"/>
      <x:c r="C344" s="87"/>
      <x:c r="D344" s="66"/>
      <x:c r="E344" s="111"/>
      <x:c r="F344" s="75"/>
      <x:c r="G344" s="75"/>
      <x:c r="H344" s="75"/>
      <x:c r="I344" s="75"/>
      <x:c r="J344" s="70"/>
      <x:c r="K344" s="70"/>
    </x:row>
    <x:row r="345">
      <x:c r="A345" s="65"/>
      <x:c r="B345" s="75"/>
      <x:c r="C345" s="87"/>
      <x:c r="D345" s="66"/>
      <x:c r="E345" s="111"/>
      <x:c r="F345" s="75"/>
      <x:c r="G345" s="75"/>
      <x:c r="H345" s="75"/>
      <x:c r="I345" s="75"/>
      <x:c r="J345" s="70"/>
      <x:c r="K345" s="70"/>
    </x:row>
    <x:row r="346">
      <x:c r="A346" s="65"/>
      <x:c r="B346" s="75"/>
      <x:c r="C346" s="87"/>
      <x:c r="D346" s="66"/>
      <x:c r="E346" s="111"/>
      <x:c r="F346" s="75"/>
      <x:c r="G346" s="75"/>
      <x:c r="H346" s="75"/>
      <x:c r="I346" s="75"/>
      <x:c r="J346" s="70"/>
      <x:c r="K346" s="70"/>
    </x:row>
    <x:row r="347">
      <x:c r="A347" s="65"/>
      <x:c r="B347" s="75"/>
      <x:c r="C347" s="87"/>
      <x:c r="D347" s="66"/>
      <x:c r="E347" s="111"/>
      <x:c r="F347" s="75"/>
      <x:c r="G347" s="75"/>
      <x:c r="H347" s="75"/>
      <x:c r="I347" s="75"/>
      <x:c r="J347" s="70"/>
      <x:c r="K347" s="70"/>
    </x:row>
    <x:row r="348">
      <x:c r="A348" s="65"/>
      <x:c r="B348" s="75"/>
      <x:c r="C348" s="87"/>
      <x:c r="D348" s="66"/>
      <x:c r="E348" s="111"/>
      <x:c r="F348" s="75"/>
      <x:c r="G348" s="75"/>
      <x:c r="H348" s="75"/>
      <x:c r="I348" s="75"/>
      <x:c r="J348" s="70"/>
      <x:c r="K348" s="70"/>
    </x:row>
    <x:row r="349">
      <x:c r="A349" s="65"/>
      <x:c r="B349" s="75"/>
      <x:c r="C349" s="87"/>
      <x:c r="D349" s="66"/>
      <x:c r="E349" s="111"/>
      <x:c r="F349" s="75"/>
      <x:c r="G349" s="75"/>
      <x:c r="H349" s="75"/>
      <x:c r="I349" s="75"/>
      <x:c r="J349" s="70"/>
      <x:c r="K349" s="70"/>
    </x:row>
    <x:row r="350">
      <x:c r="A350" s="65"/>
      <x:c r="B350" s="75"/>
      <x:c r="C350" s="87"/>
      <x:c r="D350" s="66"/>
      <x:c r="E350" s="111"/>
      <x:c r="F350" s="75"/>
      <x:c r="G350" s="75"/>
      <x:c r="H350" s="75"/>
      <x:c r="I350" s="75"/>
      <x:c r="J350" s="70"/>
      <x:c r="K350" s="70"/>
    </x:row>
    <x:row r="351">
      <x:c r="A351" s="65"/>
      <x:c r="B351" s="75"/>
      <x:c r="C351" s="87"/>
      <x:c r="D351" s="66"/>
      <x:c r="E351" s="111"/>
      <x:c r="F351" s="75"/>
      <x:c r="G351" s="75"/>
      <x:c r="H351" s="75"/>
      <x:c r="I351" s="75"/>
      <x:c r="J351" s="70"/>
      <x:c r="K351" s="70"/>
    </x:row>
    <x:row r="352">
      <x:c r="A352" s="65"/>
      <x:c r="B352" s="75"/>
      <x:c r="C352" s="87"/>
      <x:c r="D352" s="66"/>
      <x:c r="E352" s="111"/>
      <x:c r="F352" s="75"/>
      <x:c r="G352" s="75"/>
      <x:c r="H352" s="75"/>
      <x:c r="I352" s="75"/>
      <x:c r="J352" s="70"/>
      <x:c r="K352" s="70"/>
    </x:row>
    <x:row r="353">
      <x:c r="A353" s="65"/>
      <x:c r="B353" s="75"/>
      <x:c r="C353" s="87"/>
      <x:c r="D353" s="66"/>
      <x:c r="E353" s="111"/>
      <x:c r="F353" s="75"/>
      <x:c r="G353" s="75"/>
      <x:c r="H353" s="75"/>
      <x:c r="I353" s="75"/>
      <x:c r="J353" s="70"/>
      <x:c r="K353" s="70"/>
    </x:row>
    <x:row r="354">
      <x:c r="A354" s="65"/>
      <x:c r="B354" s="75"/>
      <x:c r="C354" s="87"/>
      <x:c r="D354" s="66"/>
      <x:c r="E354" s="111"/>
      <x:c r="F354" s="75"/>
      <x:c r="G354" s="75"/>
      <x:c r="H354" s="75"/>
      <x:c r="I354" s="75"/>
      <x:c r="J354" s="70"/>
      <x:c r="K354" s="70"/>
    </x:row>
    <x:row r="355">
      <x:c r="A355" s="65"/>
      <x:c r="B355" s="75"/>
      <x:c r="C355" s="87"/>
      <x:c r="D355" s="66"/>
      <x:c r="E355" s="111"/>
      <x:c r="F355" s="75"/>
      <x:c r="G355" s="75"/>
      <x:c r="H355" s="75"/>
      <x:c r="I355" s="75"/>
      <x:c r="J355" s="70"/>
      <x:c r="K355" s="70"/>
    </x:row>
    <x:row r="356">
      <x:c r="A356" s="65"/>
      <x:c r="B356" s="75"/>
      <x:c r="C356" s="87"/>
      <x:c r="D356" s="66"/>
      <x:c r="E356" s="111"/>
      <x:c r="F356" s="75"/>
      <x:c r="G356" s="75"/>
      <x:c r="H356" s="75"/>
      <x:c r="I356" s="75"/>
      <x:c r="J356" s="70"/>
      <x:c r="K356" s="70"/>
    </x:row>
    <x:row r="357">
      <x:c r="A357" s="65"/>
      <x:c r="B357" s="75"/>
      <x:c r="C357" s="87"/>
      <x:c r="D357" s="66"/>
      <x:c r="E357" s="111"/>
      <x:c r="F357" s="75"/>
      <x:c r="G357" s="75"/>
      <x:c r="H357" s="75"/>
      <x:c r="I357" s="75"/>
      <x:c r="J357" s="70"/>
      <x:c r="K357" s="70"/>
    </x:row>
    <x:row r="358">
      <x:c r="A358" s="65"/>
      <x:c r="B358" s="75"/>
      <x:c r="C358" s="87"/>
      <x:c r="D358" s="66"/>
      <x:c r="E358" s="111"/>
      <x:c r="F358" s="75"/>
      <x:c r="G358" s="75"/>
      <x:c r="H358" s="75"/>
      <x:c r="I358" s="75"/>
      <x:c r="J358" s="70"/>
      <x:c r="K358" s="70"/>
    </x:row>
    <x:row r="359">
      <x:c r="A359" s="65"/>
      <x:c r="B359" s="75"/>
      <x:c r="C359" s="87"/>
      <x:c r="D359" s="66"/>
      <x:c r="E359" s="111"/>
      <x:c r="F359" s="75"/>
      <x:c r="G359" s="75"/>
      <x:c r="H359" s="75"/>
      <x:c r="I359" s="75"/>
      <x:c r="J359" s="69"/>
      <x:c r="K359" s="70"/>
    </x:row>
    <x:row r="360">
      <x:c r="A360" s="65"/>
      <x:c r="B360" s="75"/>
      <x:c r="C360" s="87"/>
      <x:c r="D360" s="66"/>
      <x:c r="E360" s="111"/>
      <x:c r="F360" s="75"/>
      <x:c r="G360" s="75"/>
      <x:c r="H360" s="75"/>
      <x:c r="I360" s="75"/>
      <x:c r="J360" s="69"/>
      <x:c r="K360" s="70"/>
    </x:row>
    <x:row r="361">
      <x:c r="A361" s="65"/>
      <x:c r="B361" s="75"/>
      <x:c r="C361" s="87"/>
      <x:c r="D361" s="66"/>
      <x:c r="E361" s="111"/>
      <x:c r="F361" s="75"/>
      <x:c r="G361" s="75"/>
      <x:c r="H361" s="75"/>
      <x:c r="I361" s="75"/>
      <x:c r="J361" s="69"/>
      <x:c r="K361" s="70"/>
    </x:row>
    <x:row r="362">
      <x:c r="A362" s="65"/>
      <x:c r="B362" s="75"/>
      <x:c r="C362" s="87"/>
      <x:c r="D362" s="66"/>
      <x:c r="E362" s="111"/>
      <x:c r="F362" s="75"/>
      <x:c r="G362" s="75"/>
      <x:c r="H362" s="75"/>
      <x:c r="I362" s="75"/>
      <x:c r="J362" s="69"/>
      <x:c r="K362" s="70"/>
    </x:row>
    <x:row r="363">
      <x:c r="A363" s="65"/>
      <x:c r="B363" s="75"/>
      <x:c r="C363" s="87"/>
      <x:c r="D363" s="66"/>
      <x:c r="E363" s="111"/>
      <x:c r="F363" s="75"/>
      <x:c r="G363" s="75"/>
      <x:c r="H363" s="75"/>
      <x:c r="I363" s="75"/>
      <x:c r="J363" s="69"/>
      <x:c r="K363" s="70"/>
    </x:row>
    <x:row r="364">
      <x:c r="A364" s="65"/>
      <x:c r="B364" s="75"/>
      <x:c r="C364" s="87"/>
      <x:c r="D364" s="66"/>
      <x:c r="E364" s="111"/>
      <x:c r="F364" s="75"/>
      <x:c r="G364" s="75"/>
      <x:c r="H364" s="75"/>
      <x:c r="I364" s="75"/>
      <x:c r="J364" s="69"/>
      <x:c r="K364" s="70"/>
    </x:row>
    <x:row r="365">
      <x:c r="A365" s="65"/>
      <x:c r="B365" s="75"/>
      <x:c r="C365" s="87"/>
      <x:c r="D365" s="66"/>
      <x:c r="E365" s="111"/>
      <x:c r="F365" s="75"/>
      <x:c r="G365" s="75"/>
      <x:c r="H365" s="75"/>
      <x:c r="I365" s="75"/>
      <x:c r="J365" s="69"/>
      <x:c r="K365" s="70"/>
    </x:row>
    <x:row r="366">
      <x:c r="A366" s="65"/>
      <x:c r="B366" s="75"/>
      <x:c r="C366" s="87"/>
      <x:c r="D366" s="66"/>
      <x:c r="E366" s="111"/>
      <x:c r="F366" s="75"/>
      <x:c r="G366" s="75"/>
      <x:c r="H366" s="75"/>
      <x:c r="I366" s="75"/>
      <x:c r="J366" s="69"/>
      <x:c r="K366" s="70"/>
    </x:row>
    <x:row r="367">
      <x:c r="A367" s="65"/>
      <x:c r="B367" s="75"/>
      <x:c r="C367" s="87"/>
      <x:c r="D367" s="66"/>
      <x:c r="E367" s="111"/>
      <x:c r="F367" s="75"/>
      <x:c r="G367" s="75"/>
      <x:c r="H367" s="75"/>
      <x:c r="I367" s="75"/>
      <x:c r="J367" s="69"/>
      <x:c r="K367" s="70"/>
    </x:row>
    <x:row r="368">
      <x:c r="A368" s="65"/>
      <x:c r="B368" s="75"/>
      <x:c r="C368" s="87"/>
      <x:c r="D368" s="66"/>
      <x:c r="E368" s="111"/>
      <x:c r="F368" s="75"/>
      <x:c r="G368" s="75"/>
      <x:c r="H368" s="75"/>
      <x:c r="I368" s="75"/>
      <x:c r="J368" s="69"/>
      <x:c r="K368" s="70"/>
    </x:row>
    <x:row r="369">
      <x:c r="A369" s="65"/>
      <x:c r="B369" s="75"/>
      <x:c r="C369" s="87"/>
      <x:c r="D369" s="66"/>
      <x:c r="E369" s="111"/>
      <x:c r="F369" s="75"/>
      <x:c r="G369" s="75"/>
      <x:c r="H369" s="75"/>
      <x:c r="I369" s="75"/>
      <x:c r="J369" s="69"/>
      <x:c r="K369" s="70"/>
    </x:row>
    <x:row r="370">
      <x:c r="A370" s="65"/>
      <x:c r="B370" s="75"/>
      <x:c r="C370" s="87"/>
      <x:c r="D370" s="66"/>
      <x:c r="E370" s="111"/>
      <x:c r="F370" s="75"/>
      <x:c r="G370" s="75"/>
      <x:c r="H370" s="75"/>
      <x:c r="I370" s="75"/>
      <x:c r="J370" s="69"/>
      <x:c r="K370" s="70"/>
    </x:row>
    <x:row r="371">
      <x:c r="A371" s="65"/>
      <x:c r="B371" s="75"/>
      <x:c r="C371" s="87"/>
      <x:c r="D371" s="66"/>
      <x:c r="E371" s="111"/>
      <x:c r="F371" s="75"/>
      <x:c r="G371" s="75"/>
      <x:c r="H371" s="75"/>
      <x:c r="I371" s="75"/>
      <x:c r="J371" s="69"/>
      <x:c r="K371" s="70"/>
    </x:row>
    <x:row r="372">
      <x:c r="A372" s="65"/>
      <x:c r="B372" s="75"/>
      <x:c r="C372" s="87"/>
      <x:c r="D372" s="66"/>
      <x:c r="E372" s="111"/>
      <x:c r="F372" s="75"/>
      <x:c r="G372" s="75"/>
      <x:c r="H372" s="75"/>
      <x:c r="I372" s="75"/>
      <x:c r="J372" s="69"/>
      <x:c r="K372" s="70"/>
    </x:row>
    <x:row r="373">
      <x:c r="A373" s="65"/>
      <x:c r="B373" s="75"/>
      <x:c r="C373" s="87"/>
      <x:c r="D373" s="66"/>
      <x:c r="E373" s="111"/>
      <x:c r="F373" s="75"/>
      <x:c r="G373" s="75"/>
      <x:c r="H373" s="75"/>
      <x:c r="I373" s="75"/>
      <x:c r="J373" s="69"/>
      <x:c r="K373" s="70"/>
    </x:row>
    <x:row r="374">
      <x:c r="A374" s="65"/>
      <x:c r="B374" s="75"/>
      <x:c r="C374" s="87"/>
      <x:c r="D374" s="66"/>
      <x:c r="E374" s="111"/>
      <x:c r="F374" s="75"/>
      <x:c r="G374" s="75"/>
      <x:c r="H374" s="75"/>
      <x:c r="I374" s="75"/>
      <x:c r="J374" s="69"/>
      <x:c r="K374" s="70"/>
    </x:row>
    <x:row r="375">
      <x:c r="A375" s="65"/>
      <x:c r="B375" s="75"/>
      <x:c r="C375" s="87"/>
      <x:c r="D375" s="66"/>
      <x:c r="E375" s="111"/>
      <x:c r="F375" s="75"/>
      <x:c r="G375" s="75"/>
      <x:c r="H375" s="75"/>
      <x:c r="I375" s="75"/>
      <x:c r="J375" s="69"/>
      <x:c r="K375" s="70"/>
    </x:row>
    <x:row r="376">
      <x:c r="A376" s="65"/>
      <x:c r="B376" s="75"/>
      <x:c r="C376" s="87"/>
      <x:c r="D376" s="66"/>
      <x:c r="E376" s="111"/>
      <x:c r="F376" s="75"/>
      <x:c r="G376" s="75"/>
      <x:c r="H376" s="75"/>
      <x:c r="I376" s="75"/>
      <x:c r="J376" s="69"/>
      <x:c r="K376" s="70"/>
    </x:row>
    <x:row r="377">
      <x:c r="A377" s="65"/>
      <x:c r="B377" s="75"/>
      <x:c r="C377" s="87"/>
      <x:c r="D377" s="66"/>
      <x:c r="E377" s="111"/>
      <x:c r="F377" s="75"/>
      <x:c r="G377" s="75"/>
      <x:c r="H377" s="75"/>
      <x:c r="I377" s="75"/>
      <x:c r="J377" s="69"/>
      <x:c r="K377" s="70"/>
    </x:row>
    <x:row r="378">
      <x:c r="A378" s="65"/>
      <x:c r="B378" s="75"/>
      <x:c r="C378" s="87"/>
      <x:c r="D378" s="66"/>
      <x:c r="E378" s="111"/>
      <x:c r="F378" s="75"/>
      <x:c r="G378" s="75"/>
      <x:c r="H378" s="75"/>
      <x:c r="I378" s="75"/>
      <x:c r="J378" s="69"/>
      <x:c r="K378" s="70"/>
    </x:row>
    <x:row r="379">
      <x:c r="A379" s="65"/>
      <x:c r="B379" s="75"/>
      <x:c r="C379" s="87"/>
      <x:c r="D379" s="66"/>
      <x:c r="E379" s="111"/>
      <x:c r="F379" s="75"/>
      <x:c r="G379" s="75"/>
      <x:c r="H379" s="75"/>
      <x:c r="I379" s="75"/>
      <x:c r="J379" s="69"/>
      <x:c r="K379" s="70"/>
    </x:row>
    <x:row r="380">
      <x:c r="A380" s="65"/>
      <x:c r="B380" s="75"/>
      <x:c r="C380" s="87"/>
      <x:c r="D380" s="66"/>
      <x:c r="E380" s="111"/>
      <x:c r="F380" s="75"/>
      <x:c r="G380" s="75"/>
      <x:c r="H380" s="75"/>
      <x:c r="I380" s="75"/>
      <x:c r="J380" s="69"/>
      <x:c r="K380" s="70"/>
    </x:row>
    <x:row r="381">
      <x:c r="A381" s="65"/>
      <x:c r="B381" s="75"/>
      <x:c r="C381" s="87"/>
      <x:c r="D381" s="66"/>
      <x:c r="E381" s="111"/>
      <x:c r="F381" s="75"/>
      <x:c r="G381" s="75"/>
      <x:c r="H381" s="75"/>
      <x:c r="I381" s="75"/>
      <x:c r="J381" s="69"/>
      <x:c r="K381" s="70"/>
    </x:row>
    <x:row r="382">
      <x:c r="A382" s="65"/>
      <x:c r="B382" s="75"/>
      <x:c r="C382" s="87"/>
      <x:c r="D382" s="66"/>
      <x:c r="E382" s="111"/>
      <x:c r="F382" s="75"/>
      <x:c r="G382" s="75"/>
      <x:c r="H382" s="75"/>
      <x:c r="I382" s="75"/>
      <x:c r="J382" s="69"/>
      <x:c r="K382" s="70"/>
    </x:row>
    <x:row r="383">
      <x:c r="A383" s="65"/>
      <x:c r="B383" s="75"/>
      <x:c r="C383" s="87"/>
      <x:c r="D383" s="66"/>
      <x:c r="E383" s="111"/>
      <x:c r="F383" s="75"/>
      <x:c r="G383" s="75"/>
      <x:c r="H383" s="75"/>
      <x:c r="I383" s="75"/>
      <x:c r="J383" s="69"/>
      <x:c r="K383" s="70"/>
    </x:row>
    <x:row r="384">
      <x:c r="A384" s="65"/>
      <x:c r="B384" s="75"/>
      <x:c r="C384" s="87"/>
      <x:c r="D384" s="66"/>
      <x:c r="E384" s="111"/>
      <x:c r="F384" s="75"/>
      <x:c r="G384" s="75"/>
      <x:c r="H384" s="75"/>
      <x:c r="I384" s="75"/>
      <x:c r="J384" s="69"/>
      <x:c r="K384" s="70"/>
    </x:row>
    <x:row r="385">
      <x:c r="A385" s="65"/>
      <x:c r="B385" s="75"/>
      <x:c r="C385" s="87"/>
      <x:c r="D385" s="66"/>
      <x:c r="E385" s="111"/>
      <x:c r="F385" s="75"/>
      <x:c r="G385" s="75"/>
      <x:c r="H385" s="75"/>
      <x:c r="I385" s="75"/>
      <x:c r="J385" s="69"/>
      <x:c r="K385" s="70"/>
    </x:row>
    <x:row r="386">
      <x:c r="A386" s="65"/>
      <x:c r="B386" s="75"/>
      <x:c r="C386" s="87"/>
      <x:c r="D386" s="66"/>
      <x:c r="E386" s="111"/>
      <x:c r="F386" s="75"/>
      <x:c r="G386" s="75"/>
      <x:c r="H386" s="75"/>
      <x:c r="I386" s="75"/>
      <x:c r="J386" s="69"/>
      <x:c r="K386" s="70"/>
    </x:row>
    <x:row r="387">
      <x:c r="A387" s="65"/>
      <x:c r="B387" s="75"/>
      <x:c r="C387" s="87"/>
      <x:c r="D387" s="66"/>
      <x:c r="E387" s="111"/>
      <x:c r="F387" s="75"/>
      <x:c r="G387" s="75"/>
      <x:c r="H387" s="75"/>
      <x:c r="I387" s="75"/>
      <x:c r="J387" s="69"/>
      <x:c r="K387" s="70"/>
    </x:row>
    <x:row r="388">
      <x:c r="A388" s="65"/>
      <x:c r="B388" s="75"/>
      <x:c r="C388" s="87"/>
      <x:c r="D388" s="66"/>
      <x:c r="E388" s="111"/>
      <x:c r="F388" s="75"/>
      <x:c r="G388" s="75"/>
      <x:c r="H388" s="75"/>
      <x:c r="I388" s="75"/>
      <x:c r="J388" s="69"/>
      <x:c r="K388" s="70"/>
    </x:row>
    <x:row r="389">
      <x:c r="A389" s="65"/>
      <x:c r="B389" s="75"/>
      <x:c r="C389" s="87"/>
      <x:c r="D389" s="66"/>
      <x:c r="E389" s="111"/>
      <x:c r="F389" s="75"/>
      <x:c r="G389" s="75"/>
      <x:c r="H389" s="75"/>
      <x:c r="I389" s="75"/>
      <x:c r="J389" s="69"/>
      <x:c r="K389" s="70"/>
    </x:row>
    <x:row r="390">
      <x:c r="A390" s="65"/>
      <x:c r="B390" s="75"/>
      <x:c r="C390" s="87"/>
      <x:c r="D390" s="66"/>
      <x:c r="E390" s="111"/>
      <x:c r="F390" s="75"/>
      <x:c r="G390" s="75"/>
      <x:c r="H390" s="75"/>
      <x:c r="I390" s="75"/>
      <x:c r="J390" s="69"/>
      <x:c r="K390" s="70"/>
    </x:row>
    <x:row r="391">
      <x:c r="A391" s="65"/>
      <x:c r="B391" s="75"/>
      <x:c r="C391" s="87"/>
      <x:c r="D391" s="66"/>
      <x:c r="E391" s="111"/>
      <x:c r="F391" s="75"/>
      <x:c r="G391" s="75"/>
      <x:c r="H391" s="75"/>
      <x:c r="I391" s="75"/>
      <x:c r="J391" s="69"/>
      <x:c r="K391" s="70"/>
    </x:row>
    <x:row r="392">
      <x:c r="A392" s="65"/>
      <x:c r="B392" s="75"/>
      <x:c r="C392" s="87"/>
      <x:c r="D392" s="66"/>
      <x:c r="E392" s="111"/>
      <x:c r="F392" s="75"/>
      <x:c r="G392" s="75"/>
      <x:c r="H392" s="75"/>
      <x:c r="I392" s="75"/>
      <x:c r="J392" s="69"/>
      <x:c r="K392" s="70"/>
    </x:row>
    <x:row r="393">
      <x:c r="A393" s="65"/>
      <x:c r="B393" s="75"/>
      <x:c r="C393" s="87"/>
      <x:c r="D393" s="66"/>
      <x:c r="E393" s="111"/>
      <x:c r="F393" s="75"/>
      <x:c r="G393" s="75"/>
      <x:c r="H393" s="75"/>
      <x:c r="I393" s="75"/>
      <x:c r="J393" s="69"/>
      <x:c r="K393" s="70"/>
    </x:row>
    <x:row r="394">
      <x:c r="A394" s="65"/>
      <x:c r="B394" s="75"/>
      <x:c r="C394" s="87"/>
      <x:c r="D394" s="66"/>
      <x:c r="E394" s="111"/>
      <x:c r="F394" s="75"/>
      <x:c r="G394" s="75"/>
      <x:c r="H394" s="75"/>
      <x:c r="I394" s="75"/>
      <x:c r="J394" s="69"/>
      <x:c r="K394" s="70"/>
    </x:row>
    <x:row r="395">
      <x:c r="A395" s="65"/>
      <x:c r="B395" s="75"/>
      <x:c r="C395" s="87"/>
      <x:c r="D395" s="66"/>
      <x:c r="E395" s="111"/>
      <x:c r="F395" s="75"/>
      <x:c r="G395" s="75"/>
      <x:c r="H395" s="75"/>
      <x:c r="I395" s="75"/>
      <x:c r="J395" s="69"/>
      <x:c r="K395" s="70"/>
    </x:row>
    <x:row r="396">
      <x:c r="A396" s="65"/>
      <x:c r="B396" s="75"/>
      <x:c r="C396" s="87"/>
      <x:c r="D396" s="66"/>
      <x:c r="E396" s="111"/>
      <x:c r="F396" s="75"/>
      <x:c r="G396" s="75"/>
      <x:c r="H396" s="75"/>
      <x:c r="I396" s="75"/>
      <x:c r="J396" s="69"/>
      <x:c r="K396" s="70"/>
    </x:row>
    <x:row r="397">
      <x:c r="A397" s="65"/>
      <x:c r="B397" s="75"/>
      <x:c r="C397" s="87"/>
      <x:c r="D397" s="66"/>
      <x:c r="E397" s="111"/>
      <x:c r="F397" s="75"/>
      <x:c r="G397" s="75"/>
      <x:c r="H397" s="75"/>
      <x:c r="I397" s="75"/>
      <x:c r="J397" s="69"/>
      <x:c r="K397" s="70"/>
    </x:row>
    <x:row r="398">
      <x:c r="A398" s="65"/>
      <x:c r="B398" s="75"/>
      <x:c r="C398" s="87"/>
      <x:c r="D398" s="66"/>
      <x:c r="E398" s="111"/>
      <x:c r="F398" s="75"/>
      <x:c r="G398" s="75"/>
      <x:c r="H398" s="75"/>
      <x:c r="I398" s="75"/>
      <x:c r="J398" s="69"/>
      <x:c r="K398" s="70"/>
    </x:row>
    <x:row r="399">
      <x:c r="A399" s="65"/>
      <x:c r="B399" s="75"/>
      <x:c r="C399" s="87"/>
      <x:c r="D399" s="66"/>
      <x:c r="E399" s="111"/>
      <x:c r="F399" s="75"/>
      <x:c r="G399" s="75"/>
      <x:c r="H399" s="75"/>
      <x:c r="I399" s="75"/>
      <x:c r="J399" s="70"/>
      <x:c r="K399" s="70"/>
    </x:row>
    <x:row r="400">
      <x:c r="A400" s="65"/>
      <x:c r="B400" s="75"/>
      <x:c r="C400" s="87"/>
      <x:c r="D400" s="66"/>
      <x:c r="E400" s="111"/>
      <x:c r="F400" s="75"/>
      <x:c r="G400" s="75"/>
      <x:c r="H400" s="75"/>
      <x:c r="I400" s="75"/>
      <x:c r="J400" s="69"/>
      <x:c r="K400" s="70"/>
    </x:row>
    <x:row r="401">
      <x:c r="A401" s="65"/>
      <x:c r="B401" s="75"/>
      <x:c r="C401" s="87"/>
      <x:c r="D401" s="66"/>
      <x:c r="E401" s="111"/>
      <x:c r="F401" s="75"/>
      <x:c r="G401" s="75"/>
      <x:c r="H401" s="75"/>
      <x:c r="I401" s="75"/>
      <x:c r="J401" s="69"/>
      <x:c r="K401" s="70"/>
    </x:row>
    <x:row r="402">
      <x:c r="A402" s="65"/>
      <x:c r="B402" s="75"/>
      <x:c r="C402" s="87"/>
      <x:c r="D402" s="66"/>
      <x:c r="E402" s="111"/>
      <x:c r="F402" s="75"/>
      <x:c r="G402" s="75"/>
      <x:c r="H402" s="75"/>
      <x:c r="I402" s="75"/>
      <x:c r="J402" s="69"/>
      <x:c r="K402" s="70"/>
    </x:row>
    <x:row r="403">
      <x:c r="A403" s="65"/>
      <x:c r="B403" s="75"/>
      <x:c r="C403" s="87"/>
      <x:c r="D403" s="66"/>
      <x:c r="E403" s="111"/>
      <x:c r="F403" s="75"/>
      <x:c r="G403" s="75"/>
      <x:c r="H403" s="75"/>
      <x:c r="I403" s="75"/>
      <x:c r="J403" s="69"/>
      <x:c r="K403" s="70"/>
    </x:row>
    <x:row r="404">
      <x:c r="A404" s="65"/>
      <x:c r="B404" s="75"/>
      <x:c r="C404" s="87"/>
      <x:c r="D404" s="66"/>
      <x:c r="E404" s="111"/>
      <x:c r="F404" s="75"/>
      <x:c r="G404" s="75"/>
      <x:c r="H404" s="75"/>
      <x:c r="I404" s="75"/>
      <x:c r="J404" s="69"/>
      <x:c r="K404" s="70"/>
    </x:row>
    <x:row r="405">
      <x:c r="A405" s="65"/>
      <x:c r="B405" s="75"/>
      <x:c r="C405" s="87"/>
      <x:c r="D405" s="66"/>
      <x:c r="E405" s="111"/>
      <x:c r="F405" s="75"/>
      <x:c r="G405" s="75"/>
      <x:c r="H405" s="75"/>
      <x:c r="I405" s="75"/>
      <x:c r="J405" s="69"/>
      <x:c r="K405" s="70"/>
    </x:row>
    <x:row r="406">
      <x:c r="A406" s="65"/>
      <x:c r="B406" s="75"/>
      <x:c r="C406" s="87"/>
      <x:c r="D406" s="66"/>
      <x:c r="E406" s="111"/>
      <x:c r="F406" s="75"/>
      <x:c r="G406" s="75"/>
      <x:c r="H406" s="75"/>
      <x:c r="I406" s="75"/>
      <x:c r="J406" s="70"/>
      <x:c r="K406" s="70"/>
    </x:row>
    <x:row r="407">
      <x:c r="A407" s="65"/>
      <x:c r="B407" s="75"/>
      <x:c r="C407" s="87"/>
      <x:c r="D407" s="66"/>
      <x:c r="E407" s="111"/>
      <x:c r="F407" s="75"/>
      <x:c r="G407" s="75"/>
      <x:c r="H407" s="75"/>
      <x:c r="I407" s="75"/>
      <x:c r="J407" s="70"/>
      <x:c r="K407" s="70"/>
    </x:row>
    <x:row r="408">
      <x:c r="A408" s="65"/>
      <x:c r="B408" s="75"/>
      <x:c r="C408" s="87"/>
      <x:c r="D408" s="66"/>
      <x:c r="E408" s="111"/>
      <x:c r="F408" s="75"/>
      <x:c r="G408" s="75"/>
      <x:c r="H408" s="75"/>
      <x:c r="I408" s="75"/>
      <x:c r="J408" s="70"/>
      <x:c r="K408" s="70"/>
    </x:row>
    <x:row r="409">
      <x:c r="A409" s="65"/>
      <x:c r="B409" s="75"/>
      <x:c r="C409" s="87"/>
      <x:c r="D409" s="66"/>
      <x:c r="E409" s="111"/>
      <x:c r="F409" s="75"/>
      <x:c r="G409" s="75"/>
      <x:c r="H409" s="75"/>
      <x:c r="I409" s="75"/>
      <x:c r="J409" s="70"/>
      <x:c r="K409" s="70"/>
    </x:row>
    <x:row r="410">
      <x:c r="A410" s="65"/>
      <x:c r="B410" s="75"/>
      <x:c r="C410" s="87"/>
      <x:c r="D410" s="66"/>
      <x:c r="E410" s="111"/>
      <x:c r="F410" s="75"/>
      <x:c r="G410" s="75"/>
      <x:c r="H410" s="75"/>
      <x:c r="I410" s="75"/>
      <x:c r="J410" s="70"/>
      <x:c r="K410" s="70"/>
    </x:row>
    <x:row r="411">
      <x:c r="A411" s="65"/>
      <x:c r="B411" s="75"/>
      <x:c r="C411" s="87"/>
      <x:c r="D411" s="66"/>
      <x:c r="E411" s="111"/>
      <x:c r="F411" s="75"/>
      <x:c r="G411" s="75"/>
      <x:c r="H411" s="75"/>
      <x:c r="I411" s="75"/>
      <x:c r="J411" s="70"/>
      <x:c r="K411" s="70"/>
    </x:row>
    <x:row r="412">
      <x:c r="A412" s="65"/>
      <x:c r="B412" s="75"/>
      <x:c r="C412" s="87"/>
      <x:c r="D412" s="66"/>
      <x:c r="E412" s="111"/>
      <x:c r="F412" s="75"/>
      <x:c r="G412" s="75"/>
      <x:c r="H412" s="75"/>
      <x:c r="I412" s="75"/>
      <x:c r="J412" s="70"/>
      <x:c r="K412" s="70"/>
    </x:row>
    <x:row r="413">
      <x:c r="A413" s="65"/>
      <x:c r="B413" s="75"/>
      <x:c r="C413" s="87"/>
      <x:c r="D413" s="66"/>
      <x:c r="E413" s="111"/>
      <x:c r="F413" s="75"/>
      <x:c r="G413" s="75"/>
      <x:c r="H413" s="75"/>
      <x:c r="I413" s="75"/>
      <x:c r="J413" s="69"/>
      <x:c r="K413" s="70"/>
    </x:row>
    <x:row r="414">
      <x:c r="A414" s="65"/>
      <x:c r="B414" s="75"/>
      <x:c r="C414" s="87"/>
      <x:c r="D414" s="66"/>
      <x:c r="E414" s="111"/>
      <x:c r="F414" s="75"/>
      <x:c r="G414" s="75"/>
      <x:c r="H414" s="75"/>
      <x:c r="I414" s="75"/>
      <x:c r="J414" s="70"/>
      <x:c r="K414" s="70"/>
    </x:row>
    <x:row r="415">
      <x:c r="A415" s="65"/>
      <x:c r="B415" s="75"/>
      <x:c r="C415" s="87"/>
      <x:c r="D415" s="66"/>
      <x:c r="E415" s="111"/>
      <x:c r="F415" s="75"/>
      <x:c r="G415" s="75"/>
      <x:c r="H415" s="75"/>
      <x:c r="I415" s="75"/>
      <x:c r="J415" s="69"/>
      <x:c r="K415" s="70"/>
    </x:row>
    <x:row r="416">
      <x:c r="A416" s="65"/>
      <x:c r="B416" s="75"/>
      <x:c r="C416" s="87"/>
      <x:c r="D416" s="66"/>
      <x:c r="E416" s="111"/>
      <x:c r="F416" s="75"/>
      <x:c r="G416" s="75"/>
      <x:c r="H416" s="75"/>
      <x:c r="I416" s="75"/>
      <x:c r="J416" s="70"/>
      <x:c r="K416" s="70"/>
    </x:row>
    <x:row r="417">
      <x:c r="A417" s="65"/>
      <x:c r="B417" s="75"/>
      <x:c r="C417" s="87"/>
      <x:c r="D417" s="66"/>
      <x:c r="E417" s="111"/>
      <x:c r="F417" s="75"/>
      <x:c r="G417" s="75"/>
      <x:c r="H417" s="75"/>
      <x:c r="I417" s="75"/>
      <x:c r="J417" s="70"/>
      <x:c r="K417" s="70"/>
    </x:row>
    <x:row r="418">
      <x:c r="A418" s="65"/>
      <x:c r="B418" s="75"/>
      <x:c r="C418" s="87"/>
      <x:c r="D418" s="66"/>
      <x:c r="E418" s="111"/>
      <x:c r="F418" s="75"/>
      <x:c r="G418" s="75"/>
      <x:c r="H418" s="75"/>
      <x:c r="I418" s="75"/>
      <x:c r="J418" s="70"/>
      <x:c r="K418" s="70"/>
    </x:row>
    <x:row r="419">
      <x:c r="A419" s="65"/>
      <x:c r="B419" s="75"/>
      <x:c r="C419" s="87"/>
      <x:c r="D419" s="66"/>
      <x:c r="E419" s="111"/>
      <x:c r="F419" s="75"/>
      <x:c r="G419" s="75"/>
      <x:c r="H419" s="75"/>
      <x:c r="I419" s="75"/>
      <x:c r="J419" s="70"/>
      <x:c r="K419" s="70"/>
    </x:row>
    <x:row r="420">
      <x:c r="A420" s="65"/>
      <x:c r="B420" s="75"/>
      <x:c r="C420" s="87"/>
      <x:c r="D420" s="66"/>
      <x:c r="E420" s="111"/>
      <x:c r="F420" s="75"/>
      <x:c r="G420" s="75"/>
      <x:c r="H420" s="75"/>
      <x:c r="I420" s="75"/>
      <x:c r="J420" s="70"/>
      <x:c r="K420" s="70"/>
    </x:row>
    <x:row r="421">
      <x:c r="A421" s="65"/>
      <x:c r="B421" s="75"/>
      <x:c r="C421" s="87"/>
      <x:c r="D421" s="66"/>
      <x:c r="E421" s="111"/>
      <x:c r="F421" s="75"/>
      <x:c r="G421" s="75"/>
      <x:c r="H421" s="75"/>
      <x:c r="I421" s="75"/>
      <x:c r="J421" s="69"/>
      <x:c r="K421" s="70"/>
    </x:row>
    <x:row r="422">
      <x:c r="A422" s="65"/>
      <x:c r="B422" s="75"/>
      <x:c r="C422" s="87"/>
      <x:c r="D422" s="66"/>
      <x:c r="E422" s="111"/>
      <x:c r="F422" s="75"/>
      <x:c r="G422" s="75"/>
      <x:c r="H422" s="75"/>
      <x:c r="I422" s="75"/>
      <x:c r="J422" s="70"/>
      <x:c r="K422" s="70"/>
    </x:row>
    <x:row r="423">
      <x:c r="A423" s="65"/>
      <x:c r="B423" s="75"/>
      <x:c r="C423" s="87"/>
      <x:c r="D423" s="66"/>
      <x:c r="E423" s="111"/>
      <x:c r="F423" s="75"/>
      <x:c r="G423" s="75"/>
      <x:c r="H423" s="75"/>
      <x:c r="I423" s="75"/>
      <x:c r="J423" s="70"/>
      <x:c r="K423" s="70"/>
    </x:row>
    <x:row r="424">
      <x:c r="A424" s="65"/>
      <x:c r="B424" s="75"/>
      <x:c r="C424" s="87"/>
      <x:c r="D424" s="66"/>
      <x:c r="E424" s="111"/>
      <x:c r="F424" s="75"/>
      <x:c r="G424" s="75"/>
      <x:c r="H424" s="75"/>
      <x:c r="I424" s="75"/>
      <x:c r="J424" s="69"/>
      <x:c r="K424" s="70"/>
    </x:row>
    <x:row r="425">
      <x:c r="A425" s="65"/>
      <x:c r="B425" s="75"/>
      <x:c r="C425" s="87"/>
      <x:c r="D425" s="66"/>
      <x:c r="E425" s="111"/>
      <x:c r="F425" s="75"/>
      <x:c r="G425" s="75"/>
      <x:c r="H425" s="75"/>
      <x:c r="I425" s="75"/>
      <x:c r="J425" s="69"/>
      <x:c r="K425" s="70"/>
    </x:row>
    <x:row r="426">
      <x:c r="A426" s="65"/>
      <x:c r="B426" s="75"/>
      <x:c r="C426" s="87"/>
      <x:c r="D426" s="66"/>
      <x:c r="E426" s="111"/>
      <x:c r="F426" s="75"/>
      <x:c r="G426" s="75"/>
      <x:c r="H426" s="75"/>
      <x:c r="I426" s="75"/>
      <x:c r="J426" s="69"/>
      <x:c r="K426" s="70"/>
    </x:row>
    <x:row r="427">
      <x:c r="A427" s="65"/>
      <x:c r="B427" s="75"/>
      <x:c r="C427" s="87"/>
      <x:c r="D427" s="66"/>
      <x:c r="E427" s="111"/>
      <x:c r="F427" s="75"/>
      <x:c r="G427" s="75"/>
      <x:c r="H427" s="75"/>
      <x:c r="I427" s="75"/>
      <x:c r="J427" s="69"/>
      <x:c r="K427" s="70"/>
    </x:row>
    <x:row r="428">
      <x:c r="A428" s="65"/>
      <x:c r="B428" s="75"/>
      <x:c r="C428" s="87"/>
      <x:c r="D428" s="66"/>
      <x:c r="E428" s="111"/>
      <x:c r="F428" s="75"/>
      <x:c r="G428" s="75"/>
      <x:c r="H428" s="75"/>
      <x:c r="I428" s="75"/>
      <x:c r="J428" s="69"/>
      <x:c r="K428" s="70"/>
    </x:row>
    <x:row r="429">
      <x:c r="A429" s="65"/>
      <x:c r="B429" s="75"/>
      <x:c r="C429" s="87"/>
      <x:c r="D429" s="66"/>
      <x:c r="E429" s="111"/>
      <x:c r="F429" s="75"/>
      <x:c r="G429" s="75"/>
      <x:c r="H429" s="75"/>
      <x:c r="I429" s="75"/>
      <x:c r="J429" s="69"/>
      <x:c r="K429" s="70"/>
    </x:row>
    <x:row r="430">
      <x:c r="A430" s="65"/>
      <x:c r="B430" s="75"/>
      <x:c r="C430" s="87"/>
      <x:c r="D430" s="66"/>
      <x:c r="E430" s="111"/>
      <x:c r="F430" s="75"/>
      <x:c r="G430" s="75"/>
      <x:c r="H430" s="75"/>
      <x:c r="I430" s="75"/>
      <x:c r="J430" s="69"/>
      <x:c r="K430" s="70"/>
    </x:row>
    <x:row r="431">
      <x:c r="A431" s="65"/>
      <x:c r="B431" s="75"/>
      <x:c r="C431" s="87"/>
      <x:c r="D431" s="66"/>
      <x:c r="E431" s="111"/>
      <x:c r="F431" s="75"/>
      <x:c r="G431" s="75"/>
      <x:c r="H431" s="75"/>
      <x:c r="I431" s="75"/>
      <x:c r="J431" s="69"/>
      <x:c r="K431" s="70"/>
    </x:row>
    <x:row r="432">
      <x:c r="A432" s="65"/>
      <x:c r="B432" s="75"/>
      <x:c r="C432" s="87"/>
      <x:c r="D432" s="66"/>
      <x:c r="E432" s="111"/>
      <x:c r="F432" s="75"/>
      <x:c r="G432" s="75"/>
      <x:c r="H432" s="75"/>
      <x:c r="I432" s="75"/>
      <x:c r="J432" s="70"/>
      <x:c r="K432" s="70"/>
    </x:row>
    <x:row r="433">
      <x:c r="A433" s="65"/>
      <x:c r="B433" s="75"/>
      <x:c r="C433" s="87"/>
      <x:c r="D433" s="66"/>
      <x:c r="E433" s="111"/>
      <x:c r="F433" s="75"/>
      <x:c r="G433" s="75"/>
      <x:c r="H433" s="75"/>
      <x:c r="I433" s="75"/>
      <x:c r="J433" s="69"/>
      <x:c r="K433" s="70"/>
    </x:row>
    <x:row r="434">
      <x:c r="A434" s="65"/>
      <x:c r="B434" s="75"/>
      <x:c r="C434" s="87"/>
      <x:c r="D434" s="66"/>
      <x:c r="E434" s="111"/>
      <x:c r="F434" s="75"/>
      <x:c r="G434" s="75"/>
      <x:c r="H434" s="75"/>
      <x:c r="I434" s="75"/>
      <x:c r="J434" s="70"/>
      <x:c r="K434" s="70"/>
    </x:row>
    <x:row r="435">
      <x:c r="A435" s="65"/>
      <x:c r="B435" s="75"/>
      <x:c r="C435" s="87"/>
      <x:c r="D435" s="66"/>
      <x:c r="E435" s="111"/>
      <x:c r="F435" s="75"/>
      <x:c r="G435" s="75"/>
      <x:c r="H435" s="75"/>
      <x:c r="I435" s="75"/>
      <x:c r="J435" s="69"/>
      <x:c r="K435" s="70"/>
    </x:row>
    <x:row r="436">
      <x:c r="A436" s="65"/>
      <x:c r="B436" s="75"/>
      <x:c r="C436" s="87"/>
      <x:c r="D436" s="66"/>
      <x:c r="E436" s="111"/>
      <x:c r="F436" s="75"/>
      <x:c r="G436" s="75"/>
      <x:c r="H436" s="75"/>
      <x:c r="I436" s="75"/>
      <x:c r="J436" s="69"/>
      <x:c r="K436" s="70"/>
    </x:row>
    <x:row r="437">
      <x:c r="A437" s="65"/>
      <x:c r="B437" s="75"/>
      <x:c r="C437" s="87"/>
      <x:c r="D437" s="66"/>
      <x:c r="E437" s="111"/>
      <x:c r="F437" s="75"/>
      <x:c r="G437" s="75"/>
      <x:c r="H437" s="75"/>
      <x:c r="I437" s="75"/>
      <x:c r="J437" s="69"/>
      <x:c r="K437" s="70"/>
    </x:row>
    <x:row r="438">
      <x:c r="A438" s="65"/>
      <x:c r="B438" s="75"/>
      <x:c r="C438" s="87"/>
      <x:c r="D438" s="66"/>
      <x:c r="E438" s="111"/>
      <x:c r="F438" s="75"/>
      <x:c r="G438" s="75"/>
      <x:c r="H438" s="75"/>
      <x:c r="I438" s="75"/>
      <x:c r="J438" s="69"/>
      <x:c r="K438" s="70"/>
    </x:row>
    <x:row r="439">
      <x:c r="A439" s="65"/>
      <x:c r="B439" s="75"/>
      <x:c r="C439" s="87"/>
      <x:c r="D439" s="66"/>
      <x:c r="E439" s="111"/>
      <x:c r="F439" s="75"/>
      <x:c r="G439" s="75"/>
      <x:c r="H439" s="75"/>
      <x:c r="I439" s="75"/>
      <x:c r="J439" s="70"/>
      <x:c r="K439" s="70"/>
    </x:row>
    <x:row r="440">
      <x:c r="A440" s="65"/>
      <x:c r="B440" s="75"/>
      <x:c r="C440" s="87"/>
      <x:c r="D440" s="66"/>
      <x:c r="E440" s="111"/>
      <x:c r="F440" s="75"/>
      <x:c r="G440" s="75"/>
      <x:c r="H440" s="75"/>
      <x:c r="I440" s="75"/>
      <x:c r="J440" s="69"/>
      <x:c r="K440" s="70"/>
    </x:row>
    <x:row r="441">
      <x:c r="A441" s="65"/>
      <x:c r="B441" s="75"/>
      <x:c r="C441" s="87"/>
      <x:c r="D441" s="66"/>
      <x:c r="E441" s="111"/>
      <x:c r="F441" s="75"/>
      <x:c r="G441" s="75"/>
      <x:c r="H441" s="75"/>
      <x:c r="I441" s="75"/>
      <x:c r="J441" s="70"/>
      <x:c r="K441" s="70"/>
    </x:row>
    <x:row r="442">
      <x:c r="A442" s="65"/>
      <x:c r="B442" s="75"/>
      <x:c r="C442" s="87"/>
      <x:c r="D442" s="66"/>
      <x:c r="E442" s="111"/>
      <x:c r="F442" s="75"/>
      <x:c r="G442" s="75"/>
      <x:c r="H442" s="75"/>
      <x:c r="I442" s="75"/>
      <x:c r="J442" s="70"/>
      <x:c r="K442" s="70"/>
    </x:row>
    <x:row r="443">
      <x:c r="A443" s="65"/>
      <x:c r="B443" s="75"/>
      <x:c r="C443" s="87"/>
      <x:c r="D443" s="66"/>
      <x:c r="E443" s="111"/>
      <x:c r="F443" s="75"/>
      <x:c r="G443" s="75"/>
      <x:c r="H443" s="75"/>
      <x:c r="I443" s="75"/>
      <x:c r="J443" s="70"/>
      <x:c r="K443" s="70"/>
    </x:row>
    <x:row r="444">
      <x:c r="A444" s="65"/>
      <x:c r="B444" s="75"/>
      <x:c r="C444" s="87"/>
      <x:c r="D444" s="66"/>
      <x:c r="E444" s="111"/>
      <x:c r="F444" s="75"/>
      <x:c r="G444" s="75"/>
      <x:c r="H444" s="75"/>
      <x:c r="I444" s="75"/>
      <x:c r="J444" s="69"/>
      <x:c r="K444" s="70"/>
    </x:row>
    <x:row r="445">
      <x:c r="A445" s="65"/>
      <x:c r="B445" s="75"/>
      <x:c r="C445" s="87"/>
      <x:c r="D445" s="66"/>
      <x:c r="E445" s="111"/>
      <x:c r="F445" s="75"/>
      <x:c r="G445" s="75"/>
      <x:c r="H445" s="75"/>
      <x:c r="I445" s="75"/>
      <x:c r="J445" s="70"/>
      <x:c r="K445" s="70"/>
    </x:row>
    <x:row r="446">
      <x:c r="A446" s="65"/>
      <x:c r="B446" s="75"/>
      <x:c r="C446" s="87"/>
      <x:c r="D446" s="66"/>
      <x:c r="E446" s="111"/>
      <x:c r="F446" s="75"/>
      <x:c r="G446" s="75"/>
      <x:c r="H446" s="75"/>
      <x:c r="I446" s="75"/>
      <x:c r="J446" s="70"/>
      <x:c r="K446" s="70"/>
    </x:row>
    <x:row r="447">
      <x:c r="A447" s="65"/>
      <x:c r="B447" s="75"/>
      <x:c r="C447" s="87"/>
      <x:c r="D447" s="66"/>
      <x:c r="E447" s="111"/>
      <x:c r="F447" s="75"/>
      <x:c r="G447" s="75"/>
      <x:c r="H447" s="75"/>
      <x:c r="I447" s="75"/>
      <x:c r="J447" s="70"/>
      <x:c r="K447" s="70"/>
    </x:row>
    <x:row r="448">
      <x:c r="A448" s="65"/>
      <x:c r="B448" s="75"/>
      <x:c r="C448" s="87"/>
      <x:c r="D448" s="66"/>
      <x:c r="E448" s="111"/>
      <x:c r="F448" s="75"/>
      <x:c r="G448" s="75"/>
      <x:c r="H448" s="75"/>
      <x:c r="I448" s="75"/>
      <x:c r="J448" s="70"/>
      <x:c r="K448" s="70"/>
    </x:row>
    <x:row r="449">
      <x:c r="A449" s="65"/>
      <x:c r="B449" s="75"/>
      <x:c r="C449" s="87"/>
      <x:c r="D449" s="66"/>
      <x:c r="E449" s="111"/>
      <x:c r="F449" s="75"/>
      <x:c r="G449" s="75"/>
      <x:c r="H449" s="75"/>
      <x:c r="I449" s="75"/>
      <x:c r="J449" s="70"/>
      <x:c r="K449" s="70"/>
    </x:row>
    <x:row r="450">
      <x:c r="A450" s="65"/>
      <x:c r="B450" s="75"/>
      <x:c r="C450" s="87"/>
      <x:c r="D450" s="66"/>
      <x:c r="E450" s="111"/>
      <x:c r="F450" s="75"/>
      <x:c r="G450" s="75"/>
      <x:c r="H450" s="75"/>
      <x:c r="I450" s="75"/>
      <x:c r="J450" s="69"/>
      <x:c r="K450" s="70"/>
    </x:row>
    <x:row r="451">
      <x:c r="A451" s="65"/>
      <x:c r="B451" s="75"/>
      <x:c r="C451" s="87"/>
      <x:c r="D451" s="66"/>
      <x:c r="E451" s="111"/>
      <x:c r="F451" s="75"/>
      <x:c r="G451" s="75"/>
      <x:c r="H451" s="75"/>
      <x:c r="I451" s="75"/>
      <x:c r="J451" s="69"/>
      <x:c r="K451" s="70"/>
    </x:row>
    <x:row r="452">
      <x:c r="A452" s="65"/>
      <x:c r="B452" s="75"/>
      <x:c r="C452" s="87"/>
      <x:c r="D452" s="66"/>
      <x:c r="E452" s="111"/>
      <x:c r="F452" s="75"/>
      <x:c r="G452" s="75"/>
      <x:c r="H452" s="75"/>
      <x:c r="I452" s="75"/>
      <x:c r="J452" s="70"/>
      <x:c r="K452" s="70"/>
    </x:row>
    <x:row r="453">
      <x:c r="A453" s="65"/>
      <x:c r="B453" s="75"/>
      <x:c r="C453" s="87"/>
      <x:c r="D453" s="66"/>
      <x:c r="E453" s="111"/>
      <x:c r="F453" s="75"/>
      <x:c r="G453" s="75"/>
      <x:c r="H453" s="75"/>
      <x:c r="I453" s="75"/>
      <x:c r="J453" s="70"/>
      <x:c r="K453" s="70"/>
    </x:row>
    <x:row r="454">
      <x:c r="A454" s="65"/>
      <x:c r="B454" s="75"/>
      <x:c r="C454" s="87"/>
      <x:c r="D454" s="66"/>
      <x:c r="E454" s="111"/>
      <x:c r="F454" s="75"/>
      <x:c r="G454" s="75"/>
      <x:c r="H454" s="75"/>
      <x:c r="I454" s="75"/>
      <x:c r="J454" s="70"/>
      <x:c r="K454" s="70"/>
    </x:row>
    <x:row r="455">
      <x:c r="A455" s="65"/>
      <x:c r="B455" s="75"/>
      <x:c r="C455" s="87"/>
      <x:c r="D455" s="66"/>
      <x:c r="E455" s="111"/>
      <x:c r="F455" s="75"/>
      <x:c r="G455" s="75"/>
      <x:c r="H455" s="75"/>
      <x:c r="I455" s="75"/>
      <x:c r="J455" s="70"/>
      <x:c r="K455" s="70"/>
    </x:row>
    <x:row r="456">
      <x:c r="A456" s="65"/>
      <x:c r="B456" s="75"/>
      <x:c r="C456" s="87"/>
      <x:c r="D456" s="66"/>
      <x:c r="E456" s="111"/>
      <x:c r="F456" s="75"/>
      <x:c r="G456" s="75"/>
      <x:c r="H456" s="75"/>
      <x:c r="I456" s="75"/>
      <x:c r="J456" s="70"/>
      <x:c r="K456" s="70"/>
    </x:row>
    <x:row r="457">
      <x:c r="A457" s="65"/>
      <x:c r="B457" s="75"/>
      <x:c r="C457" s="87"/>
      <x:c r="D457" s="66"/>
      <x:c r="E457" s="111"/>
      <x:c r="F457" s="75"/>
      <x:c r="G457" s="75"/>
      <x:c r="H457" s="75"/>
      <x:c r="I457" s="75"/>
      <x:c r="J457" s="70"/>
      <x:c r="K457" s="70"/>
    </x:row>
    <x:row r="458">
      <x:c r="A458" s="65"/>
      <x:c r="B458" s="75"/>
      <x:c r="C458" s="87"/>
      <x:c r="D458" s="66"/>
      <x:c r="E458" s="111"/>
      <x:c r="F458" s="75"/>
      <x:c r="G458" s="75"/>
      <x:c r="H458" s="75"/>
      <x:c r="I458" s="75"/>
      <x:c r="J458" s="70"/>
      <x:c r="K458" s="70"/>
    </x:row>
    <x:row r="459">
      <x:c r="A459" s="65"/>
      <x:c r="B459" s="75"/>
      <x:c r="C459" s="87"/>
      <x:c r="D459" s="66"/>
      <x:c r="E459" s="111"/>
      <x:c r="F459" s="75"/>
      <x:c r="G459" s="75"/>
      <x:c r="H459" s="75"/>
      <x:c r="I459" s="75"/>
      <x:c r="J459" s="70"/>
      <x:c r="K459" s="70"/>
    </x:row>
    <x:row r="460">
      <x:c r="A460" s="65"/>
      <x:c r="B460" s="75"/>
      <x:c r="C460" s="87"/>
      <x:c r="D460" s="66"/>
      <x:c r="E460" s="111"/>
      <x:c r="F460" s="75"/>
      <x:c r="G460" s="75"/>
      <x:c r="H460" s="75"/>
      <x:c r="I460" s="75"/>
      <x:c r="J460" s="70"/>
      <x:c r="K460" s="70"/>
    </x:row>
    <x:row r="461">
      <x:c r="A461" s="65"/>
      <x:c r="B461" s="75"/>
      <x:c r="C461" s="87"/>
      <x:c r="D461" s="66"/>
      <x:c r="E461" s="111"/>
      <x:c r="F461" s="75"/>
      <x:c r="G461" s="75"/>
      <x:c r="H461" s="75"/>
      <x:c r="I461" s="75"/>
      <x:c r="J461" s="70"/>
      <x:c r="K461" s="70"/>
    </x:row>
    <x:row r="462">
      <x:c r="A462" s="65"/>
      <x:c r="B462" s="75"/>
      <x:c r="C462" s="87"/>
      <x:c r="D462" s="66"/>
      <x:c r="E462" s="111"/>
      <x:c r="F462" s="75"/>
      <x:c r="G462" s="75"/>
      <x:c r="H462" s="75"/>
      <x:c r="I462" s="75"/>
      <x:c r="J462" s="70"/>
      <x:c r="K462" s="70"/>
    </x:row>
    <x:row r="463">
      <x:c r="A463" s="65"/>
      <x:c r="B463" s="75"/>
      <x:c r="C463" s="87"/>
      <x:c r="D463" s="66"/>
      <x:c r="E463" s="111"/>
      <x:c r="F463" s="75"/>
      <x:c r="G463" s="75"/>
      <x:c r="H463" s="75"/>
      <x:c r="I463" s="75"/>
      <x:c r="J463" s="70"/>
      <x:c r="K463" s="70"/>
    </x:row>
    <x:row r="464">
      <x:c r="A464" s="65"/>
      <x:c r="B464" s="75"/>
      <x:c r="C464" s="87"/>
      <x:c r="D464" s="66"/>
      <x:c r="E464" s="111"/>
      <x:c r="F464" s="75"/>
      <x:c r="G464" s="75"/>
      <x:c r="H464" s="75"/>
      <x:c r="I464" s="75"/>
      <x:c r="J464" s="70"/>
      <x:c r="K464" s="70"/>
    </x:row>
    <x:row r="465">
      <x:c r="A465" s="65"/>
      <x:c r="B465" s="75"/>
      <x:c r="C465" s="87"/>
      <x:c r="D465" s="66"/>
      <x:c r="E465" s="111"/>
      <x:c r="F465" s="75"/>
      <x:c r="G465" s="75"/>
      <x:c r="H465" s="75"/>
      <x:c r="I465" s="75"/>
      <x:c r="J465" s="70"/>
      <x:c r="K465" s="70"/>
    </x:row>
    <x:row r="466">
      <x:c r="A466" s="65"/>
      <x:c r="B466" s="75"/>
      <x:c r="C466" s="87"/>
      <x:c r="D466" s="66"/>
      <x:c r="E466" s="111"/>
      <x:c r="F466" s="75"/>
      <x:c r="G466" s="75"/>
      <x:c r="H466" s="75"/>
      <x:c r="I466" s="75"/>
      <x:c r="J466" s="70"/>
      <x:c r="K466" s="70"/>
    </x:row>
    <x:row r="467">
      <x:c r="A467" s="65"/>
      <x:c r="B467" s="75"/>
      <x:c r="C467" s="87"/>
      <x:c r="D467" s="66"/>
      <x:c r="E467" s="111"/>
      <x:c r="F467" s="75"/>
      <x:c r="G467" s="75"/>
      <x:c r="H467" s="75"/>
      <x:c r="I467" s="75"/>
      <x:c r="J467" s="70"/>
      <x:c r="K467" s="70"/>
    </x:row>
    <x:row r="468">
      <x:c r="A468" s="65"/>
      <x:c r="B468" s="75"/>
      <x:c r="C468" s="87"/>
      <x:c r="D468" s="66"/>
      <x:c r="E468" s="111"/>
      <x:c r="F468" s="75"/>
      <x:c r="G468" s="75"/>
      <x:c r="H468" s="75"/>
      <x:c r="I468" s="75"/>
      <x:c r="J468" s="70"/>
      <x:c r="K468" s="70"/>
    </x:row>
    <x:row r="469">
      <x:c r="A469" s="65"/>
      <x:c r="B469" s="75"/>
      <x:c r="C469" s="87"/>
      <x:c r="D469" s="66"/>
      <x:c r="E469" s="111"/>
      <x:c r="F469" s="75"/>
      <x:c r="G469" s="75"/>
      <x:c r="H469" s="75"/>
      <x:c r="I469" s="75"/>
      <x:c r="J469" s="70"/>
      <x:c r="K469" s="70"/>
    </x:row>
    <x:row r="470">
      <x:c r="A470" s="65"/>
      <x:c r="B470" s="75"/>
      <x:c r="C470" s="87"/>
      <x:c r="D470" s="66"/>
      <x:c r="E470" s="111"/>
      <x:c r="F470" s="75"/>
      <x:c r="G470" s="75"/>
      <x:c r="H470" s="75"/>
      <x:c r="I470" s="75"/>
      <x:c r="J470" s="70"/>
      <x:c r="K470" s="70"/>
    </x:row>
    <x:row r="471">
      <x:c r="A471" s="65"/>
      <x:c r="B471" s="75"/>
      <x:c r="C471" s="87"/>
      <x:c r="D471" s="66"/>
      <x:c r="E471" s="111"/>
      <x:c r="F471" s="75"/>
      <x:c r="G471" s="75"/>
      <x:c r="H471" s="75"/>
      <x:c r="I471" s="75"/>
      <x:c r="J471" s="70"/>
      <x:c r="K471" s="70"/>
    </x:row>
    <x:row r="472">
      <x:c r="A472" s="65"/>
      <x:c r="B472" s="75"/>
      <x:c r="C472" s="87"/>
      <x:c r="D472" s="66"/>
      <x:c r="E472" s="111"/>
      <x:c r="F472" s="75"/>
      <x:c r="G472" s="75"/>
      <x:c r="H472" s="75"/>
      <x:c r="I472" s="75"/>
      <x:c r="J472" s="69"/>
      <x:c r="K472" s="70"/>
    </x:row>
    <x:row r="473">
      <x:c r="A473" s="65"/>
      <x:c r="B473" s="75"/>
      <x:c r="C473" s="87"/>
      <x:c r="D473" s="66"/>
      <x:c r="E473" s="111"/>
      <x:c r="F473" s="75"/>
      <x:c r="G473" s="75"/>
      <x:c r="H473" s="75"/>
      <x:c r="I473" s="75"/>
      <x:c r="J473" s="70"/>
      <x:c r="K473" s="70"/>
    </x:row>
    <x:row r="474">
      <x:c r="A474" s="65"/>
      <x:c r="B474" s="75"/>
      <x:c r="C474" s="87"/>
      <x:c r="D474" s="66"/>
      <x:c r="E474" s="111"/>
      <x:c r="F474" s="75"/>
      <x:c r="G474" s="75"/>
      <x:c r="H474" s="75"/>
      <x:c r="I474" s="75"/>
      <x:c r="J474" s="70"/>
      <x:c r="K474" s="70"/>
    </x:row>
    <x:row r="475">
      <x:c r="A475" s="65"/>
      <x:c r="B475" s="75"/>
      <x:c r="C475" s="87"/>
      <x:c r="D475" s="66"/>
      <x:c r="E475" s="111"/>
      <x:c r="F475" s="75"/>
      <x:c r="G475" s="75"/>
      <x:c r="H475" s="75"/>
      <x:c r="I475" s="75"/>
      <x:c r="J475" s="70"/>
      <x:c r="K475" s="70"/>
    </x:row>
    <x:row r="476">
      <x:c r="A476" s="65"/>
      <x:c r="B476" s="75"/>
      <x:c r="C476" s="87"/>
      <x:c r="D476" s="66"/>
      <x:c r="E476" s="111"/>
      <x:c r="F476" s="75"/>
      <x:c r="G476" s="75"/>
      <x:c r="H476" s="75"/>
      <x:c r="I476" s="75"/>
      <x:c r="J476" s="70"/>
      <x:c r="K476" s="70"/>
    </x:row>
    <x:row r="477">
      <x:c r="A477" s="65"/>
      <x:c r="B477" s="75"/>
      <x:c r="C477" s="87"/>
      <x:c r="D477" s="66"/>
      <x:c r="E477" s="111"/>
      <x:c r="F477" s="75"/>
      <x:c r="G477" s="75"/>
      <x:c r="H477" s="75"/>
      <x:c r="I477" s="75"/>
      <x:c r="J477" s="70"/>
      <x:c r="K477" s="70"/>
    </x:row>
    <x:row r="478">
      <x:c r="A478" s="65"/>
      <x:c r="B478" s="75"/>
      <x:c r="C478" s="87"/>
      <x:c r="D478" s="66"/>
      <x:c r="E478" s="111"/>
      <x:c r="F478" s="75"/>
      <x:c r="G478" s="75"/>
      <x:c r="H478" s="75"/>
      <x:c r="I478" s="75"/>
      <x:c r="J478" s="70"/>
      <x:c r="K478" s="70"/>
    </x:row>
    <x:row r="479">
      <x:c r="A479" s="65"/>
      <x:c r="B479" s="75"/>
      <x:c r="C479" s="87"/>
      <x:c r="D479" s="66"/>
      <x:c r="E479" s="111"/>
      <x:c r="F479" s="75"/>
      <x:c r="G479" s="75"/>
      <x:c r="H479" s="75"/>
      <x:c r="I479" s="75"/>
      <x:c r="J479" s="70"/>
      <x:c r="K479" s="70"/>
    </x:row>
    <x:row r="480">
      <x:c r="A480" s="65"/>
      <x:c r="B480" s="75"/>
      <x:c r="C480" s="87"/>
      <x:c r="D480" s="66"/>
      <x:c r="E480" s="111"/>
      <x:c r="F480" s="75"/>
      <x:c r="G480" s="75"/>
      <x:c r="H480" s="75"/>
      <x:c r="I480" s="75"/>
      <x:c r="J480" s="70"/>
      <x:c r="K480" s="70"/>
    </x:row>
    <x:row r="481">
      <x:c r="A481" s="65"/>
      <x:c r="B481" s="75"/>
      <x:c r="C481" s="87"/>
      <x:c r="D481" s="66"/>
      <x:c r="E481" s="111"/>
      <x:c r="F481" s="75"/>
      <x:c r="G481" s="75"/>
      <x:c r="H481" s="75"/>
      <x:c r="I481" s="75"/>
      <x:c r="J481" s="70"/>
      <x:c r="K481" s="70"/>
    </x:row>
    <x:row r="482">
      <x:c r="A482" s="65"/>
      <x:c r="B482" s="75"/>
      <x:c r="C482" s="87"/>
      <x:c r="D482" s="66"/>
      <x:c r="E482" s="111"/>
      <x:c r="F482" s="75"/>
      <x:c r="G482" s="75"/>
      <x:c r="H482" s="75"/>
      <x:c r="I482" s="75"/>
      <x:c r="J482" s="70"/>
      <x:c r="K482" s="70"/>
    </x:row>
    <x:row r="483">
      <x:c r="A483" s="65"/>
      <x:c r="B483" s="75"/>
      <x:c r="C483" s="87"/>
      <x:c r="D483" s="66"/>
      <x:c r="E483" s="111"/>
      <x:c r="F483" s="75"/>
      <x:c r="G483" s="75"/>
      <x:c r="H483" s="75"/>
      <x:c r="I483" s="75"/>
      <x:c r="J483" s="70"/>
      <x:c r="K483" s="70"/>
    </x:row>
    <x:row r="484">
      <x:c r="A484" s="65"/>
      <x:c r="B484" s="75"/>
      <x:c r="C484" s="87"/>
      <x:c r="D484" s="66"/>
      <x:c r="E484" s="111"/>
      <x:c r="F484" s="75"/>
      <x:c r="G484" s="75"/>
      <x:c r="H484" s="75"/>
      <x:c r="I484" s="75"/>
      <x:c r="J484" s="70"/>
      <x:c r="K484" s="70"/>
    </x:row>
    <x:row r="485">
      <x:c r="A485" s="65"/>
      <x:c r="B485" s="75"/>
      <x:c r="C485" s="87"/>
      <x:c r="D485" s="66"/>
      <x:c r="E485" s="111"/>
      <x:c r="F485" s="75"/>
      <x:c r="G485" s="75"/>
      <x:c r="H485" s="75"/>
      <x:c r="I485" s="75"/>
      <x:c r="J485" s="70"/>
      <x:c r="K485" s="70"/>
    </x:row>
    <x:row r="486">
      <x:c r="A486" s="65"/>
      <x:c r="B486" s="75"/>
      <x:c r="C486" s="87"/>
      <x:c r="D486" s="66"/>
      <x:c r="E486" s="111"/>
      <x:c r="F486" s="75"/>
      <x:c r="G486" s="75"/>
      <x:c r="H486" s="75"/>
      <x:c r="I486" s="75"/>
      <x:c r="J486" s="70"/>
      <x:c r="K486" s="70"/>
    </x:row>
    <x:row r="487">
      <x:c r="A487" s="65"/>
      <x:c r="B487" s="75"/>
      <x:c r="C487" s="87"/>
      <x:c r="D487" s="66"/>
      <x:c r="E487" s="111"/>
      <x:c r="F487" s="75"/>
      <x:c r="G487" s="75"/>
      <x:c r="H487" s="75"/>
      <x:c r="I487" s="75"/>
      <x:c r="J487" s="70"/>
      <x:c r="K487" s="70"/>
    </x:row>
    <x:row r="488">
      <x:c r="A488" s="65"/>
      <x:c r="B488" s="75"/>
      <x:c r="C488" s="87"/>
      <x:c r="D488" s="66"/>
      <x:c r="E488" s="111"/>
      <x:c r="F488" s="75"/>
      <x:c r="G488" s="75"/>
      <x:c r="H488" s="75"/>
      <x:c r="I488" s="75"/>
      <x:c r="J488" s="70"/>
      <x:c r="K488" s="70"/>
    </x:row>
    <x:row r="489">
      <x:c r="A489" s="65"/>
      <x:c r="B489" s="75"/>
      <x:c r="C489" s="87"/>
      <x:c r="D489" s="66"/>
      <x:c r="E489" s="111"/>
      <x:c r="F489" s="75"/>
      <x:c r="G489" s="75"/>
      <x:c r="H489" s="75"/>
      <x:c r="I489" s="75"/>
      <x:c r="J489" s="70"/>
      <x:c r="K489" s="70"/>
    </x:row>
    <x:row r="490">
      <x:c r="A490" s="65"/>
      <x:c r="B490" s="75"/>
      <x:c r="C490" s="87"/>
      <x:c r="D490" s="66"/>
      <x:c r="E490" s="111"/>
      <x:c r="F490" s="75"/>
      <x:c r="G490" s="75"/>
      <x:c r="H490" s="75"/>
      <x:c r="I490" s="75"/>
      <x:c r="J490" s="70"/>
      <x:c r="K490" s="70"/>
    </x:row>
    <x:row r="491">
      <x:c r="A491" s="65"/>
      <x:c r="B491" s="75"/>
      <x:c r="C491" s="87"/>
      <x:c r="D491" s="66"/>
      <x:c r="E491" s="111"/>
      <x:c r="F491" s="75"/>
      <x:c r="G491" s="75"/>
      <x:c r="H491" s="75"/>
      <x:c r="I491" s="75"/>
      <x:c r="J491" s="70"/>
      <x:c r="K491" s="70"/>
    </x:row>
    <x:row r="492">
      <x:c r="A492" s="65"/>
      <x:c r="B492" s="75"/>
      <x:c r="C492" s="87"/>
      <x:c r="D492" s="66"/>
      <x:c r="E492" s="111"/>
      <x:c r="F492" s="75"/>
      <x:c r="G492" s="75"/>
      <x:c r="H492" s="75"/>
      <x:c r="I492" s="75"/>
      <x:c r="J492" s="69"/>
      <x:c r="K492" s="70"/>
    </x:row>
    <x:row r="493">
      <x:c r="A493" s="65"/>
      <x:c r="B493" s="75"/>
      <x:c r="C493" s="87"/>
      <x:c r="D493" s="66"/>
      <x:c r="E493" s="111"/>
      <x:c r="F493" s="75"/>
      <x:c r="G493" s="75"/>
      <x:c r="H493" s="75"/>
      <x:c r="I493" s="75"/>
      <x:c r="J493" s="69"/>
      <x:c r="K493" s="70"/>
    </x:row>
    <x:row r="494">
      <x:c r="A494" s="65"/>
      <x:c r="B494" s="75"/>
      <x:c r="C494" s="87"/>
      <x:c r="D494" s="66"/>
      <x:c r="E494" s="111"/>
      <x:c r="F494" s="75"/>
      <x:c r="G494" s="75"/>
      <x:c r="H494" s="75"/>
      <x:c r="I494" s="75"/>
      <x:c r="J494" s="69"/>
      <x:c r="K494" s="70"/>
    </x:row>
    <x:row r="495">
      <x:c r="A495" s="65"/>
      <x:c r="B495" s="75"/>
      <x:c r="C495" s="87"/>
      <x:c r="D495" s="66"/>
      <x:c r="E495" s="111"/>
      <x:c r="F495" s="75"/>
      <x:c r="G495" s="75"/>
      <x:c r="H495" s="75"/>
      <x:c r="I495" s="75"/>
      <x:c r="J495" s="69"/>
      <x:c r="K495" s="70"/>
    </x:row>
    <x:row r="496">
      <x:c r="A496" s="65"/>
      <x:c r="B496" s="75"/>
      <x:c r="C496" s="87"/>
      <x:c r="D496" s="66"/>
      <x:c r="E496" s="111"/>
      <x:c r="F496" s="75"/>
      <x:c r="G496" s="75"/>
      <x:c r="H496" s="75"/>
      <x:c r="I496" s="75"/>
      <x:c r="J496" s="69"/>
      <x:c r="K496" s="70"/>
    </x:row>
    <x:row r="497">
      <x:c r="A497" s="65"/>
      <x:c r="B497" s="75"/>
      <x:c r="C497" s="87"/>
      <x:c r="D497" s="66"/>
      <x:c r="E497" s="111"/>
      <x:c r="F497" s="75"/>
      <x:c r="G497" s="75"/>
      <x:c r="H497" s="75"/>
      <x:c r="I497" s="75"/>
      <x:c r="J497" s="70"/>
      <x:c r="K497" s="70"/>
    </x:row>
    <x:row r="498">
      <x:c r="A498" s="65"/>
      <x:c r="B498" s="75"/>
      <x:c r="C498" s="87"/>
      <x:c r="D498" s="66"/>
      <x:c r="E498" s="111"/>
      <x:c r="F498" s="75"/>
      <x:c r="G498" s="75"/>
      <x:c r="H498" s="75"/>
      <x:c r="I498" s="75"/>
      <x:c r="J498" s="69"/>
      <x:c r="K498" s="70"/>
    </x:row>
    <x:row r="499">
      <x:c r="A499" s="65"/>
      <x:c r="B499" s="75"/>
      <x:c r="C499" s="87"/>
      <x:c r="D499" s="66"/>
      <x:c r="E499" s="111"/>
      <x:c r="F499" s="75"/>
      <x:c r="G499" s="75"/>
      <x:c r="H499" s="75"/>
      <x:c r="I499" s="75"/>
      <x:c r="J499" s="69"/>
      <x:c r="K499" s="70"/>
    </x:row>
    <x:row r="500">
      <x:c r="A500" s="65"/>
      <x:c r="B500" s="75"/>
      <x:c r="C500" s="87"/>
      <x:c r="D500" s="66"/>
      <x:c r="E500" s="111"/>
      <x:c r="F500" s="75"/>
      <x:c r="G500" s="75"/>
      <x:c r="H500" s="75"/>
      <x:c r="I500" s="75"/>
      <x:c r="J500" s="70"/>
      <x:c r="K500" s="70"/>
    </x:row>
    <x:row r="501">
      <x:c r="A501" s="65"/>
      <x:c r="B501" s="75"/>
      <x:c r="C501" s="87"/>
      <x:c r="D501" s="66"/>
      <x:c r="E501" s="111"/>
      <x:c r="F501" s="75"/>
      <x:c r="G501" s="75"/>
      <x:c r="H501" s="75"/>
      <x:c r="I501" s="75"/>
      <x:c r="J501" s="70"/>
      <x:c r="K501" s="70"/>
    </x:row>
    <x:row r="502">
      <x:c r="A502" s="65"/>
      <x:c r="B502" s="75"/>
      <x:c r="C502" s="87"/>
      <x:c r="D502" s="66"/>
      <x:c r="E502" s="111"/>
      <x:c r="F502" s="75"/>
      <x:c r="G502" s="75"/>
      <x:c r="H502" s="75"/>
      <x:c r="I502" s="75"/>
      <x:c r="J502" s="70"/>
      <x:c r="K502" s="70"/>
    </x:row>
    <x:row r="503">
      <x:c r="A503" s="65"/>
      <x:c r="B503" s="75"/>
      <x:c r="C503" s="87"/>
      <x:c r="D503" s="66"/>
      <x:c r="E503" s="111"/>
      <x:c r="F503" s="75"/>
      <x:c r="G503" s="75"/>
      <x:c r="H503" s="75"/>
      <x:c r="I503" s="75"/>
      <x:c r="J503" s="70"/>
      <x:c r="K503" s="70"/>
    </x:row>
    <x:row r="504">
      <x:c r="A504" s="65"/>
      <x:c r="B504" s="75"/>
      <x:c r="C504" s="87"/>
      <x:c r="D504" s="66"/>
      <x:c r="E504" s="111"/>
      <x:c r="F504" s="75"/>
      <x:c r="G504" s="75"/>
      <x:c r="H504" s="75"/>
      <x:c r="I504" s="75"/>
      <x:c r="J504" s="70"/>
      <x:c r="K504" s="70"/>
    </x:row>
    <x:row r="505">
      <x:c r="A505" s="65"/>
      <x:c r="B505" s="75"/>
      <x:c r="C505" s="87"/>
      <x:c r="D505" s="66"/>
      <x:c r="E505" s="111"/>
      <x:c r="F505" s="75"/>
      <x:c r="G505" s="75"/>
      <x:c r="H505" s="75"/>
      <x:c r="I505" s="75"/>
      <x:c r="J505" s="70"/>
      <x:c r="K505" s="70"/>
    </x:row>
  </x:sheetData>
  <x:mergeCells>
    <x:mergeCell ref="A88:C88"/>
    <x:mergeCell ref="A84:C84"/>
    <x:mergeCell ref="A49:C49"/>
    <x:mergeCell ref="A2:C2"/>
    <x:mergeCell ref="A1:H1"/>
    <x:mergeCell ref="A5:C5"/>
    <x:mergeCell ref="A10:C10"/>
    <x:mergeCell ref="A19:C19"/>
    <x:mergeCell ref="A45:C45"/>
  </x:mergeCells>
  <x:conditionalFormatting sqref="A56:A56">
    <x:cfRule type="cellIs" dxfId="93" priority="115" operator="equal">
      <x:formula>"withdrawn"</x:formula>
    </x:cfRule>
    <x:cfRule type="cellIs" dxfId="92" priority="117" operator="equal">
      <x:formula>"work"</x:formula>
    </x:cfRule>
    <x:cfRule type="cellIs" dxfId="91" priority="118" operator="equal">
      <x:formula>"open"</x:formula>
    </x:cfRule>
    <x:cfRule type="cellIs" dxfId="90" priority="114" operator="equal">
      <x:formula>"implemented"</x:formula>
    </x:cfRule>
    <x:cfRule type="cellIs" dxfId="89" priority="116" operator="equal">
      <x:formula>"done"</x:formula>
    </x:cfRule>
    <x:cfRule type="expression" dxfId="88" priority="113">
      <x:formula>$J56="not ready specified"</x:formula>
    </x:cfRule>
  </x:conditionalFormatting>
  <x:conditionalFormatting sqref="A50:C50">
    <x:cfRule type="cellIs" dxfId="87" priority="281" operator="equal">
      <x:formula>"withdrawn"</x:formula>
    </x:cfRule>
    <x:cfRule type="expression" dxfId="86" priority="279">
      <x:formula>$J51="not ready specified"</x:formula>
    </x:cfRule>
    <x:cfRule type="cellIs" dxfId="85" priority="280" operator="equal">
      <x:formula>"implemented"</x:formula>
    </x:cfRule>
    <x:cfRule type="cellIs" dxfId="84" priority="282" operator="equal">
      <x:formula>"done"</x:formula>
    </x:cfRule>
    <x:cfRule type="cellIs" dxfId="83" priority="283" operator="equal">
      <x:formula>"work"</x:formula>
    </x:cfRule>
    <x:cfRule type="cellIs" dxfId="82" priority="284" operator="equal">
      <x:formula>"open"</x:formula>
    </x:cfRule>
  </x:conditionalFormatting>
  <x:conditionalFormatting sqref="A51:C52">
    <x:cfRule type="expression" dxfId="81" priority="298">
      <x:formula>$J53="not ready specified"</x:formula>
    </x:cfRule>
    <x:cfRule type="cellIs" dxfId="80" priority="299" operator="equal">
      <x:formula>"implemented"</x:formula>
    </x:cfRule>
    <x:cfRule type="cellIs" dxfId="79" priority="300" operator="equal">
      <x:formula>"withdrawn"</x:formula>
    </x:cfRule>
    <x:cfRule type="cellIs" dxfId="78" priority="301" operator="equal">
      <x:formula>"done"</x:formula>
    </x:cfRule>
    <x:cfRule type="cellIs" dxfId="77" priority="302" operator="equal">
      <x:formula>"work"</x:formula>
    </x:cfRule>
    <x:cfRule type="cellIs" dxfId="76" priority="303" operator="equal">
      <x:formula>"open"</x:formula>
    </x:cfRule>
  </x:conditionalFormatting>
  <x:conditionalFormatting sqref="A53:C53 A54:B55">
    <x:cfRule type="cellIs" dxfId="75" priority="271" operator="equal">
      <x:formula>"open"</x:formula>
    </x:cfRule>
    <x:cfRule type="cellIs" dxfId="74" priority="270" operator="equal">
      <x:formula>"work"</x:formula>
    </x:cfRule>
    <x:cfRule type="cellIs" dxfId="73" priority="269" operator="equal">
      <x:formula>"done"</x:formula>
    </x:cfRule>
    <x:cfRule type="cellIs" dxfId="72" priority="268" operator="equal">
      <x:formula>"withdrawn"</x:formula>
    </x:cfRule>
    <x:cfRule type="cellIs" dxfId="71" priority="267" operator="equal">
      <x:formula>"implemented"</x:formula>
    </x:cfRule>
    <x:cfRule type="expression" dxfId="70" priority="266">
      <x:formula>$J50="not ready specified"</x:formula>
    </x:cfRule>
  </x:conditionalFormatting>
  <x:conditionalFormatting sqref="A4:K5 A6:D6 F6:K6 A7:K10 A11:D11 F11:K11 A12:K13 A14:D16 F14:K16 A17:K44 A45:A45 D45:K45 A46:K47 D48:K56 A49:A49 A76:K76 A90:K195">
    <x:cfRule type="cellIs" dxfId="69" priority="219" operator="equal">
      <x:formula>"open"</x:formula>
    </x:cfRule>
    <x:cfRule type="cellIs" dxfId="68" priority="161" operator="equal">
      <x:formula>"work"</x:formula>
    </x:cfRule>
    <x:cfRule type="cellIs" dxfId="67" priority="160" operator="equal">
      <x:formula>"done"</x:formula>
    </x:cfRule>
    <x:cfRule type="cellIs" dxfId="66" priority="159" operator="equal">
      <x:formula>"withdrawn"</x:formula>
    </x:cfRule>
    <x:cfRule type="cellIs" dxfId="65" priority="158" operator="equal">
      <x:formula>"implemented"</x:formula>
    </x:cfRule>
  </x:conditionalFormatting>
  <x:conditionalFormatting sqref="A57:K81">
    <x:cfRule type="cellIs" dxfId="64" priority="47" operator="equal">
      <x:formula>"work"</x:formula>
    </x:cfRule>
    <x:cfRule type="cellIs" dxfId="63" priority="46" operator="equal">
      <x:formula>"done"</x:formula>
    </x:cfRule>
    <x:cfRule type="cellIs" dxfId="62" priority="45" operator="equal">
      <x:formula>"withdrawn"</x:formula>
    </x:cfRule>
    <x:cfRule type="cellIs" dxfId="61" priority="44" operator="equal">
      <x:formula>"implemented"</x:formula>
    </x:cfRule>
    <x:cfRule type="expression" dxfId="60" priority="43">
      <x:formula>$J57="not ready specified"</x:formula>
    </x:cfRule>
    <x:cfRule type="cellIs" dxfId="59" priority="48" operator="equal">
      <x:formula>"open"</x:formula>
    </x:cfRule>
  </x:conditionalFormatting>
  <x:conditionalFormatting sqref="A76:K76 A90:K195 A4:K5 A6:D6 F6:K6 A7:K10 A11:D11 F11:K11 A12:K13 A14:D16 F14:K16 A17:K44 A45:A45 D45:K45 A46:K47 D48:K56 A49:A49">
    <x:cfRule type="expression" dxfId="58" priority="145">
      <x:formula>$J4="not ready specified"</x:formula>
    </x:cfRule>
  </x:conditionalFormatting>
  <x:conditionalFormatting sqref="A77:K81">
    <x:cfRule type="cellIs" dxfId="57" priority="41" operator="equal">
      <x:formula>"open"</x:formula>
    </x:cfRule>
    <x:cfRule type="cellIs" dxfId="56" priority="39" operator="equal">
      <x:formula>"done"</x:formula>
    </x:cfRule>
    <x:cfRule type="cellIs" dxfId="55" priority="38" operator="equal">
      <x:formula>"withdrawn"</x:formula>
    </x:cfRule>
    <x:cfRule type="cellIs" dxfId="54" priority="37" operator="equal">
      <x:formula>"implemented"</x:formula>
    </x:cfRule>
    <x:cfRule type="expression" dxfId="53" priority="36">
      <x:formula>$J77="not ready specified"</x:formula>
    </x:cfRule>
    <x:cfRule type="cellIs" dxfId="52" priority="40" operator="equal">
      <x:formula>"work"</x:formula>
    </x:cfRule>
  </x:conditionalFormatting>
  <x:conditionalFormatting sqref="A82:K87">
    <x:cfRule type="cellIs" dxfId="51" priority="104" operator="equal">
      <x:formula>"open"</x:formula>
    </x:cfRule>
    <x:cfRule type="cellIs" dxfId="50" priority="103" operator="equal">
      <x:formula>"work"</x:formula>
    </x:cfRule>
    <x:cfRule type="cellIs" dxfId="49" priority="101" operator="equal">
      <x:formula>"withdrawn"</x:formula>
    </x:cfRule>
    <x:cfRule type="cellIs" dxfId="48" priority="100" operator="equal">
      <x:formula>"implemented"</x:formula>
    </x:cfRule>
    <x:cfRule type="expression" dxfId="47" priority="99">
      <x:formula>$J82="not ready specified"</x:formula>
    </x:cfRule>
    <x:cfRule type="cellIs" dxfId="46" priority="102" operator="equal">
      <x:formula>"done"</x:formula>
    </x:cfRule>
  </x:conditionalFormatting>
  <x:conditionalFormatting sqref="A88:K89">
    <x:cfRule type="cellIs" dxfId="45" priority="25" operator="equal">
      <x:formula>"done"</x:formula>
    </x:cfRule>
    <x:cfRule type="cellIs" dxfId="44" priority="24" operator="equal">
      <x:formula>"withdrawn"</x:formula>
    </x:cfRule>
    <x:cfRule type="cellIs" dxfId="43" priority="23" operator="equal">
      <x:formula>"implemented"</x:formula>
    </x:cfRule>
    <x:cfRule type="expression" dxfId="42" priority="22">
      <x:formula>$J88="not ready specified"</x:formula>
    </x:cfRule>
    <x:cfRule type="cellIs" dxfId="41" priority="27" operator="equal">
      <x:formula>"open"</x:formula>
    </x:cfRule>
    <x:cfRule type="cellIs" dxfId="40" priority="26" operator="equal">
      <x:formula>"work"</x:formula>
    </x:cfRule>
  </x:conditionalFormatting>
  <x:conditionalFormatting sqref="B50:B55 B82:B83 B85:B87 B46:B47 B4:B44 B76:B76 B90:B195 B57:B74">
    <x:cfRule type="duplicateValues" dxfId="39" priority="355"/>
  </x:conditionalFormatting>
  <x:conditionalFormatting sqref="B56:B56">
    <x:cfRule type="cellIs" dxfId="38" priority="107" operator="equal">
      <x:formula>"implemented"</x:formula>
    </x:cfRule>
    <x:cfRule type="cellIs" dxfId="37" priority="109" operator="equal">
      <x:formula>"done"</x:formula>
    </x:cfRule>
    <x:cfRule type="cellIs" dxfId="36" priority="110" operator="equal">
      <x:formula>"work"</x:formula>
    </x:cfRule>
    <x:cfRule type="cellIs" dxfId="35" priority="111" operator="equal">
      <x:formula>"open"</x:formula>
    </x:cfRule>
    <x:cfRule type="duplicateValues" dxfId="34" priority="112"/>
    <x:cfRule type="cellIs" dxfId="33" priority="108" operator="equal">
      <x:formula>"withdrawn"</x:formula>
    </x:cfRule>
    <x:cfRule type="expression" dxfId="32" priority="106">
      <x:formula>$J51="not ready specified"</x:formula>
    </x:cfRule>
  </x:conditionalFormatting>
  <x:conditionalFormatting sqref="B75:B75">
    <x:cfRule type="duplicateValues" dxfId="31" priority="56"/>
  </x:conditionalFormatting>
  <x:conditionalFormatting sqref="B76:B76">
    <x:cfRule type="duplicateValues" dxfId="30" priority="91"/>
  </x:conditionalFormatting>
  <x:conditionalFormatting sqref="B77:B81">
    <x:cfRule type="duplicateValues" dxfId="29" priority="49"/>
    <x:cfRule type="duplicateValues" dxfId="28" priority="42"/>
  </x:conditionalFormatting>
  <x:conditionalFormatting sqref="B84:B84">
    <x:cfRule type="duplicateValues" dxfId="27" priority="105"/>
  </x:conditionalFormatting>
  <x:conditionalFormatting sqref="B86:B86">
    <x:cfRule type="expression" dxfId="26" priority="78">
      <x:formula>$J86="not ready specified"</x:formula>
    </x:cfRule>
    <x:cfRule type="cellIs" dxfId="25" priority="83" operator="equal">
      <x:formula>"open"</x:formula>
    </x:cfRule>
    <x:cfRule type="duplicateValues" dxfId="24" priority="84"/>
    <x:cfRule type="cellIs" dxfId="23" priority="82" operator="equal">
      <x:formula>"work"</x:formula>
    </x:cfRule>
    <x:cfRule type="cellIs" dxfId="22" priority="81" operator="equal">
      <x:formula>"done"</x:formula>
    </x:cfRule>
    <x:cfRule type="cellIs" dxfId="21" priority="80" operator="equal">
      <x:formula>"withdrawn"</x:formula>
    </x:cfRule>
    <x:cfRule type="cellIs" dxfId="20" priority="79" operator="equal">
      <x:formula>"implemented"</x:formula>
    </x:cfRule>
  </x:conditionalFormatting>
  <x:conditionalFormatting sqref="B88:B88">
    <x:cfRule type="duplicateValues" dxfId="19" priority="35"/>
  </x:conditionalFormatting>
  <x:conditionalFormatting sqref="B89:B89">
    <x:cfRule type="duplicateValues" dxfId="18" priority="28"/>
    <x:cfRule type="duplicateValues" dxfId="17" priority="21"/>
  </x:conditionalFormatting>
  <x:conditionalFormatting sqref="B89:B93">
    <x:cfRule type="cellIs" dxfId="16" priority="13" operator="equal">
      <x:formula>"open"</x:formula>
    </x:cfRule>
    <x:cfRule type="cellIs" dxfId="15" priority="11" operator="equal">
      <x:formula>"done"</x:formula>
    </x:cfRule>
    <x:cfRule type="cellIs" dxfId="14" priority="10" operator="equal">
      <x:formula>"withdrawn"</x:formula>
    </x:cfRule>
    <x:cfRule type="cellIs" dxfId="13" priority="9" operator="equal">
      <x:formula>"implemented"</x:formula>
    </x:cfRule>
    <x:cfRule type="expression" dxfId="12" priority="8">
      <x:formula>$J89="not ready specified"</x:formula>
    </x:cfRule>
    <x:cfRule type="cellIs" dxfId="11" priority="12" operator="equal">
      <x:formula>"work"</x:formula>
    </x:cfRule>
  </x:conditionalFormatting>
  <x:conditionalFormatting sqref="B90:B91">
    <x:cfRule type="duplicateValues" dxfId="10" priority="70"/>
  </x:conditionalFormatting>
  <x:conditionalFormatting sqref="B92:B92">
    <x:cfRule type="duplicateValues" dxfId="9" priority="63"/>
  </x:conditionalFormatting>
  <x:conditionalFormatting sqref="B93:B93">
    <x:cfRule type="duplicateValues" dxfId="8" priority="14"/>
  </x:conditionalFormatting>
  <x:conditionalFormatting sqref="B95:B95">
    <x:cfRule type="expression" dxfId="7" priority="1">
      <x:formula>$J95="not ready specified"</x:formula>
    </x:cfRule>
    <x:cfRule type="duplicateValues" dxfId="6" priority="7"/>
    <x:cfRule type="cellIs" dxfId="5" priority="6" operator="equal">
      <x:formula>"open"</x:formula>
    </x:cfRule>
    <x:cfRule type="cellIs" dxfId="4" priority="5" operator="equal">
      <x:formula>"work"</x:formula>
    </x:cfRule>
    <x:cfRule type="cellIs" dxfId="3" priority="4" operator="equal">
      <x:formula>"done"</x:formula>
    </x:cfRule>
    <x:cfRule type="cellIs" dxfId="2" priority="3" operator="equal">
      <x:formula>"withdrawn"</x:formula>
    </x:cfRule>
    <x:cfRule type="cellIs" dxfId="1" priority="2" operator="equal">
      <x:formula>"implemented"</x:formula>
    </x:cfRule>
  </x:conditionalFormatting>
  <x:pageMargins left="0.7" right="0.7" top="0.75" bottom="0.75" header="0.3" footer="0.3"/>
</x:worksheet>
</file>

<file path=xl/worksheets/sheet3.xml><?xml version="1.0" encoding="utf-8"?>
<x:worksheet xmlns:x="http://schemas.openxmlformats.org/spreadsheetml/2006/main">
  <x:sheetFormatPr defaultColWidth="3.85546875" defaultRowHeight="15"/>
  <x:cols>
    <x:col min="1" max="1" width="5.85546875" customWidth="1"/>
    <x:col min="2" max="2" width="18.28515625" customWidth="1"/>
    <x:col min="3" max="3" width="11.42578125" customWidth="1"/>
    <x:col min="4" max="4" width="49.85546875" customWidth="1"/>
    <x:col min="5" max="5" width="10.140625" customWidth="1"/>
    <x:col min="6" max="6" width="10.5703125" style="6" customWidth="1"/>
    <x:col min="7" max="7" width="21" customWidth="1"/>
    <x:col min="8" max="8" width="7.42578125" customWidth="1"/>
    <x:col min="12" max="12" width="13.140625" customWidth="1"/>
  </x:cols>
  <x:sheetData>
    <x:row r="1">
      <x:c r="A1" s="298" t="s">
        <x:v>60</x:v>
      </x:c>
      <x:c r="B1" s="298"/>
      <x:c r="C1" s="298"/>
      <x:c r="D1" s="298"/>
      <x:c r="E1" s="298"/>
      <x:c r="F1" s="298"/>
      <x:c r="G1" s="298"/>
      <x:c r="H1" s="298"/>
    </x:row>
    <x:row r="2" ht="26.25">
      <x:c r="A2" s="305" t="s">
        <x:v>254</x:v>
      </x:c>
      <x:c r="B2" s="305"/>
      <x:c r="C2" s="305"/>
      <x:c r="D2" s="306"/>
      <x:c r="E2" s="47" t="s">
        <x:v>62</x:v>
      </x:c>
      <x:c r="F2" s="44" t="s">
        <x:v>64</x:v>
      </x:c>
      <x:c r="G2" s="38" t="s">
        <x:v>255</x:v>
      </x:c>
      <x:c r="H2" s="38" t="s">
        <x:v>66</x:v>
      </x:c>
    </x:row>
    <x:row r="3" ht="51">
      <x:c r="A3" s="46" t="s">
        <x:v>256</x:v>
      </x:c>
      <x:c r="B3" s="50" t="s">
        <x:v>70</x:v>
      </x:c>
      <x:c r="C3" s="50" t="s">
        <x:v>257</x:v>
      </x:c>
      <x:c r="D3" s="48" t="s">
        <x:v>71</x:v>
      </x:c>
      <x:c r="E3" s="48" t="s">
        <x:v>258</x:v>
      </x:c>
      <x:c r="F3" s="49" t="s">
        <x:v>259</x:v>
      </x:c>
      <x:c r="G3" s="51" t="s">
        <x:v>75</x:v>
      </x:c>
      <x:c r="H3" s="53" t="s">
        <x:v>260</x:v>
      </x:c>
    </x:row>
    <x:row r="4" ht="51">
      <x:c r="A4" s="191">
        <x:v>0</x:v>
      </x:c>
      <x:c r="B4" s="191" t="s">
        <x:v>261</x:v>
      </x:c>
      <x:c r="C4" s="191" t="s">
        <x:v>262</x:v>
      </x:c>
      <x:c r="D4" s="191" t="s">
        <x:v>263</x:v>
      </x:c>
      <x:c r="E4" s="191" t="s">
        <x:v>82</x:v>
      </x:c>
      <x:c r="F4" s="191" t="s">
        <x:v>264</x:v>
      </x:c>
      <x:c r="G4" s="191"/>
      <x:c r="H4" s="192" t="s">
        <x:v>265</x:v>
      </x:c>
    </x:row>
    <x:row r="5" ht="38.25">
      <x:c r="A5" s="191">
        <x:v>0</x:v>
      </x:c>
      <x:c r="B5" s="191" t="s">
        <x:v>266</x:v>
      </x:c>
      <x:c r="C5" s="191" t="s">
        <x:v>262</x:v>
      </x:c>
      <x:c r="D5" s="191" t="s">
        <x:v>267</x:v>
      </x:c>
      <x:c r="E5" s="191" t="s">
        <x:v>82</x:v>
      </x:c>
      <x:c r="F5" s="191" t="s">
        <x:v>264</x:v>
      </x:c>
      <x:c r="G5" s="191"/>
      <x:c r="H5" s="192" t="s">
        <x:v>268</x:v>
      </x:c>
    </x:row>
    <x:row r="6" ht="25.5">
      <x:c r="A6" s="191">
        <x:v>0</x:v>
      </x:c>
      <x:c r="B6" s="191" t="s">
        <x:v>269</x:v>
      </x:c>
      <x:c r="C6" s="191" t="s">
        <x:v>262</x:v>
      </x:c>
      <x:c r="D6" s="191" t="s">
        <x:v>270</x:v>
      </x:c>
      <x:c r="E6" s="191" t="s">
        <x:v>82</x:v>
      </x:c>
      <x:c r="F6" s="191" t="s">
        <x:v>264</x:v>
      </x:c>
      <x:c r="G6" s="191"/>
      <x:c r="H6" s="192" t="s">
        <x:v>268</x:v>
      </x:c>
    </x:row>
    <x:row r="7" ht="63.75">
      <x:c r="A7" s="191">
        <x:v>0</x:v>
      </x:c>
      <x:c r="B7" s="191" t="s">
        <x:v>271</x:v>
      </x:c>
      <x:c r="C7" s="191" t="s">
        <x:v>272</x:v>
      </x:c>
      <x:c r="D7" s="191" t="s">
        <x:v>273</x:v>
      </x:c>
      <x:c r="E7" s="191" t="s">
        <x:v>82</x:v>
      </x:c>
      <x:c r="F7" s="191" t="s">
        <x:v>264</x:v>
      </x:c>
      <x:c r="G7" s="191"/>
      <x:c r="H7" s="192" t="s">
        <x:v>268</x:v>
      </x:c>
    </x:row>
    <x:row r="8" ht="63.75">
      <x:c r="A8" s="191">
        <x:v>0</x:v>
      </x:c>
      <x:c r="B8" s="191" t="s">
        <x:v>274</x:v>
      </x:c>
      <x:c r="C8" s="191" t="s">
        <x:v>272</x:v>
      </x:c>
      <x:c r="D8" s="191" t="s">
        <x:v>275</x:v>
      </x:c>
      <x:c r="E8" s="191" t="s">
        <x:v>276</x:v>
      </x:c>
      <x:c r="F8" s="191" t="s">
        <x:v>264</x:v>
      </x:c>
      <x:c r="G8" s="191"/>
      <x:c r="H8" s="192" t="s">
        <x:v>268</x:v>
      </x:c>
    </x:row>
    <x:row r="9" ht="25.5">
      <x:c r="A9" s="191"/>
      <x:c r="B9" s="191" t="s">
        <x:v>277</x:v>
      </x:c>
      <x:c r="C9" s="191"/>
      <x:c r="D9" s="193" t="s">
        <x:v>278</x:v>
      </x:c>
      <x:c r="E9" s="191"/>
      <x:c r="F9" s="191"/>
      <x:c r="G9" s="191"/>
      <x:c r="H9" s="192"/>
    </x:row>
    <x:row r="10" ht="63.75">
      <x:c r="A10" s="191">
        <x:v>0</x:v>
      </x:c>
      <x:c r="B10" s="191" t="s">
        <x:v>279</x:v>
      </x:c>
      <x:c r="C10" s="191" t="s">
        <x:v>280</x:v>
      </x:c>
      <x:c r="D10" s="191" t="s">
        <x:v>281</x:v>
      </x:c>
      <x:c r="E10" s="191" t="s">
        <x:v>82</x:v>
      </x:c>
      <x:c r="F10" s="191" t="s">
        <x:v>264</x:v>
      </x:c>
      <x:c r="G10" s="191"/>
      <x:c r="H10" s="192" t="s">
        <x:v>268</x:v>
      </x:c>
    </x:row>
    <x:row r="11" ht="63.75">
      <x:c r="A11" s="191">
        <x:v>0</x:v>
      </x:c>
      <x:c r="B11" s="191" t="s">
        <x:v>282</x:v>
      </x:c>
      <x:c r="C11" s="191" t="s">
        <x:v>280</x:v>
      </x:c>
      <x:c r="D11" s="191" t="s">
        <x:v>283</x:v>
      </x:c>
      <x:c r="E11" s="191" t="s">
        <x:v>82</x:v>
      </x:c>
      <x:c r="F11" s="191" t="s">
        <x:v>264</x:v>
      </x:c>
      <x:c r="G11" s="191"/>
      <x:c r="H11" s="192" t="s">
        <x:v>268</x:v>
      </x:c>
    </x:row>
    <x:row r="12" ht="63.75">
      <x:c r="A12" s="191">
        <x:v>0</x:v>
      </x:c>
      <x:c r="B12" s="191" t="s">
        <x:v>284</x:v>
      </x:c>
      <x:c r="C12" s="191"/>
      <x:c r="D12" s="191" t="s">
        <x:v>285</x:v>
      </x:c>
      <x:c r="E12" s="191" t="s">
        <x:v>276</x:v>
      </x:c>
      <x:c r="F12" s="191" t="s">
        <x:v>264</x:v>
      </x:c>
      <x:c r="G12" s="191"/>
      <x:c r="H12" s="192" t="s">
        <x:v>268</x:v>
      </x:c>
    </x:row>
    <x:row r="13" ht="25.5">
      <x:c r="A13" s="191"/>
      <x:c r="B13" s="191" t="s">
        <x:v>286</x:v>
      </x:c>
      <x:c r="C13" s="191"/>
      <x:c r="D13" s="193" t="s">
        <x:v>278</x:v>
      </x:c>
      <x:c r="E13" s="191"/>
      <x:c r="F13" s="191"/>
      <x:c r="G13" s="191"/>
      <x:c r="H13" s="192"/>
    </x:row>
    <x:row r="14" ht="38.25">
      <x:c r="A14" s="191">
        <x:v>0</x:v>
      </x:c>
      <x:c r="B14" s="191" t="s">
        <x:v>287</x:v>
      </x:c>
      <x:c r="C14" s="191" t="s">
        <x:v>288</x:v>
      </x:c>
      <x:c r="D14" s="191" t="s">
        <x:v>289</x:v>
      </x:c>
      <x:c r="E14" s="191" t="s">
        <x:v>82</x:v>
      </x:c>
      <x:c r="F14" s="191" t="s">
        <x:v>264</x:v>
      </x:c>
      <x:c r="G14" s="191"/>
      <x:c r="H14" s="192" t="s">
        <x:v>268</x:v>
      </x:c>
    </x:row>
    <x:row r="15" ht="63.75">
      <x:c r="A15" s="191">
        <x:v>0</x:v>
      </x:c>
      <x:c r="B15" s="191" t="s">
        <x:v>290</x:v>
      </x:c>
      <x:c r="C15" s="191" t="s">
        <x:v>291</x:v>
      </x:c>
      <x:c r="D15" s="191" t="s">
        <x:v>292</x:v>
      </x:c>
      <x:c r="E15" s="191" t="s">
        <x:v>82</x:v>
      </x:c>
      <x:c r="F15" s="191" t="s">
        <x:v>264</x:v>
      </x:c>
      <x:c r="G15" s="191"/>
      <x:c r="H15" s="192" t="s">
        <x:v>268</x:v>
      </x:c>
    </x:row>
    <x:row r="16" ht="38.25">
      <x:c r="A16" s="191">
        <x:v>0</x:v>
      </x:c>
      <x:c r="B16" s="191" t="s">
        <x:v>293</x:v>
      </x:c>
      <x:c r="C16" s="191" t="s">
        <x:v>294</x:v>
      </x:c>
      <x:c r="D16" s="191" t="s">
        <x:v>295</x:v>
      </x:c>
      <x:c r="E16" s="191" t="s">
        <x:v>82</x:v>
      </x:c>
      <x:c r="F16" s="191" t="s">
        <x:v>264</x:v>
      </x:c>
      <x:c r="G16" s="191"/>
      <x:c r="H16" s="192" t="s">
        <x:v>268</x:v>
      </x:c>
    </x:row>
    <x:row r="17" ht="25.5">
      <x:c r="A17" s="191"/>
      <x:c r="B17" s="191" t="s">
        <x:v>296</x:v>
      </x:c>
      <x:c r="C17" s="191"/>
      <x:c r="D17" s="191" t="s">
        <x:v>297</x:v>
      </x:c>
      <x:c r="E17" s="191"/>
      <x:c r="F17" s="191"/>
      <x:c r="G17" s="191"/>
      <x:c r="H17" s="192"/>
    </x:row>
    <x:row r="18" ht="63.75">
      <x:c r="A18" s="191">
        <x:v>0</x:v>
      </x:c>
      <x:c r="B18" s="191" t="s">
        <x:v>298</x:v>
      </x:c>
      <x:c r="C18" s="191" t="s">
        <x:v>294</x:v>
      </x:c>
      <x:c r="D18" s="191" t="s">
        <x:v>299</x:v>
      </x:c>
      <x:c r="E18" s="191" t="s">
        <x:v>82</x:v>
      </x:c>
      <x:c r="F18" s="191" t="s">
        <x:v>264</x:v>
      </x:c>
      <x:c r="G18" s="191"/>
      <x:c r="H18" s="192" t="s">
        <x:v>268</x:v>
      </x:c>
    </x:row>
    <x:row r="19" ht="38.25">
      <x:c r="A19" s="191"/>
      <x:c r="B19" s="191" t="s">
        <x:v>300</x:v>
      </x:c>
      <x:c r="C19" s="191"/>
      <x:c r="D19" s="191" t="s">
        <x:v>301</x:v>
      </x:c>
      <x:c r="E19" s="191"/>
      <x:c r="F19" s="191"/>
      <x:c r="G19" s="191"/>
      <x:c r="H19" s="192"/>
    </x:row>
    <x:row r="20" ht="51">
      <x:c r="A20" s="191">
        <x:v>0</x:v>
      </x:c>
      <x:c r="B20" s="191" t="s">
        <x:v>298</x:v>
      </x:c>
      <x:c r="C20" s="191" t="s">
        <x:v>302</x:v>
      </x:c>
      <x:c r="D20" s="191" t="s">
        <x:v>303</x:v>
      </x:c>
      <x:c r="E20" s="191" t="s">
        <x:v>82</x:v>
      </x:c>
      <x:c r="F20" s="191" t="s">
        <x:v>264</x:v>
      </x:c>
      <x:c r="G20" s="191"/>
      <x:c r="H20" s="192" t="s">
        <x:v>268</x:v>
      </x:c>
    </x:row>
    <x:row r="21" ht="51">
      <x:c r="A21" s="191">
        <x:v>0</x:v>
      </x:c>
      <x:c r="B21" s="191" t="s">
        <x:v>304</x:v>
      </x:c>
      <x:c r="C21" s="191" t="s">
        <x:v>305</x:v>
      </x:c>
      <x:c r="D21" s="191" t="s">
        <x:v>306</x:v>
      </x:c>
      <x:c r="E21" s="191" t="s">
        <x:v>82</x:v>
      </x:c>
      <x:c r="F21" s="191" t="s">
        <x:v>264</x:v>
      </x:c>
      <x:c r="G21" s="191"/>
      <x:c r="H21" s="192" t="s">
        <x:v>268</x:v>
      </x:c>
    </x:row>
    <x:row r="22" ht="51">
      <x:c r="A22" s="191">
        <x:v>0</x:v>
      </x:c>
      <x:c r="B22" s="191" t="s">
        <x:v>307</x:v>
      </x:c>
      <x:c r="C22" s="191" t="s">
        <x:v>308</x:v>
      </x:c>
      <x:c r="D22" s="191" t="s">
        <x:v>309</x:v>
      </x:c>
      <x:c r="E22" s="191" t="s">
        <x:v>82</x:v>
      </x:c>
      <x:c r="F22" s="191" t="s">
        <x:v>264</x:v>
      </x:c>
      <x:c r="G22" s="191"/>
      <x:c r="H22" s="192" t="s">
        <x:v>268</x:v>
      </x:c>
    </x:row>
    <x:row r="23" ht="51">
      <x:c r="A23" s="191">
        <x:v>0</x:v>
      </x:c>
      <x:c r="B23" s="191" t="s">
        <x:v>310</x:v>
      </x:c>
      <x:c r="C23" s="191" t="s">
        <x:v>311</x:v>
      </x:c>
      <x:c r="D23" s="191" t="s">
        <x:v>312</x:v>
      </x:c>
      <x:c r="E23" s="191" t="s">
        <x:v>82</x:v>
      </x:c>
      <x:c r="F23" s="191" t="s">
        <x:v>264</x:v>
      </x:c>
      <x:c r="G23" s="191"/>
      <x:c r="H23" s="192" t="s">
        <x:v>268</x:v>
      </x:c>
    </x:row>
    <x:row r="24" ht="76.5">
      <x:c r="A24" s="191">
        <x:v>0</x:v>
      </x:c>
      <x:c r="B24" s="199" t="s">
        <x:v>313</x:v>
      </x:c>
      <x:c r="C24" s="199" t="s">
        <x:v>314</x:v>
      </x:c>
      <x:c r="D24" s="191" t="s">
        <x:v>315</x:v>
      </x:c>
      <x:c r="E24" s="199" t="s">
        <x:v>82</x:v>
      </x:c>
      <x:c r="F24" s="199" t="s">
        <x:v>264</x:v>
      </x:c>
      <x:c r="G24" s="199"/>
      <x:c r="H24" s="200" t="s">
        <x:v>268</x:v>
      </x:c>
    </x:row>
    <x:row r="25" ht="178.5">
      <x:c r="A25" s="191">
        <x:v>0</x:v>
      </x:c>
      <x:c r="B25" s="191" t="s">
        <x:v>316</x:v>
      </x:c>
      <x:c r="C25" s="191" t="s">
        <x:v>317</x:v>
      </x:c>
      <x:c r="D25" s="191" t="s">
        <x:v>318</x:v>
      </x:c>
      <x:c r="E25" s="191" t="s">
        <x:v>82</x:v>
      </x:c>
      <x:c r="F25" s="191" t="s">
        <x:v>264</x:v>
      </x:c>
      <x:c r="G25" s="191"/>
      <x:c r="H25" s="192" t="s">
        <x:v>268</x:v>
      </x:c>
    </x:row>
    <x:row r="26" ht="38.25">
      <x:c r="A26" s="191"/>
      <x:c r="B26" s="191" t="s">
        <x:v>319</x:v>
      </x:c>
      <x:c r="C26" s="191"/>
      <x:c r="D26" s="191" t="s">
        <x:v>320</x:v>
      </x:c>
      <x:c r="E26" s="191"/>
      <x:c r="F26" s="191"/>
      <x:c r="G26" s="191"/>
      <x:c r="H26" s="192"/>
    </x:row>
    <x:row r="27" ht="51">
      <x:c r="A27" s="191"/>
      <x:c r="B27" s="191" t="s">
        <x:v>321</x:v>
      </x:c>
      <x:c r="C27" s="191" t="s">
        <x:v>322</x:v>
      </x:c>
      <x:c r="D27" s="191" t="s">
        <x:v>323</x:v>
      </x:c>
      <x:c r="E27" s="191"/>
      <x:c r="F27" s="191"/>
      <x:c r="G27" s="191"/>
      <x:c r="H27" s="192"/>
    </x:row>
    <x:row r="28" ht="38.25">
      <x:c r="A28" s="191">
        <x:v>0</x:v>
      </x:c>
      <x:c r="B28" s="191" t="s">
        <x:v>324</x:v>
      </x:c>
      <x:c r="C28" s="191" t="s">
        <x:v>325</x:v>
      </x:c>
      <x:c r="D28" s="191" t="s">
        <x:v>326</x:v>
      </x:c>
      <x:c r="E28" s="191" t="s">
        <x:v>82</x:v>
      </x:c>
      <x:c r="F28" s="191" t="s">
        <x:v>264</x:v>
      </x:c>
      <x:c r="G28" s="191"/>
      <x:c r="H28" s="192" t="s">
        <x:v>268</x:v>
      </x:c>
    </x:row>
    <x:row r="29" ht="25.5">
      <x:c r="A29" s="191">
        <x:v>0</x:v>
      </x:c>
      <x:c r="B29" s="191" t="s">
        <x:v>327</x:v>
      </x:c>
      <x:c r="C29" s="191" t="s">
        <x:v>325</x:v>
      </x:c>
      <x:c r="D29" s="191" t="s">
        <x:v>328</x:v>
      </x:c>
      <x:c r="E29" s="191" t="s">
        <x:v>82</x:v>
      </x:c>
      <x:c r="F29" s="191" t="s">
        <x:v>264</x:v>
      </x:c>
      <x:c r="G29" s="191"/>
      <x:c r="H29" s="192" t="s">
        <x:v>268</x:v>
      </x:c>
    </x:row>
    <x:row r="30" ht="76.5">
      <x:c r="A30" s="191"/>
      <x:c r="B30" s="199" t="s">
        <x:v>329</x:v>
      </x:c>
      <x:c r="C30" s="199" t="s">
        <x:v>330</x:v>
      </x:c>
      <x:c r="D30" s="196" t="s">
        <x:v>331</x:v>
      </x:c>
      <x:c r="E30" s="199"/>
      <x:c r="F30" s="199"/>
      <x:c r="G30" s="199"/>
      <x:c r="H30" s="200"/>
    </x:row>
    <x:row r="31" ht="76.5">
      <x:c r="A31" s="191">
        <x:v>0</x:v>
      </x:c>
      <x:c r="B31" s="191" t="s">
        <x:v>332</x:v>
      </x:c>
      <x:c r="C31" s="191" t="s">
        <x:v>333</x:v>
      </x:c>
      <x:c r="D31" s="191" t="s">
        <x:v>334</x:v>
      </x:c>
      <x:c r="E31" s="191" t="s">
        <x:v>82</x:v>
      </x:c>
      <x:c r="F31" s="191" t="s">
        <x:v>264</x:v>
      </x:c>
      <x:c r="G31" s="191"/>
      <x:c r="H31" s="192" t="s">
        <x:v>268</x:v>
      </x:c>
    </x:row>
    <x:row r="32" ht="76.5">
      <x:c r="A32" s="191">
        <x:v>0</x:v>
      </x:c>
      <x:c r="B32" s="191" t="s">
        <x:v>335</x:v>
      </x:c>
      <x:c r="C32" s="191" t="s">
        <x:v>336</x:v>
      </x:c>
      <x:c r="D32" s="191" t="s">
        <x:v>337</x:v>
      </x:c>
      <x:c r="E32" s="191" t="s">
        <x:v>82</x:v>
      </x:c>
      <x:c r="F32" s="191" t="s">
        <x:v>264</x:v>
      </x:c>
      <x:c r="G32" s="191"/>
      <x:c r="H32" s="192" t="s">
        <x:v>268</x:v>
      </x:c>
    </x:row>
    <x:row r="33" ht="89.25">
      <x:c r="A33" s="191">
        <x:v>0</x:v>
      </x:c>
      <x:c r="B33" s="191" t="s">
        <x:v>338</x:v>
      </x:c>
      <x:c r="C33" s="191" t="s">
        <x:v>339</x:v>
      </x:c>
      <x:c r="D33" s="191" t="s">
        <x:v>340</x:v>
      </x:c>
      <x:c r="E33" s="191" t="s">
        <x:v>82</x:v>
      </x:c>
      <x:c r="F33" s="191" t="s">
        <x:v>264</x:v>
      </x:c>
      <x:c r="G33" s="191"/>
      <x:c r="H33" s="192" t="s">
        <x:v>268</x:v>
      </x:c>
    </x:row>
    <x:row r="34" ht="89.25">
      <x:c r="A34" s="191">
        <x:v>0</x:v>
      </x:c>
      <x:c r="B34" s="191" t="s">
        <x:v>341</x:v>
      </x:c>
      <x:c r="C34" s="191" t="s">
        <x:v>342</x:v>
      </x:c>
      <x:c r="D34" s="191" t="s">
        <x:v>343</x:v>
      </x:c>
      <x:c r="E34" s="191" t="s">
        <x:v>82</x:v>
      </x:c>
      <x:c r="F34" s="191" t="s">
        <x:v>264</x:v>
      </x:c>
      <x:c r="G34" s="191"/>
      <x:c r="H34" s="192" t="s">
        <x:v>268</x:v>
      </x:c>
    </x:row>
    <x:row r="35" ht="63.75">
      <x:c r="A35" s="191">
        <x:v>0</x:v>
      </x:c>
      <x:c r="B35" s="191" t="s">
        <x:v>344</x:v>
      </x:c>
      <x:c r="C35" s="191" t="s">
        <x:v>345</x:v>
      </x:c>
      <x:c r="D35" s="191" t="s">
        <x:v>346</x:v>
      </x:c>
      <x:c r="E35" s="191" t="s">
        <x:v>82</x:v>
      </x:c>
      <x:c r="F35" s="191" t="s">
        <x:v>264</x:v>
      </x:c>
      <x:c r="G35" s="191"/>
      <x:c r="H35" s="192" t="s">
        <x:v>268</x:v>
      </x:c>
    </x:row>
    <x:row r="36" ht="63.75">
      <x:c r="A36" s="191">
        <x:v>0</x:v>
      </x:c>
      <x:c r="B36" s="191" t="s">
        <x:v>347</x:v>
      </x:c>
      <x:c r="C36" s="191" t="s">
        <x:v>348</x:v>
      </x:c>
      <x:c r="D36" s="191" t="s">
        <x:v>349</x:v>
      </x:c>
      <x:c r="E36" s="191" t="s">
        <x:v>82</x:v>
      </x:c>
      <x:c r="F36" s="191" t="s">
        <x:v>264</x:v>
      </x:c>
      <x:c r="G36" s="191"/>
      <x:c r="H36" s="192" t="s">
        <x:v>268</x:v>
      </x:c>
    </x:row>
    <x:row r="37" ht="38.25">
      <x:c r="A37" s="191"/>
      <x:c r="B37" s="191" t="s">
        <x:v>350</x:v>
      </x:c>
      <x:c r="C37" s="191"/>
      <x:c r="D37" s="193" t="s">
        <x:v>351</x:v>
      </x:c>
      <x:c r="E37" s="191"/>
      <x:c r="F37" s="191"/>
      <x:c r="G37" s="191"/>
      <x:c r="H37" s="192"/>
    </x:row>
    <x:row r="38" ht="63.75">
      <x:c r="A38" s="191">
        <x:v>0</x:v>
      </x:c>
      <x:c r="B38" s="191" t="s">
        <x:v>352</x:v>
      </x:c>
      <x:c r="C38" s="191" t="s">
        <x:v>353</x:v>
      </x:c>
      <x:c r="D38" s="191" t="s">
        <x:v>354</x:v>
      </x:c>
      <x:c r="E38" s="191" t="s">
        <x:v>82</x:v>
      </x:c>
      <x:c r="F38" s="191" t="s">
        <x:v>264</x:v>
      </x:c>
      <x:c r="G38" s="191"/>
      <x:c r="H38" s="192" t="s">
        <x:v>268</x:v>
      </x:c>
    </x:row>
    <x:row r="39" ht="51">
      <x:c r="A39" s="191"/>
      <x:c r="B39" s="191" t="s">
        <x:v>355</x:v>
      </x:c>
      <x:c r="C39" s="191"/>
      <x:c r="D39" s="191" t="s">
        <x:v>356</x:v>
      </x:c>
      <x:c r="E39" s="191"/>
      <x:c r="F39" s="191"/>
      <x:c r="G39" s="191"/>
      <x:c r="H39" s="192"/>
    </x:row>
    <x:row r="40" ht="178.5">
      <x:c r="A40" s="191">
        <x:v>0</x:v>
      </x:c>
      <x:c r="B40" s="191" t="s">
        <x:v>357</x:v>
      </x:c>
      <x:c r="C40" s="191" t="s">
        <x:v>358</x:v>
      </x:c>
      <x:c r="D40" s="191" t="s">
        <x:v>359</x:v>
      </x:c>
      <x:c r="E40" s="191"/>
      <x:c r="F40" s="191"/>
      <x:c r="G40" s="191"/>
      <x:c r="H40" s="192"/>
    </x:row>
    <x:row r="41" ht="38.25">
      <x:c r="A41" s="191">
        <x:v>1</x:v>
      </x:c>
      <x:c r="B41" s="191" t="s">
        <x:v>360</x:v>
      </x:c>
      <x:c r="C41" s="191" t="s">
        <x:v>358</x:v>
      </x:c>
      <x:c r="D41" s="191" t="s">
        <x:v>361</x:v>
      </x:c>
      <x:c r="E41" s="191"/>
      <x:c r="F41" s="191"/>
      <x:c r="G41" s="191"/>
      <x:c r="H41" s="192"/>
    </x:row>
    <x:row r="42" ht="117.75">
      <x:c r="A42" s="191">
        <x:v>0</x:v>
      </x:c>
      <x:c r="B42" s="191" t="s">
        <x:v>362</x:v>
      </x:c>
      <x:c r="C42" s="191" t="s">
        <x:v>363</x:v>
      </x:c>
      <x:c r="D42" s="191" t="s">
        <x:v>364</x:v>
      </x:c>
      <x:c r="E42" s="191" t="s">
        <x:v>82</x:v>
      </x:c>
      <x:c r="F42" s="191" t="s">
        <x:v>264</x:v>
      </x:c>
      <x:c r="G42" s="191"/>
      <x:c r="H42" s="192" t="s">
        <x:v>268</x:v>
      </x:c>
    </x:row>
    <x:row r="43" ht="117.75">
      <x:c r="A43" s="191">
        <x:v>0</x:v>
      </x:c>
      <x:c r="B43" s="191" t="s">
        <x:v>365</x:v>
      </x:c>
      <x:c r="C43" s="191" t="s">
        <x:v>363</x:v>
      </x:c>
      <x:c r="D43" s="191" t="s">
        <x:v>366</x:v>
      </x:c>
      <x:c r="E43" s="191" t="s">
        <x:v>82</x:v>
      </x:c>
      <x:c r="F43" s="191" t="s">
        <x:v>264</x:v>
      </x:c>
      <x:c r="G43" s="191"/>
      <x:c r="H43" s="192" t="s">
        <x:v>268</x:v>
      </x:c>
    </x:row>
    <x:row r="44" ht="38.25">
      <x:c r="A44" s="52"/>
      <x:c r="B44" s="191" t="s">
        <x:v>367</x:v>
      </x:c>
      <x:c r="C44" s="191"/>
      <x:c r="D44" s="191" t="s">
        <x:v>368</x:v>
      </x:c>
      <x:c r="E44" s="191"/>
      <x:c r="F44" s="191"/>
      <x:c r="G44" s="191"/>
      <x:c r="H44" s="192"/>
    </x:row>
    <x:row r="45" ht="229.5">
      <x:c r="A45" s="191">
        <x:v>0</x:v>
      </x:c>
      <x:c r="B45" s="191" t="s">
        <x:v>369</x:v>
      </x:c>
      <x:c r="C45" s="191" t="s">
        <x:v>370</x:v>
      </x:c>
      <x:c r="D45" s="194" t="s">
        <x:v>371</x:v>
      </x:c>
      <x:c r="E45" s="191" t="s">
        <x:v>82</x:v>
      </x:c>
      <x:c r="F45" s="191" t="s">
        <x:v>264</x:v>
      </x:c>
      <x:c r="G45" s="191"/>
      <x:c r="H45" s="192" t="s">
        <x:v>268</x:v>
      </x:c>
    </x:row>
    <x:row r="46" ht="117.75">
      <x:c r="A46" s="191">
        <x:v>0</x:v>
      </x:c>
      <x:c r="B46" s="199" t="s">
        <x:v>372</x:v>
      </x:c>
      <x:c r="C46" s="199" t="s">
        <x:v>373</x:v>
      </x:c>
      <x:c r="D46" s="199" t="s">
        <x:v>374</x:v>
      </x:c>
      <x:c r="E46" s="199" t="s">
        <x:v>82</x:v>
      </x:c>
      <x:c r="F46" s="199" t="s">
        <x:v>264</x:v>
      </x:c>
      <x:c r="G46" s="199"/>
      <x:c r="H46" s="200" t="s">
        <x:v>268</x:v>
      </x:c>
    </x:row>
    <x:row r="47" ht="117.75">
      <x:c r="A47" s="191">
        <x:v>0</x:v>
      </x:c>
      <x:c r="B47" s="199" t="s">
        <x:v>375</x:v>
      </x:c>
      <x:c r="C47" s="199" t="s">
        <x:v>373</x:v>
      </x:c>
      <x:c r="D47" s="199" t="s">
        <x:v>376</x:v>
      </x:c>
      <x:c r="E47" s="199" t="s">
        <x:v>82</x:v>
      </x:c>
      <x:c r="F47" s="199" t="s">
        <x:v>264</x:v>
      </x:c>
      <x:c r="G47" s="199"/>
      <x:c r="H47" s="200" t="s">
        <x:v>268</x:v>
      </x:c>
    </x:row>
    <x:row r="48" ht="64.5" customHeight="1">
      <x:c r="A48" s="191">
        <x:v>0</x:v>
      </x:c>
      <x:c r="B48" s="191" t="s">
        <x:v>377</x:v>
      </x:c>
      <x:c r="C48" s="191" t="s">
        <x:v>378</x:v>
      </x:c>
      <x:c r="D48" s="191" t="s">
        <x:v>379</x:v>
      </x:c>
      <x:c r="E48" s="194" t="s">
        <x:v>82</x:v>
      </x:c>
      <x:c r="F48" s="191" t="s">
        <x:v>264</x:v>
      </x:c>
      <x:c r="G48" s="191"/>
      <x:c r="H48" s="192" t="s">
        <x:v>268</x:v>
      </x:c>
    </x:row>
    <x:row r="49" ht="76.5">
      <x:c r="A49" s="191">
        <x:v>0</x:v>
      </x:c>
      <x:c r="B49" s="199" t="s">
        <x:v>380</x:v>
      </x:c>
      <x:c r="C49" s="199" t="s">
        <x:v>330</x:v>
      </x:c>
      <x:c r="D49" s="194" t="s">
        <x:v>381</x:v>
      </x:c>
      <x:c r="E49" s="194" t="s">
        <x:v>82</x:v>
      </x:c>
      <x:c r="F49" s="191" t="s">
        <x:v>264</x:v>
      </x:c>
      <x:c r="G49" s="191"/>
      <x:c r="H49" s="192" t="s">
        <x:v>268</x:v>
      </x:c>
    </x:row>
    <x:row r="50" ht="92.25">
      <x:c r="A50" s="191">
        <x:v>0</x:v>
      </x:c>
      <x:c r="B50" s="199" t="s">
        <x:v>382</x:v>
      </x:c>
      <x:c r="C50" s="199" t="s">
        <x:v>330</x:v>
      </x:c>
      <x:c r="D50" s="198" t="s">
        <x:v>383</x:v>
      </x:c>
      <x:c r="E50" s="194" t="s">
        <x:v>82</x:v>
      </x:c>
      <x:c r="F50" s="191" t="s">
        <x:v>264</x:v>
      </x:c>
      <x:c r="G50" s="191"/>
      <x:c r="H50" s="192" t="s">
        <x:v>268</x:v>
      </x:c>
    </x:row>
    <x:row r="51" ht="79.5">
      <x:c r="A51" s="191">
        <x:v>0</x:v>
      </x:c>
      <x:c r="B51" s="199" t="s">
        <x:v>384</x:v>
      </x:c>
      <x:c r="C51" s="199" t="s">
        <x:v>330</x:v>
      </x:c>
      <x:c r="D51" s="198" t="s">
        <x:v>385</x:v>
      </x:c>
      <x:c r="E51" s="194" t="s">
        <x:v>82</x:v>
      </x:c>
      <x:c r="F51" s="191" t="s">
        <x:v>264</x:v>
      </x:c>
      <x:c r="G51" s="191"/>
      <x:c r="H51" s="192" t="s">
        <x:v>268</x:v>
      </x:c>
    </x:row>
    <x:row r="52" ht="76.5">
      <x:c r="A52" s="191">
        <x:v>0</x:v>
      </x:c>
      <x:c r="B52" s="199" t="s">
        <x:v>386</x:v>
      </x:c>
      <x:c r="C52" s="199" t="s">
        <x:v>330</x:v>
      </x:c>
      <x:c r="D52" s="198" t="s">
        <x:v>387</x:v>
      </x:c>
      <x:c r="E52" s="194" t="s">
        <x:v>82</x:v>
      </x:c>
      <x:c r="F52" s="191" t="s">
        <x:v>264</x:v>
      </x:c>
      <x:c r="G52" s="191"/>
      <x:c r="H52" s="192" t="s">
        <x:v>268</x:v>
      </x:c>
    </x:row>
    <x:row r="53" ht="79.5">
      <x:c r="A53" s="191">
        <x:v>0</x:v>
      </x:c>
      <x:c r="B53" s="199" t="s">
        <x:v>388</x:v>
      </x:c>
      <x:c r="C53" s="199" t="s">
        <x:v>330</x:v>
      </x:c>
      <x:c r="D53" s="198" t="s">
        <x:v>389</x:v>
      </x:c>
      <x:c r="E53" s="194" t="s">
        <x:v>82</x:v>
      </x:c>
      <x:c r="F53" s="191" t="s">
        <x:v>264</x:v>
      </x:c>
      <x:c r="G53" s="191"/>
      <x:c r="H53" s="192" t="s">
        <x:v>268</x:v>
      </x:c>
    </x:row>
    <x:row r="54" ht="76.5">
      <x:c r="A54" s="191">
        <x:v>0</x:v>
      </x:c>
      <x:c r="B54" s="199" t="s">
        <x:v>390</x:v>
      </x:c>
      <x:c r="C54" s="199" t="s">
        <x:v>330</x:v>
      </x:c>
      <x:c r="D54" s="198" t="s">
        <x:v>391</x:v>
      </x:c>
      <x:c r="E54" s="194" t="s">
        <x:v>82</x:v>
      </x:c>
      <x:c r="F54" s="191" t="s">
        <x:v>264</x:v>
      </x:c>
      <x:c r="G54" s="191"/>
      <x:c r="H54" s="192" t="s">
        <x:v>268</x:v>
      </x:c>
    </x:row>
    <x:row r="55" ht="102">
      <x:c r="A55" s="191">
        <x:v>0</x:v>
      </x:c>
      <x:c r="B55" s="199" t="s">
        <x:v>392</x:v>
      </x:c>
      <x:c r="C55" s="199" t="s">
        <x:v>330</x:v>
      </x:c>
      <x:c r="D55" s="198" t="s">
        <x:v>393</x:v>
      </x:c>
      <x:c r="E55" s="194" t="s">
        <x:v>82</x:v>
      </x:c>
      <x:c r="F55" s="191" t="s">
        <x:v>264</x:v>
      </x:c>
      <x:c r="G55" s="191"/>
      <x:c r="H55" s="192" t="s">
        <x:v>268</x:v>
      </x:c>
    </x:row>
    <x:row r="56" ht="114.75">
      <x:c r="A56" s="191">
        <x:v>0</x:v>
      </x:c>
      <x:c r="B56" s="199" t="s">
        <x:v>394</x:v>
      </x:c>
      <x:c r="C56" s="199" t="s">
        <x:v>330</x:v>
      </x:c>
      <x:c r="D56" s="198" t="s">
        <x:v>395</x:v>
      </x:c>
      <x:c r="E56" s="194" t="s">
        <x:v>82</x:v>
      </x:c>
      <x:c r="F56" s="191" t="s">
        <x:v>264</x:v>
      </x:c>
      <x:c r="G56" s="191"/>
      <x:c r="H56" s="192" t="s">
        <x:v>268</x:v>
      </x:c>
    </x:row>
    <x:row r="57" ht="89.25">
      <x:c r="A57" s="191">
        <x:v>0</x:v>
      </x:c>
      <x:c r="B57" s="199" t="s">
        <x:v>396</x:v>
      </x:c>
      <x:c r="C57" s="199" t="s">
        <x:v>330</x:v>
      </x:c>
      <x:c r="D57" s="198" t="s">
        <x:v>397</x:v>
      </x:c>
      <x:c r="E57" s="194" t="s">
        <x:v>82</x:v>
      </x:c>
      <x:c r="F57" s="191" t="s">
        <x:v>264</x:v>
      </x:c>
      <x:c r="G57" s="191"/>
      <x:c r="H57" s="192" t="s">
        <x:v>268</x:v>
      </x:c>
    </x:row>
    <x:row r="58" ht="89.25">
      <x:c r="A58" s="191">
        <x:v>0</x:v>
      </x:c>
      <x:c r="B58" s="191" t="s">
        <x:v>398</x:v>
      </x:c>
      <x:c r="C58" s="194"/>
      <x:c r="D58" s="194" t="s">
        <x:v>399</x:v>
      </x:c>
      <x:c r="E58" s="194" t="s">
        <x:v>82</x:v>
      </x:c>
      <x:c r="F58" s="191" t="s">
        <x:v>264</x:v>
      </x:c>
      <x:c r="G58" s="191"/>
      <x:c r="H58" s="192" t="s">
        <x:v>268</x:v>
      </x:c>
    </x:row>
    <x:row r="59" ht="38.25">
      <x:c r="A59" s="191">
        <x:v>1</x:v>
      </x:c>
      <x:c r="B59" s="191" t="s">
        <x:v>400</x:v>
      </x:c>
      <x:c r="C59" s="194"/>
      <x:c r="D59" s="194" t="s">
        <x:v>401</x:v>
      </x:c>
      <x:c r="E59" s="194" t="s">
        <x:v>82</x:v>
      </x:c>
      <x:c r="F59" s="191" t="s">
        <x:v>264</x:v>
      </x:c>
      <x:c r="G59" s="191"/>
      <x:c r="H59" s="192" t="s">
        <x:v>268</x:v>
      </x:c>
    </x:row>
    <x:row r="60" ht="140.25">
      <x:c r="A60" s="191">
        <x:v>0</x:v>
      </x:c>
      <x:c r="B60" s="191" t="s">
        <x:v>402</x:v>
      </x:c>
      <x:c r="C60" s="194"/>
      <x:c r="D60" s="194" t="s">
        <x:v>403</x:v>
      </x:c>
      <x:c r="E60" s="194" t="s">
        <x:v>82</x:v>
      </x:c>
      <x:c r="F60" s="191" t="s">
        <x:v>264</x:v>
      </x:c>
      <x:c r="G60" s="191"/>
      <x:c r="H60" s="192" t="s">
        <x:v>268</x:v>
      </x:c>
    </x:row>
    <x:row r="61">
      <x:c r="A61" s="191">
        <x:v>0</x:v>
      </x:c>
      <x:c r="B61" s="194"/>
      <x:c r="C61" s="194"/>
      <x:c r="D61" s="194"/>
      <x:c r="E61" s="194"/>
      <x:c r="F61" s="194"/>
      <x:c r="G61" s="194"/>
      <x:c r="H61" s="192"/>
    </x:row>
    <x:row r="62">
      <x:c r="A62" s="191">
        <x:v>0</x:v>
      </x:c>
      <x:c r="B62" s="194"/>
      <x:c r="C62" s="194"/>
      <x:c r="D62" s="194"/>
      <x:c r="E62" s="194"/>
      <x:c r="F62" s="194"/>
      <x:c r="G62" s="194"/>
      <x:c r="H62" s="192"/>
    </x:row>
    <x:row r="63">
      <x:c r="A63" s="191">
        <x:v>0</x:v>
      </x:c>
      <x:c r="B63" s="194"/>
      <x:c r="C63" s="194"/>
      <x:c r="D63" s="194"/>
      <x:c r="E63" s="194"/>
      <x:c r="F63" s="194"/>
      <x:c r="G63" s="194"/>
      <x:c r="H63" s="192"/>
    </x:row>
    <x:row r="64">
      <x:c r="A64" s="191">
        <x:v>0</x:v>
      </x:c>
      <x:c r="B64" s="194"/>
      <x:c r="C64" s="194"/>
      <x:c r="D64" s="194"/>
      <x:c r="E64" s="194"/>
      <x:c r="F64" s="194"/>
      <x:c r="G64" s="194"/>
      <x:c r="H64" s="192"/>
    </x:row>
    <x:row r="65">
      <x:c r="A65" s="191">
        <x:v>0</x:v>
      </x:c>
      <x:c r="B65" s="194"/>
      <x:c r="C65" s="194"/>
      <x:c r="D65" s="194"/>
      <x:c r="E65" s="194"/>
      <x:c r="F65" s="194"/>
      <x:c r="G65" s="194"/>
      <x:c r="H65" s="192"/>
    </x:row>
    <x:row r="66">
      <x:c r="A66" s="52"/>
      <x:c r="B66" s="194"/>
      <x:c r="C66" s="194"/>
      <x:c r="D66" s="194"/>
      <x:c r="E66" s="194"/>
      <x:c r="F66" s="194"/>
      <x:c r="G66" s="194"/>
      <x:c r="H66" s="192"/>
    </x:row>
    <x:row r="67">
      <x:c r="A67" s="52"/>
      <x:c r="B67" s="194"/>
      <x:c r="C67" s="194"/>
      <x:c r="D67" s="194"/>
      <x:c r="E67" s="194"/>
      <x:c r="F67" s="194"/>
      <x:c r="G67" s="194"/>
      <x:c r="H67" s="192"/>
    </x:row>
    <x:row r="68">
      <x:c r="A68" s="52"/>
      <x:c r="B68" s="194"/>
      <x:c r="C68" s="194"/>
      <x:c r="D68" s="194"/>
      <x:c r="E68" s="194"/>
      <x:c r="F68" s="194"/>
      <x:c r="G68" s="194"/>
      <x:c r="H68" s="192"/>
    </x:row>
    <x:row r="69">
      <x:c r="A69" s="52"/>
      <x:c r="B69" s="194"/>
      <x:c r="C69" s="194"/>
      <x:c r="D69" s="194"/>
      <x:c r="E69" s="194"/>
      <x:c r="F69" s="194"/>
      <x:c r="G69" s="194"/>
      <x:c r="H69" s="192"/>
    </x:row>
    <x:row r="70">
      <x:c r="A70" s="52"/>
      <x:c r="B70" s="194"/>
      <x:c r="C70" s="194"/>
      <x:c r="D70" s="194"/>
      <x:c r="E70" s="194"/>
      <x:c r="F70" s="194"/>
      <x:c r="G70" s="194"/>
      <x:c r="H70" s="192"/>
    </x:row>
  </x:sheetData>
  <x:mergeCells>
    <x:mergeCell ref="A1:H1"/>
    <x:mergeCell ref="A2:D2"/>
  </x:mergeCells>
  <x:pageMargins left="0.7" right="0.7" top="0.75" bottom="0.75" header="0.3" footer="0.3"/>
</x:worksheet>
</file>

<file path=xl/worksheets/sheet4.xml><?xml version="1.0" encoding="utf-8"?>
<x:worksheet xmlns:x="http://schemas.openxmlformats.org/spreadsheetml/2006/main">
  <x:sheetFormatPr defaultColWidth="11.42578125" defaultRowHeight="15"/>
  <x:sheetData>
    <x:row r="1">
      <x:c r="A1" t="s">
        <x:v>404</x:v>
      </x:c>
      <x:c r="B1" s="19" t="s">
        <x:v>405</x:v>
      </x:c>
      <x:c r="C1" t="s">
        <x:v>406</x:v>
      </x:c>
    </x:row>
    <x:row r="2">
      <x:c r="A2" t="s">
        <x:v>407</x:v>
      </x:c>
      <x:c r="C2" t="s">
        <x:v>408</x:v>
      </x:c>
    </x:row>
  </x:sheetData>
  <x:pageMargins left="0.7" right="0.7" top="0.75" bottom="0.75" header="0.3" footer="0.3"/>
</x:worksheet>
</file>

<file path=xl/worksheets/sheet5.xml><?xml version="1.0" encoding="utf-8"?>
<x:worksheet xmlns:x="http://schemas.openxmlformats.org/spreadsheetml/2006/main">
  <x:sheetFormatPr defaultColWidth="11.42578125" defaultRowHeight="15"/>
  <x:cols>
    <x:col min="2" max="2" width="97.28515625" customWidth="1"/>
  </x:cols>
  <x:sheetData>
    <x:row r="2" ht="15.75"/>
    <x:row r="3" ht="16.5">
      <x:c r="B3" s="37" t="s">
        <x:v>409</x:v>
      </x:c>
    </x:row>
    <x:row r="4" ht="16.5"/>
    <x:row r="5" ht="16.5">
      <x:c r="B5" s="36" t="s">
        <x:v>410</x:v>
      </x:c>
    </x:row>
    <x:row r="6" ht="16.5"/>
    <x:row r="7" ht="16.5">
      <x:c r="B7" s="36" t="s">
        <x:v>411</x:v>
      </x:c>
    </x:row>
    <x:row r="8" ht="15.75">
      <x:c r="B8" t="s">
        <x:v>412</x:v>
      </x:c>
    </x:row>
    <x:row r="9">
      <x:c r="B9" t="s">
        <x:v>413</x:v>
      </x:c>
    </x:row>
    <x:row r="10">
      <x:c r="B10" t="s">
        <x:v>414</x:v>
      </x:c>
    </x:row>
    <x:row r="11">
      <x:c r="B11" t="s">
        <x:v>415</x:v>
      </x:c>
    </x:row>
    <x:row r="12">
      <x:c r="B12" t="s">
        <x:v>416</x:v>
      </x:c>
    </x:row>
    <x:row r="13">
      <x:c r="B13" t="s">
        <x:v>417</x:v>
      </x:c>
    </x:row>
    <x:row r="14" ht="15.75"/>
    <x:row r="15" ht="16.5">
      <x:c r="B15" s="36" t="s">
        <x:v>418</x:v>
      </x:c>
    </x:row>
    <x:row r="16" ht="15.75">
      <x:c r="B16" t="s">
        <x:v>419</x:v>
      </x:c>
    </x:row>
    <x:row r="17">
      <x:c r="B17" t="s">
        <x:v>413</x:v>
      </x:c>
    </x:row>
    <x:row r="18">
      <x:c r="B18" t="s">
        <x:v>414</x:v>
      </x:c>
    </x:row>
    <x:row r="19">
      <x:c r="B19" t="s">
        <x:v>420</x:v>
      </x:c>
    </x:row>
    <x:row r="20">
      <x:c r="B20" t="s">
        <x:v>417</x:v>
      </x:c>
    </x:row>
    <x:row r="26" ht="15.75"/>
    <x:row r="27" ht="16.5">
      <x:c r="B27" s="37" t="s">
        <x:v>421</x:v>
      </x:c>
    </x:row>
    <x:row r="28" ht="30.75">
      <x:c r="B28" s="39" t="s">
        <x:v>422</x:v>
      </x:c>
    </x:row>
    <x:row r="29" ht="15.75"/>
    <x:row r="30" ht="15.75">
      <x:c r="B30" s="40" t="s">
        <x:v>423</x:v>
      </x:c>
    </x:row>
    <x:row r="31" ht="15.75"/>
    <x:row r="32" ht="15.75">
      <x:c r="B32" s="41" t="s">
        <x:v>424</x:v>
      </x:c>
    </x:row>
    <x:row r="33" ht="15.75"/>
    <x:row r="34" ht="15.75">
      <x:c r="B34" s="42" t="s">
        <x:v>425</x:v>
      </x:c>
    </x:row>
    <x:row r="35" ht="15.75"/>
    <x:row r="36" ht="15.75">
      <x:c r="B36" s="43" t="s">
        <x:v>426</x:v>
      </x:c>
    </x:row>
    <x:row r="37" ht="15.75"/>
    <x:row r="38" ht="15.75">
      <x:c r="B38" s="45" t="s">
        <x:v>427</x:v>
      </x:c>
    </x:row>
  </x:sheetData>
  <x:pageMargins left="0.7" right="0.7" top="0.75" bottom="0.75" header="0.3" footer="0.3"/>
</x:worksheet>
</file>

<file path=xl/worksheets/sheet6.xml><?xml version="1.0" encoding="utf-8"?>
<x:worksheet xmlns:x="http://schemas.openxmlformats.org/spreadsheetml/2006/main">
  <x:sheetFormatPr defaultColWidth="11.42578125" defaultRowHeight="15"/>
  <x:cols>
    <x:col min="2" max="2" width="19.5703125" customWidth="1"/>
    <x:col min="3" max="3" width="28.85546875" customWidth="1"/>
    <x:col min="4" max="4" width="23.42578125" customWidth="1"/>
    <x:col min="5" max="5" width="19.140625" customWidth="1"/>
    <x:col min="14" max="15" width="11.42578125" style="19" customWidth="0"/>
  </x:cols>
  <x:sheetData>
    <x:row r="2">
      <x:c r="B2" t="s">
        <x:v>428</x:v>
      </x:c>
      <x:c r="C2" t="s">
        <x:v>429</x:v>
      </x:c>
      <x:c r="D2" t="s">
        <x:v>430</x:v>
      </x:c>
      <x:c r="E2" t="s">
        <x:v>431</x:v>
      </x:c>
      <x:c r="F2" t="s">
        <x:v>84</x:v>
      </x:c>
      <x:c r="G2" t="s">
        <x:v>225</x:v>
      </x:c>
      <x:c r="I2" t="s">
        <x:v>432</x:v>
      </x:c>
      <x:c r="J2" t="s">
        <x:v>433</x:v>
      </x:c>
      <x:c r="N2" s="19">
        <x:v>0</x:v>
      </x:c>
      <x:c r="O2" s="98"/>
    </x:row>
    <x:row r="3">
      <x:c r="B3" t="s">
        <x:v>221</x:v>
      </x:c>
      <x:c r="D3" t="s">
        <x:v>434</x:v>
      </x:c>
      <x:c r="E3" t="s">
        <x:v>435</x:v>
      </x:c>
      <x:c r="F3" t="s">
        <x:v>154</x:v>
      </x:c>
      <x:c r="G3" t="s">
        <x:v>436</x:v>
      </x:c>
      <x:c r="I3" t="s">
        <x:v>437</x:v>
      </x:c>
      <x:c r="J3" t="s">
        <x:v>438</x:v>
      </x:c>
      <x:c r="N3" s="19">
        <x:v>1</x:v>
      </x:c>
    </x:row>
    <x:row r="4">
      <x:c r="B4" t="s">
        <x:v>439</x:v>
      </x:c>
      <x:c r="D4" t="s">
        <x:v>440</x:v>
      </x:c>
      <x:c r="E4" t="s">
        <x:v>264</x:v>
      </x:c>
      <x:c r="F4" t="s">
        <x:v>441</x:v>
      </x:c>
      <x:c r="G4" t="s">
        <x:v>85</x:v>
      </x:c>
      <x:c r="N4" s="19" t="s">
        <x:v>86</x:v>
      </x:c>
    </x:row>
    <x:row r="5">
      <x:c r="B5" t="s">
        <x:v>442</x:v>
      </x:c>
      <x:c r="D5" t="s">
        <x:v>443</x:v>
      </x:c>
      <x:c r="F5" t="s">
        <x:v>444</x:v>
      </x:c>
      <x:c r="G5" t="s">
        <x:v>131</x:v>
      </x:c>
    </x:row>
    <x:row r="6">
      <x:c r="B6" t="s">
        <x:v>445</x:v>
      </x:c>
      <x:c r="G6" t="s">
        <x:v>446</x:v>
      </x:c>
    </x:row>
    <x:row r="7">
      <x:c r="B7" t="s">
        <x:v>447</x:v>
      </x:c>
      <x:c r="G7" t="s">
        <x:v>212</x:v>
      </x:c>
    </x:row>
    <x:row r="8">
      <x:c r="B8" t="s">
        <x:v>448</x:v>
      </x:c>
    </x:row>
    <x:row r="9">
      <x:c r="B9" t="s">
        <x:v>449</x:v>
      </x:c>
      <x:c r="C9" t="s">
        <x:v>450</x:v>
      </x:c>
    </x:row>
    <x:row r="10">
      <x:c r="B10" t="s">
        <x:v>451</x:v>
      </x:c>
    </x:row>
    <x:row r="11">
      <x:c r="B11" t="s">
        <x:v>452</x:v>
      </x:c>
      <x:c r="C11" t="s">
        <x:v>453</x:v>
      </x:c>
    </x:row>
    <x:row r="12">
      <x:c r="B12" t="s">
        <x:v>454</x:v>
      </x:c>
      <x:c r="C12" t="s">
        <x:v>455</x:v>
      </x:c>
    </x:row>
    <x:row r="13">
      <x:c r="B13" t="s">
        <x:v>82</x:v>
      </x:c>
    </x:row>
    <x:row r="14">
      <x:c r="B14" t="s">
        <x:v>222</x:v>
      </x:c>
    </x:row>
    <x:row r="15">
      <x:c r="B15" t="s">
        <x:v>95</x:v>
      </x:c>
    </x:row>
  </x:sheetData>
  <x:pageMargins left="0.7" right="0.7" top="0.75" bottom="0.75" header="0.3" footer="0.3"/>
</x:worksheet>
</file>

<file path=xl/worksheets/sheet7.xml><?xml version="1.0" encoding="utf-8"?>
<x:worksheet xmlns:x="http://schemas.openxmlformats.org/spreadsheetml/2006/main">
  <x:sheetFormatPr defaultColWidth="11.42578125" defaultRowHeight="15"/>
  <x:sheetData/>
  <x:pageMargins left="0.7" right="0.7" top="0.75" bottom="0.75" header="0.3" footer="0.3"/>
  <x:drawing xmlns:r="http://schemas.openxmlformats.org/officeDocument/2006/relationships" r:id="Rcc7d907bc0d64612"/>
</x:worksheet>
</file>

<file path=xl/worksheets/sheet8.xml><?xml version="1.0" encoding="utf-8"?>
<x:worksheet xmlns:x="http://schemas.openxmlformats.org/spreadsheetml/2006/main">
  <x:sheetFormatPr defaultColWidth="11.42578125" defaultRowHeight="15"/>
  <x:cols>
    <x:col min="4" max="4" width="32.5703125" customWidth="1"/>
    <x:col min="6" max="6" width="74" customWidth="1"/>
    <x:col min="8" max="8" width="74" customWidth="1"/>
    <x:col min="10" max="10" width="13.7109375" customWidth="1"/>
    <x:col min="12" max="12" width="16.7109375" customWidth="1"/>
  </x:cols>
  <x:sheetData>
    <x:row r="4">
      <x:c r="B4" s="162" t="s">
        <x:v>456</x:v>
      </x:c>
    </x:row>
    <x:row r="5">
      <x:c r="B5" s="309" t="s">
        <x:v>457</x:v>
      </x:c>
      <x:c r="C5" s="307" t="s">
        <x:v>458</x:v>
      </x:c>
      <x:c r="D5" s="308"/>
      <x:c r="E5" s="307" t="s">
        <x:v>459</x:v>
      </x:c>
      <x:c r="F5" s="308"/>
      <x:c r="G5" s="307" t="s">
        <x:v>460</x:v>
      </x:c>
      <x:c r="H5" s="308"/>
      <x:c r="I5" s="307" t="s">
        <x:v>461</x:v>
      </x:c>
      <x:c r="J5" s="308"/>
      <x:c r="K5" s="307" t="s">
        <x:v>462</x:v>
      </x:c>
      <x:c r="L5" s="308"/>
    </x:row>
    <x:row r="6">
      <x:c r="B6" s="310"/>
      <x:c r="C6" s="169" t="s">
        <x:v>463</x:v>
      </x:c>
      <x:c r="D6" s="170" t="s">
        <x:v>464</x:v>
      </x:c>
      <x:c r="E6" s="169" t="s">
        <x:v>463</x:v>
      </x:c>
      <x:c r="F6" s="170" t="s">
        <x:v>464</x:v>
      </x:c>
      <x:c r="G6" s="169" t="s">
        <x:v>463</x:v>
      </x:c>
      <x:c r="H6" s="170" t="s">
        <x:v>465</x:v>
      </x:c>
      <x:c r="I6" s="169" t="s">
        <x:v>463</x:v>
      </x:c>
      <x:c r="J6" s="170" t="s">
        <x:v>464</x:v>
      </x:c>
      <x:c r="K6" s="169" t="s">
        <x:v>463</x:v>
      </x:c>
      <x:c r="L6" s="171" t="s">
        <x:v>464</x:v>
      </x:c>
    </x:row>
    <x:row r="7">
      <x:c r="B7" s="172" t="s">
        <x:v>466</x:v>
      </x:c>
      <x:c r="C7" s="173" t="s">
        <x:v>467</x:v>
      </x:c>
      <x:c r="D7" s="174" t="s">
        <x:v>468</x:v>
      </x:c>
      <x:c r="E7" s="173" t="s">
        <x:v>469</x:v>
      </x:c>
      <x:c r="F7" s="174" t="s">
        <x:v>470</x:v>
      </x:c>
      <x:c r="G7" s="173" t="s">
        <x:v>471</x:v>
      </x:c>
      <x:c r="H7" s="174" t="s">
        <x:v>470</x:v>
      </x:c>
      <x:c r="I7" s="173" t="s">
        <x:v>472</x:v>
      </x:c>
      <x:c r="J7" s="175" t="s">
        <x:v>473</x:v>
      </x:c>
      <x:c r="K7" s="176" t="s">
        <x:v>473</x:v>
      </x:c>
      <x:c r="L7" s="177" t="s">
        <x:v>473</x:v>
      </x:c>
    </x:row>
    <x:row r="8">
      <x:c r="B8" s="172" t="s">
        <x:v>474</x:v>
      </x:c>
      <x:c r="C8" s="173" t="s">
        <x:v>467</x:v>
      </x:c>
      <x:c r="D8" s="174" t="s">
        <x:v>475</x:v>
      </x:c>
      <x:c r="E8" s="173" t="s">
        <x:v>469</x:v>
      </x:c>
      <x:c r="F8" s="174" t="s">
        <x:v>476</x:v>
      </x:c>
      <x:c r="G8" s="173" t="s">
        <x:v>471</x:v>
      </x:c>
      <x:c r="H8" s="174" t="s">
        <x:v>476</x:v>
      </x:c>
      <x:c r="I8" s="173" t="s">
        <x:v>477</x:v>
      </x:c>
      <x:c r="J8" s="174" t="s">
        <x:v>478</x:v>
      </x:c>
      <x:c r="K8" s="175" t="s">
        <x:v>473</x:v>
      </x:c>
      <x:c r="L8" s="177" t="s">
        <x:v>473</x:v>
      </x:c>
    </x:row>
    <x:row r="9">
      <x:c r="B9" s="178" t="s">
        <x:v>479</x:v>
      </x:c>
      <x:c r="C9" s="179" t="s">
        <x:v>467</x:v>
      </x:c>
      <x:c r="D9" s="180" t="s">
        <x:v>475</x:v>
      </x:c>
      <x:c r="E9" s="179" t="s">
        <x:v>469</x:v>
      </x:c>
      <x:c r="F9" s="180" t="s">
        <x:v>476</x:v>
      </x:c>
      <x:c r="G9" s="179" t="s">
        <x:v>471</x:v>
      </x:c>
      <x:c r="H9" s="180" t="s">
        <x:v>476</x:v>
      </x:c>
      <x:c r="I9" s="179" t="s">
        <x:v>477</x:v>
      </x:c>
      <x:c r="J9" s="180" t="s">
        <x:v>478</x:v>
      </x:c>
      <x:c r="K9" s="181" t="s">
        <x:v>473</x:v>
      </x:c>
      <x:c r="L9" s="182" t="s">
        <x:v>480</x:v>
      </x:c>
    </x:row>
    <x:row r="12">
      <x:c r="D12" s="161" t="s">
        <x:v>481</x:v>
      </x:c>
    </x:row>
    <x:row r="13">
      <x:c r="B13" t="s">
        <x:v>482</x:v>
      </x:c>
    </x:row>
    <x:row r="14">
      <x:c r="B14" t="s">
        <x:v>483</x:v>
      </x:c>
    </x:row>
  </x:sheetData>
  <x:mergeCells>
    <x:mergeCell ref="K5:L5"/>
    <x:mergeCell ref="B5:B6"/>
    <x:mergeCell ref="C5:D5"/>
    <x:mergeCell ref="E5:F5"/>
    <x:mergeCell ref="G5:H5"/>
    <x:mergeCell ref="I5:J5"/>
  </x:mergeCells>
  <x:pageMargins left="0.7" right="0.7" top="0.75" bottom="0.75" header="0.3" footer="0.3"/>
</x:worksheet>
</file>

<file path=xl/worksheets/sheet9.xml><?xml version="1.0" encoding="utf-8"?>
<x:worksheet xmlns:x="http://schemas.openxmlformats.org/spreadsheetml/2006/main">
  <x:sheetFormatPr defaultColWidth="11.42578125" defaultRowHeight="15"/>
  <x:sheetData/>
  <x:pageMargins left="0.7" right="0.7" top="0.75" bottom="0.75" header="0.3" footer="0.3"/>
  <x:drawing xmlns:r="http://schemas.openxmlformats.org/officeDocument/2006/relationships" r:id="Rc3b51529f6914108"/>
</x:worksheet>
</file>

<file path=xl/worksheets/sheet10.xml><?xml version="1.0" encoding="utf-8"?>
<x:worksheet xmlns:x="http://schemas.openxmlformats.org/spreadsheetml/2006/main">
  <x:sheetFormatPr defaultColWidth="11.42578125" defaultRowHeight="15"/>
  <x:cols>
    <x:col min="1" max="1" width="11.42578125" style="154" customWidth="0"/>
    <x:col min="2" max="2" width="14.5703125" style="154" customWidth="1"/>
    <x:col min="3" max="3" width="11.140625" style="154" customWidth="1"/>
    <x:col min="4" max="4" width="10.28515625" style="154" customWidth="1"/>
    <x:col min="5" max="5" width="9.5703125" style="154" customWidth="1"/>
    <x:col min="6" max="6" width="9.42578125" style="154" customWidth="1"/>
    <x:col min="7" max="7" width="39.140625" style="154" customWidth="1"/>
    <x:col min="8" max="8" width="11.42578125" style="154" customWidth="0"/>
    <x:col min="9" max="9" width="19.140625" style="154" customWidth="1"/>
    <x:col min="10" max="10" width="11.42578125" style="154" customWidth="0"/>
    <x:col min="12" max="13" width="11.42578125" style="154" customWidth="0"/>
    <x:col min="14" max="14" width="43.7109375" style="154" customWidth="1"/>
    <x:col min="15" max="18" width="11.42578125" style="154" customWidth="0"/>
    <x:col min="19" max="19" width="45.42578125" style="154" customWidth="1"/>
    <x:col min="20" max="23" width="11.42578125" style="154" customWidth="0"/>
    <x:col min="24" max="24" width="37.7109375" style="154" customWidth="1"/>
    <x:col min="25" max="16384" width="11.42578125" style="154" customWidth="0"/>
  </x:cols>
  <x:sheetData>
    <x:row r="2" ht="15.75">
      <x:c r="B2" s="317" t="s">
        <x:v>484</x:v>
      </x:c>
      <x:c r="C2" s="318"/>
      <x:c r="D2" s="318"/>
      <x:c r="E2" s="318"/>
      <x:c r="F2" s="318"/>
      <x:c r="G2" s="319"/>
      <x:c r="J2"/>
      <x:c r="L2"/>
    </x:row>
    <x:row r="3">
      <x:c r="B3"/>
      <x:c r="C3"/>
      <x:c r="D3"/>
      <x:c r="E3"/>
      <x:c r="F3"/>
      <x:c r="G3"/>
      <x:c r="J3"/>
      <x:c r="L3"/>
    </x:row>
    <x:row r="4" ht="45">
      <x:c r="B4" s="144" t="s">
        <x:v>485</x:v>
      </x:c>
      <x:c r="C4" s="144" t="s">
        <x:v>486</x:v>
      </x:c>
      <x:c r="D4" s="144" t="s">
        <x:v>487</x:v>
      </x:c>
      <x:c r="E4" s="144" t="s">
        <x:v>488</x:v>
      </x:c>
      <x:c r="F4" s="144" t="s">
        <x:v>489</x:v>
      </x:c>
      <x:c r="G4" s="145" t="s">
        <x:v>490</x:v>
      </x:c>
      <x:c r="H4" s="146" t="s">
        <x:v>491</x:v>
      </x:c>
      <x:c r="I4" s="146" t="s">
        <x:v>492</x:v>
      </x:c>
      <x:c r="J4" s="146" t="s">
        <x:v>493</x:v>
      </x:c>
      <x:c r="L4" s="235"/>
    </x:row>
    <x:row r="5">
      <x:c r="B5" s="313" t="s">
        <x:v>494</x:v>
      </x:c>
      <x:c r="C5" s="154">
        <x:v>2</x:v>
      </x:c>
      <x:c r="D5" s="154">
        <x:v>0</x:v>
      </x:c>
      <x:c r="E5" s="154" t="str">
        <x:f>"0x"&amp;DEC2HEX(D5,4)</x:f>
        <x:v>0x0000</x:v>
      </x:c>
      <x:c r="F5" s="311" t="n">
        <x:f>SUM(C5:C12)</x:f>
        <x:v>16</x:v>
      </x:c>
      <x:c r="G5" s="147" t="s">
        <x:v>495</x:v>
      </x:c>
      <x:c r="H5" s="154">
        <x:v>0</x:v>
      </x:c>
      <x:c r="I5" s="154" t="s">
        <x:v>496</x:v>
      </x:c>
      <x:c r="J5" s="311">
        <x:v>16</x:v>
      </x:c>
      <x:c r="L5" s="222"/>
      <x:c r="M5" s="147"/>
      <x:c r="N5" s="161" t="s">
        <x:v>497</x:v>
      </x:c>
      <x:c r="O5"/>
    </x:row>
    <x:row r="6">
      <x:c r="B6" s="313"/>
      <x:c r="C6" s="154">
        <x:v>1</x:v>
      </x:c>
      <x:c r="D6" s="154" t="n">
        <x:f>D5+C5</x:f>
        <x:v>2</x:v>
      </x:c>
      <x:c r="E6" s="154" t="str">
        <x:f t="shared" ref="E6:E29" si="0">"0x"&amp;DEC2HEX(D6,4)</x:f>
        <x:v>0x0002</x:v>
      </x:c>
      <x:c r="F6" s="311"/>
      <x:c r="G6" s="147" t="s">
        <x:v>498</x:v>
      </x:c>
      <x:c r="H6" s="154" t="n">
        <x:f t="shared" ref="H6:H12" si="1">H5+C5</x:f>
        <x:v>2</x:v>
      </x:c>
      <x:c r="I6" s="211">
        <x:v>36</x:v>
      </x:c>
      <x:c r="J6" s="311"/>
      <x:c r="L6" s="222"/>
      <x:c r="M6" t="s">
        <x:v>499</x:v>
      </x:c>
      <x:c r="N6" t="s">
        <x:v>500</x:v>
      </x:c>
      <x:c r="O6" s="161" t="s">
        <x:v>501</x:v>
      </x:c>
    </x:row>
    <x:row r="7">
      <x:c r="B7" s="313"/>
      <x:c r="C7" s="154">
        <x:v>1</x:v>
      </x:c>
      <x:c r="D7" s="154" t="n">
        <x:f t="shared" ref="D7:D12" si="2">D6+C6</x:f>
        <x:v>3</x:v>
      </x:c>
      <x:c r="E7" s="154" t="str">
        <x:f t="shared" si="0"/>
        <x:v>0x0003</x:v>
      </x:c>
      <x:c r="F7" s="311"/>
      <x:c r="G7" s="147" t="s">
        <x:v>502</x:v>
      </x:c>
      <x:c r="H7" s="154">
        <x:f t="shared" si="1"/>
        <x:v>3</x:v>
      </x:c>
      <x:c r="I7" s="211">
        <x:v>0</x:v>
      </x:c>
      <x:c r="J7" s="311"/>
      <x:c r="L7" s="222"/>
      <x:c r="M7" t="s">
        <x:v>503</x:v>
      </x:c>
      <x:c r="N7" t="s">
        <x:v>500</x:v>
      </x:c>
      <x:c r="O7" s="161" t="s">
        <x:v>504</x:v>
      </x:c>
    </x:row>
    <x:row r="8">
      <x:c r="B8" s="313"/>
      <x:c r="C8" s="154">
        <x:v>1</x:v>
      </x:c>
      <x:c r="D8" s="154">
        <x:f t="shared" si="2"/>
        <x:v>4</x:v>
      </x:c>
      <x:c r="E8" s="154" t="str">
        <x:f t="shared" si="0"/>
        <x:v>0x0004</x:v>
      </x:c>
      <x:c r="F8" s="311"/>
      <x:c r="G8" s="147" t="s">
        <x:v>505</x:v>
      </x:c>
      <x:c r="H8" s="154">
        <x:f t="shared" si="1"/>
        <x:v>4</x:v>
      </x:c>
      <x:c r="I8" s="212">
        <x:v>3</x:v>
      </x:c>
      <x:c r="J8" s="311"/>
      <x:c r="L8" s="222"/>
      <x:c r="M8"/>
      <x:c r="N8" s="163"/>
      <x:c r="O8"/>
    </x:row>
    <x:row r="9">
      <x:c r="B9" s="313"/>
      <x:c r="C9" s="154">
        <x:v>1</x:v>
      </x:c>
      <x:c r="D9" s="154">
        <x:f t="shared" si="2"/>
        <x:v>5</x:v>
      </x:c>
      <x:c r="E9" s="154" t="str">
        <x:f t="shared" si="0"/>
        <x:v>0x0005</x:v>
      </x:c>
      <x:c r="F9" s="311"/>
      <x:c r="G9" s="147" t="s">
        <x:v>506</x:v>
      </x:c>
      <x:c r="H9" s="154">
        <x:f t="shared" si="1"/>
        <x:v>5</x:v>
      </x:c>
      <x:c r="I9" s="212">
        <x:v>2</x:v>
      </x:c>
      <x:c r="J9" s="311"/>
      <x:c r="L9" s="222"/>
      <x:c r="M9"/>
      <x:c r="N9"/>
      <x:c r="O9"/>
    </x:row>
    <x:row r="10">
      <x:c r="B10" s="313"/>
      <x:c r="C10" s="154">
        <x:v>8</x:v>
      </x:c>
      <x:c r="D10" s="154">
        <x:f t="shared" si="2"/>
        <x:v>6</x:v>
      </x:c>
      <x:c r="E10" s="154" t="str">
        <x:f t="shared" si="0"/>
        <x:v>0x0006</x:v>
      </x:c>
      <x:c r="F10" s="311"/>
      <x:c r="G10" s="147" t="s">
        <x:v>507</x:v>
      </x:c>
      <x:c r="H10" s="154">
        <x:f t="shared" si="1"/>
        <x:v>6</x:v>
      </x:c>
      <x:c r="I10" s="154" t="s">
        <x:v>508</x:v>
      </x:c>
      <x:c r="J10" s="311"/>
      <x:c r="L10" s="222"/>
      <x:c r="M10"/>
      <x:c r="N10"/>
      <x:c r="O10"/>
    </x:row>
    <x:row r="11">
      <x:c r="B11" s="313"/>
      <x:c r="C11" s="154">
        <x:v>1</x:v>
      </x:c>
      <x:c r="D11" s="154">
        <x:f t="shared" si="2"/>
        <x:v>14</x:v>
      </x:c>
      <x:c r="E11" s="154" t="str">
        <x:f t="shared" si="0"/>
        <x:v>0x000E</x:v>
      </x:c>
      <x:c r="F11" s="311"/>
      <x:c r="G11" s="147" t="s">
        <x:v>509</x:v>
      </x:c>
      <x:c r="H11" s="154">
        <x:f t="shared" si="1"/>
        <x:v>14</x:v>
      </x:c>
      <x:c r="I11" s="213">
        <x:v>2</x:v>
      </x:c>
      <x:c r="J11" s="311"/>
      <x:c r="L11" s="222"/>
    </x:row>
    <x:row r="12">
      <x:c r="B12" s="320"/>
      <x:c r="C12" s="158">
        <x:v>1</x:v>
      </x:c>
      <x:c r="D12" s="158">
        <x:f t="shared" si="2"/>
        <x:v>15</x:v>
      </x:c>
      <x:c r="E12" s="158" t="str">
        <x:f t="shared" si="0"/>
        <x:v>0x000F</x:v>
      </x:c>
      <x:c r="F12" s="311"/>
      <x:c r="G12" s="217" t="s">
        <x:v>510</x:v>
      </x:c>
      <x:c r="H12" s="158">
        <x:f t="shared" si="1"/>
        <x:v>15</x:v>
      </x:c>
      <x:c r="I12" s="218">
        <x:v>2</x:v>
      </x:c>
      <x:c r="J12" s="312"/>
      <x:c r="L12" s="222"/>
    </x:row>
    <x:row r="13">
      <x:c r="B13" s="313" t="s">
        <x:v>511</x:v>
      </x:c>
      <x:c r="C13" s="154">
        <x:v>2</x:v>
      </x:c>
      <x:c r="D13" s="154">
        <x:v>0</x:v>
      </x:c>
      <x:c r="E13" s="154" t="str">
        <x:f t="shared" si="0"/>
        <x:v>0x0000</x:v>
      </x:c>
      <x:c r="F13" s="315" t="n">
        <x:f>SUM(C13:C20)</x:f>
        <x:v>16</x:v>
      </x:c>
      <x:c r="G13" s="147" t="s">
        <x:v>495</x:v>
      </x:c>
      <x:c r="H13" s="154">
        <x:v>0</x:v>
      </x:c>
      <x:c r="I13" s="154" t="s">
        <x:v>496</x:v>
      </x:c>
      <x:c r="J13" s="323">
        <x:v>1024</x:v>
      </x:c>
      <x:c r="L13" s="221"/>
      <x:c r="M13" s="162" t="s">
        <x:v>512</x:v>
      </x:c>
      <x:c r="N13"/>
      <x:c r="O13"/>
      <x:c r="P13"/>
    </x:row>
    <x:row r="14">
      <x:c r="B14" s="313"/>
      <x:c r="C14" s="154">
        <x:v>1</x:v>
      </x:c>
      <x:c r="D14" s="154" t="n">
        <x:f>D13+C13</x:f>
        <x:v>2</x:v>
      </x:c>
      <x:c r="E14" s="154" t="str">
        <x:f t="shared" si="0"/>
        <x:v>0x0002</x:v>
      </x:c>
      <x:c r="F14" s="311"/>
      <x:c r="G14" s="147" t="s">
        <x:v>498</x:v>
      </x:c>
      <x:c r="H14" s="154" t="n">
        <x:f t="shared" ref="H14:H20" si="3">H13+C13</x:f>
        <x:v>2</x:v>
      </x:c>
      <x:c r="I14" s="211">
        <x:v>36</x:v>
      </x:c>
      <x:c r="J14" s="324"/>
      <x:c r="L14" s="221"/>
      <x:c r="M14" s="149" t="s">
        <x:v>513</x:v>
      </x:c>
      <x:c r="N14" s="149"/>
      <x:c r="O14" s="154" t="s">
        <x:v>499</x:v>
      </x:c>
      <x:c r="P14" s="154" t="s">
        <x:v>503</x:v>
      </x:c>
      <x:c r="Q14"/>
      <x:c r="R14"/>
    </x:row>
    <x:row r="15">
      <x:c r="B15" s="313"/>
      <x:c r="C15" s="154">
        <x:v>1</x:v>
      </x:c>
      <x:c r="D15" s="154" t="n">
        <x:f t="shared" ref="D15:D20" si="4">D14+C14</x:f>
        <x:v>3</x:v>
      </x:c>
      <x:c r="E15" s="154" t="str">
        <x:f t="shared" si="0"/>
        <x:v>0x0003</x:v>
      </x:c>
      <x:c r="F15" s="311"/>
      <x:c r="G15" s="147" t="s">
        <x:v>502</x:v>
      </x:c>
      <x:c r="H15" s="154">
        <x:f t="shared" si="3"/>
        <x:v>3</x:v>
      </x:c>
      <x:c r="I15" s="211">
        <x:v>0</x:v>
      </x:c>
      <x:c r="J15" s="324"/>
      <x:c r="L15" s="221"/>
      <x:c r="M15" t="s">
        <x:v>514</x:v>
      </x:c>
      <x:c r="N15"/>
      <x:c r="O15" s="154">
        <x:v>32</x:v>
      </x:c>
      <x:c r="P15" s="154">
        <x:v>0</x:v>
      </x:c>
      <x:c r="Q15"/>
      <x:c r="R15" s="161" t="s">
        <x:v>515</x:v>
      </x:c>
    </x:row>
    <x:row r="16">
      <x:c r="B16" s="313"/>
      <x:c r="C16" s="154">
        <x:v>1</x:v>
      </x:c>
      <x:c r="D16" s="154">
        <x:f t="shared" si="4"/>
        <x:v>4</x:v>
      </x:c>
      <x:c r="E16" s="154" t="str">
        <x:f t="shared" si="0"/>
        <x:v>0x0004</x:v>
      </x:c>
      <x:c r="F16" s="311"/>
      <x:c r="G16" s="147" t="s">
        <x:v>505</x:v>
      </x:c>
      <x:c r="H16" s="154">
        <x:f t="shared" si="3"/>
        <x:v>4</x:v>
      </x:c>
      <x:c r="I16" s="212">
        <x:v>3</x:v>
      </x:c>
      <x:c r="J16" s="324"/>
      <x:c r="L16" s="221"/>
      <x:c r="M16" t="s">
        <x:v>516</x:v>
      </x:c>
      <x:c r="N16"/>
      <x:c r="O16" s="154">
        <x:v>33</x:v>
      </x:c>
      <x:c r="P16" s="154">
        <x:v>0</x:v>
      </x:c>
    </x:row>
    <x:row r="17">
      <x:c r="B17" s="313"/>
      <x:c r="C17" s="154">
        <x:v>1</x:v>
      </x:c>
      <x:c r="D17" s="154">
        <x:f t="shared" si="4"/>
        <x:v>5</x:v>
      </x:c>
      <x:c r="E17" s="154" t="str">
        <x:f t="shared" si="0"/>
        <x:v>0x0005</x:v>
      </x:c>
      <x:c r="F17" s="311"/>
      <x:c r="G17" s="147" t="s">
        <x:v>506</x:v>
      </x:c>
      <x:c r="H17" s="154">
        <x:f t="shared" si="3"/>
        <x:v>5</x:v>
      </x:c>
      <x:c r="I17" s="212">
        <x:v>2</x:v>
      </x:c>
      <x:c r="J17" s="324"/>
      <x:c r="L17" s="221"/>
      <x:c r="M17" t="s">
        <x:v>517</x:v>
      </x:c>
      <x:c r="N17"/>
      <x:c r="O17" s="154">
        <x:v>34</x:v>
      </x:c>
      <x:c r="P17" s="154">
        <x:v>0</x:v>
      </x:c>
    </x:row>
    <x:row r="18">
      <x:c r="B18" s="313"/>
      <x:c r="C18" s="154">
        <x:v>8</x:v>
      </x:c>
      <x:c r="D18" s="154">
        <x:f t="shared" si="4"/>
        <x:v>6</x:v>
      </x:c>
      <x:c r="E18" s="154" t="str">
        <x:f t="shared" si="0"/>
        <x:v>0x0006</x:v>
      </x:c>
      <x:c r="F18" s="311"/>
      <x:c r="G18" s="147" t="s">
        <x:v>507</x:v>
      </x:c>
      <x:c r="H18" s="154">
        <x:f t="shared" si="3"/>
        <x:v>6</x:v>
      </x:c>
      <x:c r="I18" s="154" t="s">
        <x:v>508</x:v>
      </x:c>
      <x:c r="J18" s="324"/>
      <x:c r="L18" s="221"/>
      <x:c r="M18" t="s">
        <x:v>518</x:v>
      </x:c>
      <x:c r="N18"/>
      <x:c r="O18" s="154">
        <x:v>35</x:v>
      </x:c>
      <x:c r="P18" s="154">
        <x:v>1</x:v>
      </x:c>
    </x:row>
    <x:row r="19">
      <x:c r="B19" s="313"/>
      <x:c r="C19" s="154">
        <x:v>1</x:v>
      </x:c>
      <x:c r="D19" s="154">
        <x:f t="shared" si="4"/>
        <x:v>14</x:v>
      </x:c>
      <x:c r="E19" s="154" t="str">
        <x:f t="shared" si="0"/>
        <x:v>0x000E</x:v>
      </x:c>
      <x:c r="F19" s="311"/>
      <x:c r="G19" s="147" t="s">
        <x:v>509</x:v>
      </x:c>
      <x:c r="H19" s="154">
        <x:f t="shared" si="3"/>
        <x:v>14</x:v>
      </x:c>
      <x:c r="I19" s="213">
        <x:v>2</x:v>
      </x:c>
      <x:c r="J19" s="324"/>
      <x:c r="L19" s="221"/>
      <x:c r="M19" t="s">
        <x:v>519</x:v>
      </x:c>
      <x:c r="N19"/>
      <x:c r="O19" s="154">
        <x:v>35</x:v>
      </x:c>
      <x:c r="P19" s="154">
        <x:v>0</x:v>
      </x:c>
    </x:row>
    <x:row r="20" ht="15.75">
      <x:c r="B20" s="314"/>
      <x:c r="C20" s="155">
        <x:v>1</x:v>
      </x:c>
      <x:c r="D20" s="155">
        <x:f t="shared" si="4"/>
        <x:v>15</x:v>
      </x:c>
      <x:c r="E20" s="155" t="str">
        <x:f t="shared" si="0"/>
        <x:v>0x000F</x:v>
      </x:c>
      <x:c r="F20" s="316"/>
      <x:c r="G20" s="148" t="s">
        <x:v>510</x:v>
      </x:c>
      <x:c r="H20" s="155">
        <x:f t="shared" si="3"/>
        <x:v>15</x:v>
      </x:c>
      <x:c r="I20" s="234">
        <x:v>2</x:v>
      </x:c>
      <x:c r="J20" s="324"/>
      <x:c r="L20" s="221"/>
      <x:c r="M20" t="s">
        <x:v>520</x:v>
      </x:c>
      <x:c r="N20"/>
      <x:c r="O20" s="154">
        <x:v>35</x:v>
      </x:c>
      <x:c r="P20" s="154">
        <x:v>1</x:v>
      </x:c>
    </x:row>
    <x:row r="21">
      <x:c r="B21" s="321" t="s">
        <x:v>521</x:v>
      </x:c>
      <x:c r="C21" s="154">
        <x:v>4</x:v>
      </x:c>
      <x:c r="D21" s="157" t="n">
        <x:f>D20+C20</x:f>
        <x:v>16</x:v>
      </x:c>
      <x:c r="E21" s="154" t="str">
        <x:f t="shared" si="0"/>
        <x:v>0x0010</x:v>
      </x:c>
      <x:c r="F21" s="325" t="n">
        <x:f>SUM(C21:C29)</x:f>
        <x:v>160</x:v>
      </x:c>
      <x:c r="G21" s="39" t="s">
        <x:v>522</x:v>
      </x:c>
      <x:c r="H21" s="154">
        <x:v>0</x:v>
      </x:c>
      <x:c r="I21" s="154" t="s">
        <x:v>523</x:v>
      </x:c>
      <x:c r="J21" s="324"/>
      <x:c r="L21" s="221"/>
      <x:c r="M21" t="s">
        <x:v>524</x:v>
      </x:c>
      <x:c r="N21"/>
      <x:c r="O21" s="154">
        <x:v>35</x:v>
      </x:c>
      <x:c r="P21" s="154">
        <x:v>2</x:v>
      </x:c>
      <x:c r="W21"/>
      <x:c r="X21"/>
    </x:row>
    <x:row r="22">
      <x:c r="B22" s="313"/>
      <x:c r="C22" s="154">
        <x:v>1</x:v>
      </x:c>
      <x:c r="D22" s="154" t="n">
        <x:f>D21+C21</x:f>
        <x:v>20</x:v>
      </x:c>
      <x:c r="E22" s="154" t="str">
        <x:f t="shared" si="0"/>
        <x:v>0x0014</x:v>
      </x:c>
      <x:c r="F22" s="324"/>
      <x:c r="G22" s="39" t="s">
        <x:v>525</x:v>
      </x:c>
      <x:c r="H22" s="154" t="n">
        <x:f t="shared" ref="H22:H29" si="5">H21+C21</x:f>
        <x:v>4</x:v>
      </x:c>
      <x:c r="I22" s="154">
        <x:v>20</x:v>
      </x:c>
      <x:c r="J22" s="324"/>
      <x:c r="L22" s="221"/>
      <x:c r="M22" s="210" t="s">
        <x:v>526</x:v>
      </x:c>
      <x:c r="N22" s="211"/>
      <x:c r="O22" s="211">
        <x:v>36</x:v>
      </x:c>
      <x:c r="P22" s="211">
        <x:v>0</x:v>
      </x:c>
      <x:c r="W22" s="161"/>
    </x:row>
    <x:row r="23" ht="30">
      <x:c r="B23" s="313"/>
      <x:c r="C23" s="154">
        <x:v>1</x:v>
      </x:c>
      <x:c r="D23" s="154" t="n">
        <x:f t="shared" ref="D23:D28" si="6">D22+C22</x:f>
        <x:v>21</x:v>
      </x:c>
      <x:c r="E23" s="154" t="str">
        <x:f t="shared" si="0"/>
        <x:v>0x0015</x:v>
      </x:c>
      <x:c r="F23" s="324"/>
      <x:c r="G23" s="39" t="s">
        <x:v>527</x:v>
      </x:c>
      <x:c r="H23" s="154">
        <x:f t="shared" si="5"/>
        <x:v>5</x:v>
      </x:c>
      <x:c r="I23" s="154">
        <x:v>30</x:v>
      </x:c>
      <x:c r="J23" s="324"/>
      <x:c r="L23" s="221"/>
      <x:c r="M23"/>
    </x:row>
    <x:row r="24">
      <x:c r="B24" s="313"/>
      <x:c r="C24" s="154">
        <x:v>8</x:v>
      </x:c>
      <x:c r="D24" s="154">
        <x:f t="shared" si="6"/>
        <x:v>22</x:v>
      </x:c>
      <x:c r="E24" s="154" t="str">
        <x:f t="shared" si="0"/>
        <x:v>0x0016</x:v>
      </x:c>
      <x:c r="F24" s="324"/>
      <x:c r="G24" t="s">
        <x:v>528</x:v>
      </x:c>
      <x:c r="H24" s="154">
        <x:f t="shared" si="5"/>
        <x:v>6</x:v>
      </x:c>
      <x:c r="I24" s="154" t="s">
        <x:v>529</x:v>
      </x:c>
      <x:c r="J24" s="324"/>
      <x:c r="L24" s="221"/>
    </x:row>
    <x:row r="25">
      <x:c r="B25" s="313"/>
      <x:c r="C25" s="154">
        <x:v>1</x:v>
      </x:c>
      <x:c r="D25" s="154">
        <x:f t="shared" si="6"/>
        <x:v>30</x:v>
      </x:c>
      <x:c r="E25" s="154" t="str">
        <x:f t="shared" si="0"/>
        <x:v>0x001E</x:v>
      </x:c>
      <x:c r="F25" s="324"/>
      <x:c r="G25" t="s">
        <x:v>530</x:v>
      </x:c>
      <x:c r="H25" s="154">
        <x:f t="shared" si="5"/>
        <x:v>14</x:v>
      </x:c>
      <x:c r="I25" s="215">
        <x:v>2</x:v>
      </x:c>
      <x:c r="J25" s="324"/>
      <x:c r="L25" s="221"/>
      <x:c r="M25" s="154" t="s">
        <x:v>531</x:v>
      </x:c>
    </x:row>
    <x:row r="26" ht="15" customHeight="1">
      <x:c r="B26" s="313"/>
      <x:c r="C26" s="154">
        <x:v>1</x:v>
      </x:c>
      <x:c r="D26" s="154">
        <x:f t="shared" si="6"/>
        <x:v>31</x:v>
      </x:c>
      <x:c r="E26" s="154" t="str">
        <x:f t="shared" si="0"/>
        <x:v>0x001F</x:v>
      </x:c>
      <x:c r="F26" s="324"/>
      <x:c r="G26" t="s">
        <x:v>532</x:v>
      </x:c>
      <x:c r="H26" s="154">
        <x:f t="shared" si="5"/>
        <x:v>15</x:v>
      </x:c>
      <x:c r="I26" s="215">
        <x:v>0</x:v>
      </x:c>
      <x:c r="J26" s="324"/>
      <x:c r="L26" s="221"/>
      <x:c r="M26" s="154" t="s">
        <x:v>533</x:v>
      </x:c>
    </x:row>
    <x:row r="27" ht="15" customHeight="1">
      <x:c r="B27" s="313"/>
      <x:c r="C27" s="154">
        <x:v>8</x:v>
      </x:c>
      <x:c r="D27" s="154">
        <x:f t="shared" si="6"/>
        <x:v>32</x:v>
      </x:c>
      <x:c r="E27" s="154" t="str">
        <x:f t="shared" si="0"/>
        <x:v>0x0020</x:v>
      </x:c>
      <x:c r="F27" s="324"/>
      <x:c r="G27" t="s">
        <x:v>534</x:v>
      </x:c>
      <x:c r="H27" s="154">
        <x:f t="shared" si="5"/>
        <x:v>16</x:v>
      </x:c>
      <x:c r="I27" s="154" t="s">
        <x:v>535</x:v>
      </x:c>
      <x:c r="J27" s="324"/>
      <x:c r="L27" s="221"/>
      <x:c r="M27" s="149" t="s">
        <x:v>536</x:v>
      </x:c>
      <x:c r="N27" s="149"/>
      <x:c r="O27" s="154" t="s">
        <x:v>499</x:v>
      </x:c>
      <x:c r="P27" s="154" t="s">
        <x:v>503</x:v>
      </x:c>
    </x:row>
    <x:row r="28" ht="15" customHeight="1">
      <x:c r="B28" s="313"/>
      <x:c r="C28" s="154">
        <x:v>1</x:v>
      </x:c>
      <x:c r="D28" s="154">
        <x:f t="shared" si="6"/>
        <x:v>40</x:v>
      </x:c>
      <x:c r="E28" s="154" t="str">
        <x:f t="shared" si="0"/>
        <x:v>0x0028</x:v>
      </x:c>
      <x:c r="F28" s="324"/>
      <x:c r="G28" t="s">
        <x:v>537</x:v>
      </x:c>
      <x:c r="H28" s="154">
        <x:f t="shared" si="5"/>
        <x:v>24</x:v>
      </x:c>
      <x:c r="I28" s="219" t="s">
        <x:v>538</x:v>
      </x:c>
      <x:c r="J28" s="324"/>
      <x:c r="L28" s="221"/>
      <x:c r="M28" s="161" t="s">
        <x:v>539</x:v>
      </x:c>
      <x:c r="O28" s="154">
        <x:v>0</x:v>
      </x:c>
      <x:c r="P28" s="154">
        <x:v>0</x:v>
      </x:c>
    </x:row>
    <x:row r="29" ht="15" customHeight="1">
      <x:c r="B29" s="320"/>
      <x:c r="C29" s="231">
        <x:v>135</x:v>
      </x:c>
      <x:c r="D29" s="231" t="n">
        <x:f>C28+D28</x:f>
        <x:v>41</x:v>
      </x:c>
      <x:c r="E29" s="231" t="str">
        <x:f t="shared" si="0"/>
        <x:v>0x0029</x:v>
      </x:c>
      <x:c r="F29" s="326"/>
      <x:c r="G29" s="230" t="s">
        <x:v>540</x:v>
      </x:c>
      <x:c r="H29" s="226">
        <x:f t="shared" si="5"/>
        <x:v>25</x:v>
      </x:c>
      <x:c r="I29" s="226"/>
      <x:c r="J29" s="324"/>
      <x:c r="L29" s="221"/>
      <x:c r="M29" s="154" t="s">
        <x:v>541</x:v>
      </x:c>
      <x:c r="O29" s="154">
        <x:v>1</x:v>
      </x:c>
      <x:c r="P29" s="154">
        <x:v>0</x:v>
      </x:c>
    </x:row>
    <x:row r="30">
      <x:c r="B30" s="322" t="s">
        <x:v>542</x:v>
      </x:c>
      <x:c r="C30" s="154">
        <x:v>4</x:v>
      </x:c>
      <x:c r="D30" s="157" t="n">
        <x:f>D29+C29</x:f>
        <x:v>176</x:v>
      </x:c>
      <x:c r="E30" s="154" t="str">
        <x:f t="shared" ref="E30:E56" si="7">"0x"&amp;DEC2HEX(D30,4)</x:f>
        <x:v>0x00b0</x:v>
      </x:c>
      <x:c r="F30" s="324" t="n">
        <x:f>SUM(C30:C38)</x:f>
        <x:v>160</x:v>
      </x:c>
      <x:c r="G30" s="150" t="s">
        <x:v>522</x:v>
      </x:c>
      <x:c r="H30" s="154">
        <x:v>0</x:v>
      </x:c>
      <x:c r="I30" s="154" t="s">
        <x:v>523</x:v>
      </x:c>
      <x:c r="J30" s="324"/>
      <x:c r="L30" s="221"/>
      <x:c r="M30" s="154" t="s">
        <x:v>543</x:v>
      </x:c>
      <x:c r="O30" s="154">
        <x:v>2</x:v>
      </x:c>
      <x:c r="P30" s="154">
        <x:v>0</x:v>
      </x:c>
    </x:row>
    <x:row r="31">
      <x:c r="B31" s="313"/>
      <x:c r="C31" s="154">
        <x:v>1</x:v>
      </x:c>
      <x:c r="D31" s="154" t="n">
        <x:f>D30+C30</x:f>
        <x:v>180</x:v>
      </x:c>
      <x:c r="E31" s="154" t="str">
        <x:f t="shared" si="7"/>
        <x:v>0x00B4</x:v>
      </x:c>
      <x:c r="F31" s="324"/>
      <x:c r="G31" s="39" t="s">
        <x:v>525</x:v>
      </x:c>
      <x:c r="H31" s="154" t="n">
        <x:f t="shared" ref="H31:H38" si="8">H30+C30</x:f>
        <x:v>4</x:v>
      </x:c>
      <x:c r="I31" s="154">
        <x:v>20</x:v>
      </x:c>
      <x:c r="J31" s="324"/>
      <x:c r="L31" s="221"/>
      <x:c r="M31" s="154" t="s">
        <x:v>544</x:v>
      </x:c>
      <x:c r="O31" s="154">
        <x:v>3</x:v>
      </x:c>
      <x:c r="P31" s="154">
        <x:v>0</x:v>
      </x:c>
    </x:row>
    <x:row r="32" ht="30">
      <x:c r="B32" s="313"/>
      <x:c r="C32" s="154">
        <x:v>1</x:v>
      </x:c>
      <x:c r="D32" s="154" t="n">
        <x:f t="shared" ref="D32:D37" si="9">D31+C31</x:f>
        <x:v>181</x:v>
      </x:c>
      <x:c r="E32" s="154" t="str">
        <x:f t="shared" si="7"/>
        <x:v>0x00B5</x:v>
      </x:c>
      <x:c r="F32" s="324"/>
      <x:c r="G32" s="39" t="s">
        <x:v>527</x:v>
      </x:c>
      <x:c r="H32" s="154">
        <x:f t="shared" si="8"/>
        <x:v>5</x:v>
      </x:c>
      <x:c r="I32" s="154">
        <x:v>30</x:v>
      </x:c>
      <x:c r="J32" s="324"/>
      <x:c r="L32" s="221"/>
      <x:c r="M32" s="154" t="s">
        <x:v>544</x:v>
      </x:c>
      <x:c r="O32" s="154">
        <x:v>3</x:v>
      </x:c>
      <x:c r="P32" s="154">
        <x:v>1</x:v>
      </x:c>
    </x:row>
    <x:row r="33">
      <x:c r="B33" s="313"/>
      <x:c r="C33" s="154">
        <x:v>8</x:v>
      </x:c>
      <x:c r="D33" s="154">
        <x:f t="shared" si="9"/>
        <x:v>182</x:v>
      </x:c>
      <x:c r="E33" s="154" t="str">
        <x:f t="shared" si="7"/>
        <x:v>0x00B6</x:v>
      </x:c>
      <x:c r="F33" s="324"/>
      <x:c r="G33" t="s">
        <x:v>528</x:v>
      </x:c>
      <x:c r="H33" s="154">
        <x:f t="shared" si="8"/>
        <x:v>6</x:v>
      </x:c>
      <x:c r="I33" s="154" t="s">
        <x:v>529</x:v>
      </x:c>
      <x:c r="J33" s="324"/>
      <x:c r="L33" s="221"/>
      <x:c r="M33" s="212" t="s">
        <x:v>544</x:v>
      </x:c>
      <x:c r="N33" s="212"/>
      <x:c r="O33" s="212">
        <x:v>3</x:v>
      </x:c>
      <x:c r="P33" s="212">
        <x:v>2</x:v>
      </x:c>
    </x:row>
    <x:row r="34">
      <x:c r="B34" s="313"/>
      <x:c r="C34" s="154">
        <x:v>1</x:v>
      </x:c>
      <x:c r="D34" s="154">
        <x:f t="shared" si="9"/>
        <x:v>190</x:v>
      </x:c>
      <x:c r="E34" s="154" t="str">
        <x:f t="shared" si="7"/>
        <x:v>0x00BE</x:v>
      </x:c>
      <x:c r="F34" s="324"/>
      <x:c r="G34" t="s">
        <x:v>530</x:v>
      </x:c>
      <x:c r="H34" s="154">
        <x:f t="shared" si="8"/>
        <x:v>14</x:v>
      </x:c>
      <x:c r="I34" s="215">
        <x:v>2</x:v>
      </x:c>
      <x:c r="J34" s="324"/>
      <x:c r="L34" s="221"/>
      <x:c r="M34" s="154" t="s">
        <x:v>545</x:v>
      </x:c>
      <x:c r="O34" s="154">
        <x:v>4</x:v>
      </x:c>
      <x:c r="P34" s="154">
        <x:v>0</x:v>
      </x:c>
      <x:c r="W34" s="190"/>
    </x:row>
    <x:row r="35">
      <x:c r="B35" s="313"/>
      <x:c r="C35" s="154">
        <x:v>1</x:v>
      </x:c>
      <x:c r="D35" s="154">
        <x:f t="shared" si="9"/>
        <x:v>191</x:v>
      </x:c>
      <x:c r="E35" s="154" t="str">
        <x:f t="shared" si="7"/>
        <x:v>0x00BF</x:v>
      </x:c>
      <x:c r="F35" s="324"/>
      <x:c r="G35" t="s">
        <x:v>532</x:v>
      </x:c>
      <x:c r="H35" s="154">
        <x:f t="shared" si="8"/>
        <x:v>15</x:v>
      </x:c>
      <x:c r="I35" s="215">
        <x:v>0</x:v>
      </x:c>
      <x:c r="J35" s="324"/>
      <x:c r="L35" s="221"/>
      <x:c r="M35" s="154" t="s">
        <x:v>546</x:v>
      </x:c>
      <x:c r="O35" s="154">
        <x:v>5</x:v>
      </x:c>
      <x:c r="P35" s="154">
        <x:v>0</x:v>
      </x:c>
      <x:c r="Q35" s="154" t="s">
        <x:v>547</x:v>
      </x:c>
      <x:c r="W35" s="190"/>
    </x:row>
    <x:row r="36">
      <x:c r="B36" s="313"/>
      <x:c r="C36" s="154">
        <x:v>8</x:v>
      </x:c>
      <x:c r="D36" s="154">
        <x:f t="shared" si="9"/>
        <x:v>192</x:v>
      </x:c>
      <x:c r="E36" s="154" t="str">
        <x:f t="shared" si="7"/>
        <x:v>0x00C0</x:v>
      </x:c>
      <x:c r="F36" s="324"/>
      <x:c r="G36" t="s">
        <x:v>534</x:v>
      </x:c>
      <x:c r="H36" s="154">
        <x:f t="shared" si="8"/>
        <x:v>16</x:v>
      </x:c>
      <x:c r="I36" s="154" t="s">
        <x:v>535</x:v>
      </x:c>
      <x:c r="J36" s="324"/>
      <x:c r="L36" s="221"/>
      <x:c r="M36" s="154" t="s">
        <x:v>546</x:v>
      </x:c>
      <x:c r="O36" s="154">
        <x:v>5</x:v>
      </x:c>
      <x:c r="P36" s="154">
        <x:v>1</x:v>
      </x:c>
      <x:c r="Q36" s="154" t="s">
        <x:v>548</x:v>
      </x:c>
      <x:c r="S36" s="190"/>
      <x:c r="W36" s="190"/>
    </x:row>
    <x:row r="37">
      <x:c r="B37" s="313"/>
      <x:c r="C37" s="154">
        <x:v>1</x:v>
      </x:c>
      <x:c r="D37" s="154">
        <x:f t="shared" si="9"/>
        <x:v>200</x:v>
      </x:c>
      <x:c r="E37" s="154" t="str">
        <x:f t="shared" si="7"/>
        <x:v>0x00C8</x:v>
      </x:c>
      <x:c r="F37" s="324"/>
      <x:c r="G37" t="s">
        <x:v>549</x:v>
      </x:c>
      <x:c r="H37" s="154">
        <x:f t="shared" si="8"/>
        <x:v>24</x:v>
      </x:c>
      <x:c r="I37" s="219" t="s">
        <x:v>538</x:v>
      </x:c>
      <x:c r="J37" s="324"/>
      <x:c r="L37" s="221"/>
      <x:c r="M37" s="154" t="s">
        <x:v>550</x:v>
      </x:c>
      <x:c r="O37" s="154">
        <x:v>6</x:v>
      </x:c>
      <x:c r="P37" s="154">
        <x:v>0</x:v>
      </x:c>
      <x:c r="S37" s="190"/>
    </x:row>
    <x:row r="38" ht="15.75">
      <x:c r="B38" s="314"/>
      <x:c r="C38" s="232">
        <x:v>135</x:v>
      </x:c>
      <x:c r="D38" s="232" t="n">
        <x:f>D37+C37</x:f>
        <x:v>201</x:v>
      </x:c>
      <x:c r="E38" s="233" t="str">
        <x:f t="shared" si="7"/>
        <x:v>0x00C9</x:v>
      </x:c>
      <x:c r="F38" s="327"/>
      <x:c r="G38" s="230" t="s">
        <x:v>540</x:v>
      </x:c>
      <x:c r="H38" s="224">
        <x:f t="shared" si="8"/>
        <x:v>25</x:v>
      </x:c>
      <x:c r="I38" s="224"/>
      <x:c r="J38" s="324"/>
      <x:c r="L38" s="221"/>
      <x:c r="M38" s="154" t="s">
        <x:v>551</x:v>
      </x:c>
      <x:c r="O38" s="154">
        <x:v>7</x:v>
      </x:c>
      <x:c r="P38" s="154">
        <x:v>0</x:v>
      </x:c>
      <x:c r="S38" s="190"/>
    </x:row>
    <x:row r="39">
      <x:c r="B39" s="321" t="s">
        <x:v>552</x:v>
      </x:c>
      <x:c r="C39" s="156">
        <x:v>4</x:v>
      </x:c>
      <x:c r="D39" s="160" t="n">
        <x:f>D38+C38</x:f>
        <x:v>336</x:v>
      </x:c>
      <x:c r="E39" s="154" t="str">
        <x:f t="shared" si="7"/>
        <x:v>0x0150</x:v>
      </x:c>
      <x:c r="F39" s="323" t="n">
        <x:f>SUM(C39:C57)</x:f>
        <x:v>336</x:v>
      </x:c>
      <x:c r="G39" s="151" t="s">
        <x:v>522</x:v>
      </x:c>
      <x:c r="H39" s="154">
        <x:v>0</x:v>
      </x:c>
      <x:c r="I39" s="154" t="s">
        <x:v>553</x:v>
      </x:c>
      <x:c r="J39" s="324"/>
      <x:c r="L39" s="221"/>
      <x:c r="M39"/>
      <x:c r="N39"/>
    </x:row>
    <x:row r="40">
      <x:c r="B40" s="313"/>
      <x:c r="C40" s="154">
        <x:v>4</x:v>
      </x:c>
      <x:c r="D40" s="154" t="n">
        <x:f>D39+C39</x:f>
        <x:v>340</x:v>
      </x:c>
      <x:c r="E40" s="154" t="str">
        <x:f t="shared" si="7"/>
        <x:v>0x0154</x:v>
      </x:c>
      <x:c r="F40" s="324"/>
      <x:c r="G40" s="39" t="s">
        <x:v>554</x:v>
      </x:c>
      <x:c r="H40" s="154" t="n">
        <x:f t="shared" ref="H40:H57" si="10">H39+C39</x:f>
        <x:v>4</x:v>
      </x:c>
      <x:c r="I40" s="154" t="s">
        <x:v>555</x:v>
      </x:c>
      <x:c r="J40" s="324"/>
      <x:c r="L40" s="221"/>
      <x:c r="M40" s="161"/>
    </x:row>
    <x:row r="41">
      <x:c r="B41" s="313"/>
      <x:c r="C41" s="154">
        <x:v>8</x:v>
      </x:c>
      <x:c r="D41" s="154" t="n">
        <x:f t="shared" ref="D41:D57" si="11">D40+C40</x:f>
        <x:v>344</x:v>
      </x:c>
      <x:c r="E41" s="154" t="str">
        <x:f t="shared" si="7"/>
        <x:v>0x0158</x:v>
      </x:c>
      <x:c r="F41" s="324"/>
      <x:c r="G41" s="39" t="s">
        <x:v>556</x:v>
      </x:c>
      <x:c r="H41" s="154">
        <x:f t="shared" si="10"/>
        <x:v>8</x:v>
      </x:c>
      <x:c r="I41" s="154" t="s">
        <x:v>557</x:v>
      </x:c>
      <x:c r="J41" s="324"/>
      <x:c r="L41" s="221"/>
      <x:c r="M41" s="149" t="s">
        <x:v>558</x:v>
      </x:c>
      <x:c r="N41" s="149"/>
      <x:c r="O41" s="154" t="s">
        <x:v>499</x:v>
      </x:c>
      <x:c r="P41" s="154" t="s">
        <x:v>503</x:v>
      </x:c>
    </x:row>
    <x:row r="42">
      <x:c r="B42" s="313"/>
      <x:c r="C42" s="154">
        <x:v>4</x:v>
      </x:c>
      <x:c r="D42" s="154">
        <x:f t="shared" si="11"/>
        <x:v>352</x:v>
      </x:c>
      <x:c r="E42" s="154" t="str">
        <x:f t="shared" si="7"/>
        <x:v>0x0160</x:v>
      </x:c>
      <x:c r="F42" s="324"/>
      <x:c r="G42" s="39" t="s">
        <x:v>559</x:v>
      </x:c>
      <x:c r="H42" s="154">
        <x:f t="shared" si="10"/>
        <x:v>16</x:v>
      </x:c>
      <x:c r="I42" s="154" t="s">
        <x:v>560</x:v>
      </x:c>
      <x:c r="J42" s="324"/>
      <x:c r="L42" s="221"/>
      <x:c r="M42" s="161" t="s">
        <x:v>539</x:v>
      </x:c>
      <x:c r="O42" s="154">
        <x:v>0</x:v>
      </x:c>
      <x:c r="P42" s="154">
        <x:v>0</x:v>
      </x:c>
    </x:row>
    <x:row r="43">
      <x:c r="B43" s="313"/>
      <x:c r="C43" s="154">
        <x:v>4</x:v>
      </x:c>
      <x:c r="D43" s="154">
        <x:f t="shared" si="11"/>
        <x:v>356</x:v>
      </x:c>
      <x:c r="E43" s="154" t="str">
        <x:f t="shared" si="7"/>
        <x:v>0x0164</x:v>
      </x:c>
      <x:c r="F43" s="324"/>
      <x:c r="G43" s="39" t="s">
        <x:v>561</x:v>
      </x:c>
      <x:c r="H43" s="154">
        <x:f t="shared" si="10"/>
        <x:v>20</x:v>
      </x:c>
      <x:c r="I43" s="154" t="s">
        <x:v>560</x:v>
      </x:c>
      <x:c r="J43" s="324"/>
      <x:c r="L43" s="221"/>
      <x:c r="M43" s="163" t="s">
        <x:v>562</x:v>
      </x:c>
      <x:c r="O43" s="154">
        <x:v>1</x:v>
      </x:c>
      <x:c r="P43" s="154">
        <x:v>2</x:v>
      </x:c>
    </x:row>
    <x:row r="44">
      <x:c r="B44" s="313"/>
      <x:c r="C44" s="154">
        <x:v>1</x:v>
      </x:c>
      <x:c r="D44" s="154">
        <x:f t="shared" si="11"/>
        <x:v>360</x:v>
      </x:c>
      <x:c r="E44" s="154" t="str">
        <x:f t="shared" si="7"/>
        <x:v>0x0168</x:v>
      </x:c>
      <x:c r="F44" s="324"/>
      <x:c r="G44" s="39" t="s">
        <x:v>563</x:v>
      </x:c>
      <x:c r="H44" s="154">
        <x:f t="shared" si="10"/>
        <x:v>24</x:v>
      </x:c>
      <x:c r="I44" s="154" t="s">
        <x:v>564</x:v>
      </x:c>
      <x:c r="J44" s="324"/>
      <x:c r="L44" s="221"/>
      <x:c r="M44" s="163" t="s">
        <x:v>565</x:v>
      </x:c>
      <x:c r="O44" s="154">
        <x:v>2</x:v>
      </x:c>
      <x:c r="P44" s="154">
        <x:v>1</x:v>
      </x:c>
    </x:row>
    <x:row r="45">
      <x:c r="B45" s="313"/>
      <x:c r="C45" s="154">
        <x:v>1</x:v>
      </x:c>
      <x:c r="D45" s="154">
        <x:f t="shared" si="11"/>
        <x:v>361</x:v>
      </x:c>
      <x:c r="E45" s="154" t="str">
        <x:f t="shared" si="7"/>
        <x:v>0x0169</x:v>
      </x:c>
      <x:c r="F45" s="324"/>
      <x:c r="G45" s="39" t="s">
        <x:v>566</x:v>
      </x:c>
      <x:c r="H45" s="154">
        <x:f t="shared" si="10"/>
        <x:v>25</x:v>
      </x:c>
      <x:c r="I45" s="154" t="s">
        <x:v>564</x:v>
      </x:c>
      <x:c r="J45" s="324"/>
      <x:c r="L45" s="221"/>
      <x:c r="M45" s="163"/>
    </x:row>
    <x:row r="46">
      <x:c r="B46" s="313"/>
      <x:c r="C46" s="154">
        <x:v>1</x:v>
      </x:c>
      <x:c r="D46" s="154">
        <x:f t="shared" si="11"/>
        <x:v>362</x:v>
      </x:c>
      <x:c r="E46" s="154" t="str">
        <x:f t="shared" si="7"/>
        <x:v>0x016A</x:v>
      </x:c>
      <x:c r="F46" s="324"/>
      <x:c r="G46" s="39" t="s">
        <x:v>567</x:v>
      </x:c>
      <x:c r="H46" s="154">
        <x:f t="shared" si="10"/>
        <x:v>26</x:v>
      </x:c>
      <x:c r="I46" s="154" t="s">
        <x:v>564</x:v>
      </x:c>
      <x:c r="J46" s="324"/>
      <x:c r="L46" s="221"/>
      <x:c r="M46" s="214" t="s">
        <x:v>568</x:v>
      </x:c>
      <x:c r="N46" s="213"/>
      <x:c r="O46" s="213">
        <x:v>2</x:v>
      </x:c>
      <x:c r="P46" s="213">
        <x:v>2</x:v>
      </x:c>
    </x:row>
    <x:row r="47">
      <x:c r="B47" s="313"/>
      <x:c r="C47" s="154">
        <x:v>1</x:v>
      </x:c>
      <x:c r="D47" s="154">
        <x:f t="shared" si="11"/>
        <x:v>363</x:v>
      </x:c>
      <x:c r="E47" s="154" t="str">
        <x:f t="shared" si="7"/>
        <x:v>0x016B</x:v>
      </x:c>
      <x:c r="F47" s="324"/>
      <x:c r="G47" s="39" t="s">
        <x:v>569</x:v>
      </x:c>
      <x:c r="H47" s="154">
        <x:f t="shared" si="10"/>
        <x:v>27</x:v>
      </x:c>
      <x:c r="I47" s="154" t="s">
        <x:v>564</x:v>
      </x:c>
      <x:c r="J47" s="324"/>
      <x:c r="L47" s="221"/>
      <x:c r="M47" s="163" t="s">
        <x:v>570</x:v>
      </x:c>
      <x:c r="O47" s="154">
        <x:v>2</x:v>
      </x:c>
      <x:c r="P47" s="154">
        <x:v>3</x:v>
      </x:c>
    </x:row>
    <x:row r="48">
      <x:c r="B48" s="313"/>
      <x:c r="C48" s="154">
        <x:v>1</x:v>
      </x:c>
      <x:c r="D48" s="154">
        <x:f t="shared" si="11"/>
        <x:v>364</x:v>
      </x:c>
      <x:c r="E48" s="154" t="str">
        <x:f t="shared" si="7"/>
        <x:v>0x016C</x:v>
      </x:c>
      <x:c r="F48" s="324"/>
      <x:c r="G48" s="39" t="s">
        <x:v>571</x:v>
      </x:c>
      <x:c r="H48" s="154">
        <x:f t="shared" si="10"/>
        <x:v>28</x:v>
      </x:c>
      <x:c r="I48" s="154" t="s">
        <x:v>564</x:v>
      </x:c>
      <x:c r="J48" s="324"/>
      <x:c r="L48" s="221"/>
    </x:row>
    <x:row r="49">
      <x:c r="B49" s="313"/>
      <x:c r="C49" s="154">
        <x:v>1</x:v>
      </x:c>
      <x:c r="D49" s="154">
        <x:f t="shared" si="11"/>
        <x:v>365</x:v>
      </x:c>
      <x:c r="E49" s="154" t="str">
        <x:f t="shared" si="7"/>
        <x:v>0x016D</x:v>
      </x:c>
      <x:c r="F49" s="324"/>
      <x:c r="G49" s="39" t="s">
        <x:v>572</x:v>
      </x:c>
      <x:c r="H49" s="154">
        <x:f t="shared" si="10"/>
        <x:v>29</x:v>
      </x:c>
      <x:c r="I49" s="154" t="s">
        <x:v>564</x:v>
      </x:c>
      <x:c r="J49" s="324"/>
      <x:c r="L49" s="221"/>
      <x:c r="M49" s="149" t="s">
        <x:v>573</x:v>
      </x:c>
      <x:c r="N49" s="149"/>
      <x:c r="O49" t="s">
        <x:v>574</x:v>
      </x:c>
    </x:row>
    <x:row r="50">
      <x:c r="B50" s="313"/>
      <x:c r="C50" s="154">
        <x:v>1</x:v>
      </x:c>
      <x:c r="D50" s="154">
        <x:f t="shared" si="11"/>
        <x:v>366</x:v>
      </x:c>
      <x:c r="E50" s="154" t="str">
        <x:f t="shared" si="7"/>
        <x:v>0x016E</x:v>
      </x:c>
      <x:c r="F50" s="324"/>
      <x:c r="G50" s="39" t="s">
        <x:v>575</x:v>
      </x:c>
      <x:c r="H50" s="154">
        <x:f t="shared" si="10"/>
        <x:v>30</x:v>
      </x:c>
      <x:c r="I50" s="154" t="s">
        <x:v>564</x:v>
      </x:c>
      <x:c r="J50" s="324"/>
      <x:c r="L50" s="221"/>
      <x:c r="M50" t="s">
        <x:v>576</x:v>
      </x:c>
      <x:c r="N50"/>
      <x:c r="O50"/>
    </x:row>
    <x:row r="51">
      <x:c r="B51" s="313"/>
      <x:c r="C51" s="154">
        <x:v>1</x:v>
      </x:c>
      <x:c r="D51" s="154">
        <x:f t="shared" si="11"/>
        <x:v>367</x:v>
      </x:c>
      <x:c r="E51" s="154" t="str">
        <x:f t="shared" si="7"/>
        <x:v>0x016F</x:v>
      </x:c>
      <x:c r="F51" s="324"/>
      <x:c r="G51" s="39" t="s">
        <x:v>577</x:v>
      </x:c>
      <x:c r="H51" s="154">
        <x:f t="shared" si="10"/>
        <x:v>31</x:v>
      </x:c>
      <x:c r="I51" s="154" t="s">
        <x:v>564</x:v>
      </x:c>
      <x:c r="J51" s="324"/>
      <x:c r="K51" s="154"/>
      <x:c r="L51" s="221"/>
      <x:c r="M51" t="s">
        <x:v>578</x:v>
      </x:c>
      <x:c r="N51"/>
      <x:c r="O51"/>
      <x:c r="W51" s="162" t="s">
        <x:v>579</x:v>
      </x:c>
      <x:c r="X51"/>
    </x:row>
    <x:row r="52">
      <x:c r="B52" s="313"/>
      <x:c r="C52" s="154">
        <x:v>1</x:v>
      </x:c>
      <x:c r="D52" s="154">
        <x:f t="shared" si="11"/>
        <x:v>368</x:v>
      </x:c>
      <x:c r="E52" s="154" t="str">
        <x:f t="shared" si="7"/>
        <x:v>0x0170</x:v>
      </x:c>
      <x:c r="F52" s="324"/>
      <x:c r="G52" s="39" t="s">
        <x:v>580</x:v>
      </x:c>
      <x:c r="H52" s="154">
        <x:f t="shared" si="10"/>
        <x:v>32</x:v>
      </x:c>
      <x:c r="I52" s="154" t="s">
        <x:v>564</x:v>
      </x:c>
      <x:c r="J52" s="324"/>
      <x:c r="K52" s="154"/>
      <x:c r="L52" s="221"/>
      <x:c r="M52"/>
      <x:c r="N52"/>
      <x:c r="O52"/>
      <x:c r="W52" s="162"/>
      <x:c r="X52"/>
    </x:row>
    <x:row r="53">
      <x:c r="B53" s="313"/>
      <x:c r="C53" s="154">
        <x:v>1</x:v>
      </x:c>
      <x:c r="D53" s="154">
        <x:f t="shared" si="11"/>
        <x:v>369</x:v>
      </x:c>
      <x:c r="E53" s="154" t="str">
        <x:f t="shared" si="7"/>
        <x:v>0x0171</x:v>
      </x:c>
      <x:c r="F53" s="324"/>
      <x:c r="G53" s="39" t="s">
        <x:v>581</x:v>
      </x:c>
      <x:c r="H53" s="154">
        <x:f t="shared" si="10"/>
        <x:v>33</x:v>
      </x:c>
      <x:c r="I53" s="154" t="s">
        <x:v>564</x:v>
      </x:c>
      <x:c r="J53" s="324"/>
      <x:c r="K53" s="154"/>
      <x:c r="L53" s="221"/>
      <x:c r="M53" s="163"/>
      <x:c r="N53" s="163"/>
      <x:c r="W53" s="164">
        <x:v>8</x:v>
      </x:c>
      <x:c r="X53" t="s">
        <x:v>582</x:v>
      </x:c>
    </x:row>
    <x:row r="54">
      <x:c r="B54" s="313"/>
      <x:c r="C54" s="154">
        <x:v>2</x:v>
      </x:c>
      <x:c r="D54" s="154">
        <x:f t="shared" si="11"/>
        <x:v>370</x:v>
      </x:c>
      <x:c r="E54" s="154" t="str">
        <x:f t="shared" si="7"/>
        <x:v>0x0172</x:v>
      </x:c>
      <x:c r="F54" s="324"/>
      <x:c r="G54" s="39" t="s">
        <x:v>583</x:v>
      </x:c>
      <x:c r="H54" s="154">
        <x:f t="shared" si="10"/>
        <x:v>34</x:v>
      </x:c>
      <x:c r="I54" s="154" t="s">
        <x:v>584</x:v>
      </x:c>
      <x:c r="J54" s="324"/>
      <x:c r="K54" s="154"/>
      <x:c r="L54" s="221"/>
      <x:c r="W54" s="164">
        <x:v>32</x:v>
      </x:c>
      <x:c r="X54" t="s">
        <x:v>585</x:v>
      </x:c>
    </x:row>
    <x:row r="55" ht="30">
      <x:c r="B55" s="313"/>
      <x:c r="C55" s="154">
        <x:v>2</x:v>
      </x:c>
      <x:c r="D55" s="154">
        <x:f t="shared" si="11"/>
        <x:v>372</x:v>
      </x:c>
      <x:c r="E55" s="154" t="str">
        <x:f t="shared" si="7"/>
        <x:v>0x0174</x:v>
      </x:c>
      <x:c r="F55" s="324"/>
      <x:c r="G55" s="39" t="s">
        <x:v>586</x:v>
      </x:c>
      <x:c r="H55" s="154">
        <x:f t="shared" si="10"/>
        <x:v>36</x:v>
      </x:c>
      <x:c r="I55" s="154" t="s">
        <x:v>584</x:v>
      </x:c>
      <x:c r="J55" s="324"/>
      <x:c r="K55" s="154"/>
      <x:c r="L55" s="221"/>
      <x:c r="W55" s="164">
        <x:v>32</x:v>
      </x:c>
      <x:c r="X55"/>
    </x:row>
    <x:row r="56">
      <x:c r="B56" s="313"/>
      <x:c r="C56" s="154">
        <x:v>4</x:v>
      </x:c>
      <x:c r="D56" s="154">
        <x:f t="shared" si="11"/>
        <x:v>374</x:v>
      </x:c>
      <x:c r="E56" s="154" t="str">
        <x:f t="shared" si="7"/>
        <x:v>0x0176</x:v>
      </x:c>
      <x:c r="F56" s="324"/>
      <x:c r="G56" s="39" t="s">
        <x:v>587</x:v>
      </x:c>
      <x:c r="H56" s="154">
        <x:f t="shared" si="10"/>
        <x:v>38</x:v>
      </x:c>
      <x:c r="I56" s="154" t="s">
        <x:v>560</x:v>
      </x:c>
      <x:c r="J56" s="324"/>
      <x:c r="K56" s="154"/>
      <x:c r="L56" s="221"/>
      <x:c r="M56" s="149" t="s">
        <x:v>588</x:v>
      </x:c>
      <x:c r="N56" s="158"/>
      <x:c r="O56" s="154" t="s">
        <x:v>499</x:v>
      </x:c>
      <x:c r="P56" s="154" t="s">
        <x:v>503</x:v>
      </x:c>
      <x:c r="W56" s="164">
        <x:v>32</x:v>
      </x:c>
      <x:c r="X56"/>
    </x:row>
    <x:row r="57" ht="15.75">
      <x:c r="B57" s="320"/>
      <x:c r="C57" s="226">
        <x:v>294</x:v>
      </x:c>
      <x:c r="D57" s="212">
        <x:f t="shared" si="11"/>
        <x:v>378</x:v>
      </x:c>
      <x:c r="E57" s="226" t="str">
        <x:f t="shared" ref="E57" si="12">"0x"&amp;DEC2HEX(D57,4)</x:f>
        <x:v>0x017a</x:v>
      </x:c>
      <x:c r="F57" s="327"/>
      <x:c r="G57" s="227" t="s">
        <x:v>540</x:v>
      </x:c>
      <x:c r="H57" s="212">
        <x:f t="shared" si="10"/>
        <x:v>42</x:v>
      </x:c>
      <x:c r="I57" s="212"/>
      <x:c r="J57" s="324"/>
      <x:c r="K57" s="154"/>
      <x:c r="L57" s="221"/>
      <x:c r="M57" s="161" t="s">
        <x:v>539</x:v>
      </x:c>
      <x:c r="O57" s="154">
        <x:v>0</x:v>
      </x:c>
      <x:c r="P57" s="154">
        <x:v>0</x:v>
      </x:c>
      <x:c r="W57" s="164">
        <x:v>32</x:v>
      </x:c>
      <x:c r="X57"/>
    </x:row>
    <x:row r="58">
      <x:c r="B58" s="322" t="s">
        <x:v>589</x:v>
      </x:c>
      <x:c r="C58" s="159">
        <x:v>4</x:v>
      </x:c>
      <x:c r="D58" s="159" t="n">
        <x:f>D57+C57</x:f>
        <x:v>672</x:v>
      </x:c>
      <x:c r="E58" s="154" t="str">
        <x:f t="shared" ref="E58:E77" si="13">"0x"&amp;DEC2HEX(D58,4)</x:f>
        <x:v>0x02a0</x:v>
      </x:c>
      <x:c r="F58" s="323" t="n">
        <x:f>SUM(C58:C76)</x:f>
        <x:v>336</x:v>
      </x:c>
      <x:c r="G58" s="150" t="s">
        <x:v>522</x:v>
      </x:c>
      <x:c r="H58" s="159">
        <x:v>0</x:v>
      </x:c>
      <x:c r="I58" s="159" t="s">
        <x:v>553</x:v>
      </x:c>
      <x:c r="J58" s="324"/>
      <x:c r="K58" s="154"/>
      <x:c r="L58" s="221"/>
      <x:c r="M58" s="161" t="s">
        <x:v>590</x:v>
      </x:c>
      <x:c r="O58" s="154">
        <x:v>1</x:v>
      </x:c>
      <x:c r="P58" s="154">
        <x:v>0</x:v>
      </x:c>
      <x:c r="W58" s="164">
        <x:v>32</x:v>
      </x:c>
      <x:c r="X58" t="s">
        <x:v>591</x:v>
      </x:c>
    </x:row>
    <x:row r="59">
      <x:c r="B59" s="313"/>
      <x:c r="C59" s="154">
        <x:v>4</x:v>
      </x:c>
      <x:c r="D59" s="154" t="n">
        <x:f>D58+C58</x:f>
        <x:v>676</x:v>
      </x:c>
      <x:c r="E59" s="154" t="str">
        <x:f t="shared" si="13"/>
        <x:v>0x02A4</x:v>
      </x:c>
      <x:c r="F59" s="324"/>
      <x:c r="G59" s="39" t="s">
        <x:v>554</x:v>
      </x:c>
      <x:c r="H59" s="154" t="n">
        <x:f t="shared" ref="H59:H76" si="14">H58+C58</x:f>
        <x:v>4</x:v>
      </x:c>
      <x:c r="I59" s="154" t="s">
        <x:v>555</x:v>
      </x:c>
      <x:c r="J59" s="324"/>
      <x:c r="K59" s="154"/>
      <x:c r="L59" s="221"/>
      <x:c r="M59" s="216" t="s">
        <x:v>592</x:v>
      </x:c>
      <x:c r="N59" s="215"/>
      <x:c r="O59" s="215">
        <x:v>2</x:v>
      </x:c>
      <x:c r="P59" s="215">
        <x:v>0</x:v>
      </x:c>
      <x:c r="W59" s="164">
        <x:v>32</x:v>
      </x:c>
      <x:c r="X59" t="s">
        <x:v>591</x:v>
      </x:c>
    </x:row>
    <x:row r="60">
      <x:c r="B60" s="313"/>
      <x:c r="C60" s="154">
        <x:v>8</x:v>
      </x:c>
      <x:c r="D60" s="154" t="n">
        <x:f t="shared" ref="D60:D76" si="15">D59+C59</x:f>
        <x:v>680</x:v>
      </x:c>
      <x:c r="E60" s="154" t="str">
        <x:f t="shared" si="13"/>
        <x:v>0x02A8</x:v>
      </x:c>
      <x:c r="F60" s="324"/>
      <x:c r="G60" s="39" t="s">
        <x:v>556</x:v>
      </x:c>
      <x:c r="H60" s="154">
        <x:f t="shared" si="14"/>
        <x:v>8</x:v>
      </x:c>
      <x:c r="I60" s="154" t="s">
        <x:v>557</x:v>
      </x:c>
      <x:c r="J60" s="324"/>
      <x:c r="K60" s="154"/>
      <x:c r="L60" s="221"/>
      <x:c r="M60" s="161" t="s">
        <x:v>593</x:v>
      </x:c>
      <x:c r="O60" s="154">
        <x:v>3</x:v>
      </x:c>
      <x:c r="P60" s="154">
        <x:v>0</x:v>
      </x:c>
      <x:c r="W60" s="164">
        <x:v>32</x:v>
      </x:c>
      <x:c r="X60" t="s">
        <x:v>594</x:v>
      </x:c>
    </x:row>
    <x:row r="61">
      <x:c r="B61" s="313"/>
      <x:c r="C61" s="154">
        <x:v>4</x:v>
      </x:c>
      <x:c r="D61" s="154">
        <x:f t="shared" si="15"/>
        <x:v>688</x:v>
      </x:c>
      <x:c r="E61" s="154" t="str">
        <x:f t="shared" si="13"/>
        <x:v>0x02B0</x:v>
      </x:c>
      <x:c r="F61" s="324"/>
      <x:c r="G61" s="39" t="s">
        <x:v>559</x:v>
      </x:c>
      <x:c r="H61" s="154">
        <x:f t="shared" si="14"/>
        <x:v>16</x:v>
      </x:c>
      <x:c r="I61" s="154" t="s">
        <x:v>560</x:v>
      </x:c>
      <x:c r="J61" s="324"/>
      <x:c r="K61" s="154"/>
      <x:c r="L61" s="221"/>
      <x:c r="M61" t="s">
        <x:v>595</x:v>
      </x:c>
      <x:c r="O61" s="154">
        <x:v>255</x:v>
      </x:c>
      <x:c r="P61" s="154">
        <x:v>255</x:v>
      </x:c>
      <x:c r="W61" s="164">
        <x:v>32</x:v>
      </x:c>
      <x:c r="X61" t="s">
        <x:v>594</x:v>
      </x:c>
    </x:row>
    <x:row r="62">
      <x:c r="B62" s="313"/>
      <x:c r="C62" s="154">
        <x:v>4</x:v>
      </x:c>
      <x:c r="D62" s="154">
        <x:f t="shared" si="15"/>
        <x:v>692</x:v>
      </x:c>
      <x:c r="E62" s="154" t="str">
        <x:f t="shared" si="13"/>
        <x:v>0x02B4</x:v>
      </x:c>
      <x:c r="F62" s="324"/>
      <x:c r="G62" s="39" t="s">
        <x:v>561</x:v>
      </x:c>
      <x:c r="H62" s="154">
        <x:f t="shared" si="14"/>
        <x:v>20</x:v>
      </x:c>
      <x:c r="I62" s="154" t="s">
        <x:v>560</x:v>
      </x:c>
      <x:c r="J62" s="324"/>
      <x:c r="K62" s="154"/>
      <x:c r="L62" s="221"/>
      <x:c r="W62" s="164">
        <x:v>64</x:v>
      </x:c>
      <x:c r="X62" t="s">
        <x:v>596</x:v>
      </x:c>
    </x:row>
    <x:row r="63">
      <x:c r="B63" s="313"/>
      <x:c r="C63" s="154">
        <x:v>1</x:v>
      </x:c>
      <x:c r="D63" s="154">
        <x:f t="shared" si="15"/>
        <x:v>696</x:v>
      </x:c>
      <x:c r="E63" s="154" t="str">
        <x:f t="shared" si="13"/>
        <x:v>0x02B8</x:v>
      </x:c>
      <x:c r="F63" s="324"/>
      <x:c r="G63" s="39" t="s">
        <x:v>563</x:v>
      </x:c>
      <x:c r="H63" s="154">
        <x:f t="shared" si="14"/>
        <x:v>24</x:v>
      </x:c>
      <x:c r="I63" s="154" t="s">
        <x:v>564</x:v>
      </x:c>
      <x:c r="J63" s="324"/>
      <x:c r="K63" s="154"/>
      <x:c r="L63" s="221"/>
      <x:c r="W63" s="164">
        <x:v>8</x:v>
      </x:c>
      <x:c r="X63" t="s">
        <x:v>597</x:v>
      </x:c>
    </x:row>
    <x:row r="64">
      <x:c r="B64" s="313"/>
      <x:c r="C64" s="154">
        <x:v>1</x:v>
      </x:c>
      <x:c r="D64" s="154">
        <x:f t="shared" si="15"/>
        <x:v>697</x:v>
      </x:c>
      <x:c r="E64" s="154" t="str">
        <x:f t="shared" si="13"/>
        <x:v>0x02B9</x:v>
      </x:c>
      <x:c r="F64" s="324"/>
      <x:c r="G64" s="39" t="s">
        <x:v>566</x:v>
      </x:c>
      <x:c r="H64" s="154">
        <x:f t="shared" si="14"/>
        <x:v>25</x:v>
      </x:c>
      <x:c r="I64" s="154" t="s">
        <x:v>564</x:v>
      </x:c>
      <x:c r="J64" s="324"/>
      <x:c r="K64" s="154"/>
      <x:c r="L64" s="221"/>
      <x:c r="M64" s="149" t="s">
        <x:v>598</x:v>
      </x:c>
      <x:c r="N64" s="158"/>
      <x:c r="T64"/>
      <x:c r="U64" t="s">
        <x:v>599</x:v>
      </x:c>
      <x:c r="V64"/>
      <x:c r="W64" s="164">
        <x:v>8</x:v>
      </x:c>
      <x:c r="X64" t="s">
        <x:v>600</x:v>
      </x:c>
    </x:row>
    <x:row r="65">
      <x:c r="B65" s="313"/>
      <x:c r="C65" s="154">
        <x:v>1</x:v>
      </x:c>
      <x:c r="D65" s="154">
        <x:f t="shared" si="15"/>
        <x:v>698</x:v>
      </x:c>
      <x:c r="E65" s="154" t="str">
        <x:f t="shared" si="13"/>
        <x:v>0x02BA</x:v>
      </x:c>
      <x:c r="F65" s="324"/>
      <x:c r="G65" s="39" t="s">
        <x:v>567</x:v>
      </x:c>
      <x:c r="H65" s="154">
        <x:f t="shared" si="14"/>
        <x:v>26</x:v>
      </x:c>
      <x:c r="I65" s="154" t="s">
        <x:v>564</x:v>
      </x:c>
      <x:c r="J65" s="324"/>
      <x:c r="K65" s="154"/>
      <x:c r="L65" s="221"/>
      <x:c r="M65" s="154" t="s">
        <x:v>601</x:v>
      </x:c>
      <x:c r="N65" t="s">
        <x:v>602</x:v>
      </x:c>
      <x:c r="T65"/>
      <x:c r="U65" t="s">
        <x:v>511</x:v>
      </x:c>
      <x:c r="V65"/>
      <x:c r="W65" s="164">
        <x:v>128</x:v>
      </x:c>
      <x:c r="X65"/>
    </x:row>
    <x:row r="66">
      <x:c r="B66" s="313"/>
      <x:c r="C66" s="154">
        <x:v>1</x:v>
      </x:c>
      <x:c r="D66" s="154">
        <x:f t="shared" si="15"/>
        <x:v>699</x:v>
      </x:c>
      <x:c r="E66" s="154" t="str">
        <x:f t="shared" si="13"/>
        <x:v>0x02BB</x:v>
      </x:c>
      <x:c r="F66" s="324"/>
      <x:c r="G66" s="39" t="s">
        <x:v>569</x:v>
      </x:c>
      <x:c r="H66" s="154">
        <x:f t="shared" si="14"/>
        <x:v>27</x:v>
      </x:c>
      <x:c r="I66" s="154" t="s">
        <x:v>564</x:v>
      </x:c>
      <x:c r="J66" s="324"/>
      <x:c r="K66" s="154"/>
      <x:c r="L66" s="221"/>
      <x:c r="M66" s="219" t="s">
        <x:v>603</x:v>
      </x:c>
      <x:c r="N66" s="219" t="s">
        <x:v>604</x:v>
      </x:c>
      <x:c r="O66" s="219"/>
      <x:c r="P66" s="219"/>
      <x:c r="T66"/>
      <x:c r="U66" t="s">
        <x:v>605</x:v>
      </x:c>
      <x:c r="V66"/>
      <x:c r="W66" s="164" t="s">
        <x:v>606</x:v>
      </x:c>
      <x:c r="X66" t="s">
        <x:v>607</x:v>
      </x:c>
    </x:row>
    <x:row r="67">
      <x:c r="B67" s="313"/>
      <x:c r="C67" s="154">
        <x:v>1</x:v>
      </x:c>
      <x:c r="D67" s="154">
        <x:f t="shared" si="15"/>
        <x:v>700</x:v>
      </x:c>
      <x:c r="E67" s="154" t="str">
        <x:f t="shared" si="13"/>
        <x:v>0x02BC</x:v>
      </x:c>
      <x:c r="F67" s="324"/>
      <x:c r="G67" s="39" t="s">
        <x:v>571</x:v>
      </x:c>
      <x:c r="H67" s="154">
        <x:f t="shared" si="14"/>
        <x:v>28</x:v>
      </x:c>
      <x:c r="I67" s="154" t="s">
        <x:v>564</x:v>
      </x:c>
      <x:c r="J67" s="324"/>
      <x:c r="K67" s="154"/>
      <x:c r="L67" s="221"/>
      <x:c r="M67" s="154" t="s">
        <x:v>608</x:v>
      </x:c>
      <x:c r="N67" s="154" t="s">
        <x:v>609</x:v>
      </x:c>
    </x:row>
    <x:row r="68">
      <x:c r="B68" s="313"/>
      <x:c r="C68" s="154">
        <x:v>1</x:v>
      </x:c>
      <x:c r="D68" s="154">
        <x:f t="shared" si="15"/>
        <x:v>701</x:v>
      </x:c>
      <x:c r="E68" s="154" t="str">
        <x:f t="shared" si="13"/>
        <x:v>0x02BD</x:v>
      </x:c>
      <x:c r="F68" s="324"/>
      <x:c r="G68" s="39" t="s">
        <x:v>572</x:v>
      </x:c>
      <x:c r="H68" s="154">
        <x:f t="shared" si="14"/>
        <x:v>29</x:v>
      </x:c>
      <x:c r="I68" s="154" t="s">
        <x:v>564</x:v>
      </x:c>
      <x:c r="J68" s="324"/>
      <x:c r="K68" s="154"/>
      <x:c r="L68" s="221"/>
      <x:c r="M68" s="154" t="s">
        <x:v>610</x:v>
      </x:c>
      <x:c r="N68" s="154" t="s">
        <x:v>611</x:v>
      </x:c>
    </x:row>
    <x:row r="69" ht="15" customHeight="1">
      <x:c r="B69" s="313"/>
      <x:c r="C69" s="154">
        <x:v>1</x:v>
      </x:c>
      <x:c r="D69" s="154">
        <x:f t="shared" si="15"/>
        <x:v>702</x:v>
      </x:c>
      <x:c r="E69" s="154" t="str">
        <x:f t="shared" si="13"/>
        <x:v>0x02BE</x:v>
      </x:c>
      <x:c r="F69" s="324"/>
      <x:c r="G69" s="39" t="s">
        <x:v>575</x:v>
      </x:c>
      <x:c r="H69" s="154">
        <x:f t="shared" si="14"/>
        <x:v>30</x:v>
      </x:c>
      <x:c r="I69" s="154" t="s">
        <x:v>564</x:v>
      </x:c>
      <x:c r="J69" s="324"/>
      <x:c r="K69" s="154"/>
      <x:c r="L69" s="221"/>
    </x:row>
    <x:row r="70" ht="15" customHeight="1">
      <x:c r="B70" s="313"/>
      <x:c r="C70" s="154">
        <x:v>1</x:v>
      </x:c>
      <x:c r="D70" s="154">
        <x:f t="shared" si="15"/>
        <x:v>703</x:v>
      </x:c>
      <x:c r="E70" s="154" t="str">
        <x:f t="shared" si="13"/>
        <x:v>0x02BF</x:v>
      </x:c>
      <x:c r="F70" s="324"/>
      <x:c r="G70" s="39" t="s">
        <x:v>577</x:v>
      </x:c>
      <x:c r="H70" s="154">
        <x:f t="shared" si="14"/>
        <x:v>31</x:v>
      </x:c>
      <x:c r="I70" s="154" t="s">
        <x:v>564</x:v>
      </x:c>
      <x:c r="J70" s="324"/>
      <x:c r="K70" s="154"/>
      <x:c r="L70" s="221"/>
    </x:row>
    <x:row r="71" ht="15" customHeight="1">
      <x:c r="B71" s="313"/>
      <x:c r="C71" s="154">
        <x:v>1</x:v>
      </x:c>
      <x:c r="D71" s="154">
        <x:f t="shared" si="15"/>
        <x:v>704</x:v>
      </x:c>
      <x:c r="E71" s="154" t="str">
        <x:f t="shared" si="13"/>
        <x:v>0x02C0</x:v>
      </x:c>
      <x:c r="F71" s="324"/>
      <x:c r="G71" s="39" t="s">
        <x:v>580</x:v>
      </x:c>
      <x:c r="H71" s="154">
        <x:f t="shared" si="14"/>
        <x:v>32</x:v>
      </x:c>
      <x:c r="I71" s="154" t="s">
        <x:v>564</x:v>
      </x:c>
      <x:c r="J71" s="324"/>
      <x:c r="K71" s="154"/>
      <x:c r="L71" s="221"/>
    </x:row>
    <x:row r="72">
      <x:c r="B72" s="313"/>
      <x:c r="C72" s="154">
        <x:v>1</x:v>
      </x:c>
      <x:c r="D72" s="154">
        <x:f t="shared" si="15"/>
        <x:v>705</x:v>
      </x:c>
      <x:c r="E72" s="154" t="str">
        <x:f t="shared" si="13"/>
        <x:v>0x02C1</x:v>
      </x:c>
      <x:c r="F72" s="324"/>
      <x:c r="G72" s="39" t="s">
        <x:v>581</x:v>
      </x:c>
      <x:c r="H72" s="154">
        <x:f t="shared" si="14"/>
        <x:v>33</x:v>
      </x:c>
      <x:c r="I72" s="154" t="s">
        <x:v>564</x:v>
      </x:c>
      <x:c r="J72" s="324"/>
      <x:c r="K72" s="154"/>
      <x:c r="L72" s="221"/>
    </x:row>
    <x:row r="73">
      <x:c r="B73" s="313"/>
      <x:c r="C73" s="154">
        <x:v>2</x:v>
      </x:c>
      <x:c r="D73" s="154">
        <x:f t="shared" si="15"/>
        <x:v>706</x:v>
      </x:c>
      <x:c r="E73" s="154" t="str">
        <x:f t="shared" si="13"/>
        <x:v>0x02C2</x:v>
      </x:c>
      <x:c r="F73" s="324"/>
      <x:c r="G73" s="39" t="s">
        <x:v>583</x:v>
      </x:c>
      <x:c r="H73" s="154">
        <x:f t="shared" si="14"/>
        <x:v>34</x:v>
      </x:c>
      <x:c r="I73" s="154" t="s">
        <x:v>584</x:v>
      </x:c>
      <x:c r="J73" s="324"/>
      <x:c r="K73" s="154"/>
      <x:c r="L73" s="221"/>
    </x:row>
    <x:row r="74" ht="30">
      <x:c r="B74" s="313"/>
      <x:c r="C74" s="154">
        <x:v>2</x:v>
      </x:c>
      <x:c r="D74" s="154">
        <x:f t="shared" si="15"/>
        <x:v>708</x:v>
      </x:c>
      <x:c r="E74" s="154" t="str">
        <x:f t="shared" si="13"/>
        <x:v>0x02C4</x:v>
      </x:c>
      <x:c r="F74" s="324"/>
      <x:c r="G74" s="39" t="s">
        <x:v>586</x:v>
      </x:c>
      <x:c r="H74" s="154">
        <x:f t="shared" si="14"/>
        <x:v>36</x:v>
      </x:c>
      <x:c r="I74" s="154" t="s">
        <x:v>584</x:v>
      </x:c>
      <x:c r="J74" s="324"/>
      <x:c r="K74" s="154"/>
      <x:c r="L74" s="221"/>
    </x:row>
    <x:row r="75">
      <x:c r="B75" s="313"/>
      <x:c r="C75" s="154">
        <x:v>4</x:v>
      </x:c>
      <x:c r="D75" s="154">
        <x:f t="shared" si="15"/>
        <x:v>710</x:v>
      </x:c>
      <x:c r="E75" s="154" t="str">
        <x:f t="shared" si="13"/>
        <x:v>0x02C6</x:v>
      </x:c>
      <x:c r="F75" s="324"/>
      <x:c r="G75" s="39" t="s">
        <x:v>587</x:v>
      </x:c>
      <x:c r="H75" s="154">
        <x:f t="shared" si="14"/>
        <x:v>38</x:v>
      </x:c>
      <x:c r="I75" s="154" t="s">
        <x:v>560</x:v>
      </x:c>
      <x:c r="J75" s="324"/>
      <x:c r="K75" s="154"/>
      <x:c r="L75" s="221"/>
    </x:row>
    <x:row r="76" ht="15.75">
      <x:c r="B76" s="314"/>
      <x:c r="C76" s="224">
        <x:v>294</x:v>
      </x:c>
      <x:c r="D76" s="224">
        <x:f t="shared" si="15"/>
        <x:v>714</x:v>
      </x:c>
      <x:c r="E76" s="212" t="str">
        <x:f t="shared" si="13"/>
        <x:v>0x02CA</x:v>
      </x:c>
      <x:c r="F76" s="327"/>
      <x:c r="G76" s="225" t="s">
        <x:v>540</x:v>
      </x:c>
      <x:c r="H76" s="212">
        <x:f t="shared" si="14"/>
        <x:v>42</x:v>
      </x:c>
      <x:c r="I76" s="212"/>
      <x:c r="J76" s="324"/>
      <x:c r="K76" s="154"/>
      <x:c r="L76" s="221"/>
    </x:row>
    <x:row r="77" ht="45">
      <x:c r="B77" s="153" t="s">
        <x:v>610</x:v>
      </x:c>
      <x:c r="C77" s="229">
        <x:v>16</x:v>
      </x:c>
      <x:c r="D77" s="237" t="n">
        <x:f>D76+C77</x:f>
        <x:v>730</x:v>
      </x:c>
      <x:c r="E77" s="238" t="str">
        <x:f t="shared" si="13"/>
        <x:v>0x02DA</x:v>
      </x:c>
      <x:c r="F77" s="223" t="n">
        <x:f>C77</x:f>
        <x:v>16</x:v>
      </x:c>
      <x:c r="G77" s="152" t="s">
        <x:v>612</x:v>
      </x:c>
      <x:c r="H77" s="220"/>
      <x:c r="I77" s="220"/>
      <x:c r="J77" s="324"/>
      <x:c r="K77" s="154"/>
      <x:c r="L77" s="221"/>
    </x:row>
    <x:row r="78">
      <x:c r="C78" s="154" t="n">
        <x:f>SUM(C13:C77)</x:f>
        <x:v>1024</x:v>
      </x:c>
      <x:c r="F78" s="236" t="n">
        <x:f>SUM(F13:F77)</x:f>
        <x:v>1024</x:v>
      </x:c>
      <x:c r="J78" s="228"/>
      <x:c r="K78" s="154"/>
      <x:c r="L78" s="228"/>
    </x:row>
    <x:row r="79">
      <x:c r="J79" s="228"/>
      <x:c r="K79" s="154"/>
      <x:c r="L79" s="228"/>
    </x:row>
    <x:row r="80">
      <x:c r="J80" s="228"/>
      <x:c r="K80" s="154"/>
      <x:c r="L80" s="228"/>
      <x:c r="P80" s="154" t="s">
        <x:v>197</x:v>
      </x:c>
    </x:row>
    <x:row r="81">
      <x:c r="J81" s="228"/>
      <x:c r="K81" s="154"/>
      <x:c r="L81" s="228"/>
    </x:row>
    <x:row r="82">
      <x:c r="J82" s="228"/>
      <x:c r="K82" s="154"/>
      <x:c r="L82" s="228"/>
    </x:row>
    <x:row r="83">
      <x:c r="J83" s="228"/>
      <x:c r="K83" s="154"/>
      <x:c r="L83" s="228"/>
    </x:row>
    <x:row r="84">
      <x:c r="J84" s="228"/>
      <x:c r="K84" s="154"/>
      <x:c r="L84" s="228"/>
    </x:row>
    <x:row r="85">
      <x:c r="J85" s="228"/>
      <x:c r="K85" s="154"/>
      <x:c r="L85" s="228"/>
    </x:row>
    <x:row r="86">
      <x:c r="J86" s="228"/>
      <x:c r="K86" s="154"/>
      <x:c r="L86" s="228"/>
    </x:row>
    <x:row r="87">
      <x:c r="J87" s="228"/>
      <x:c r="K87" s="154"/>
      <x:c r="L87" s="228"/>
    </x:row>
    <x:row r="88">
      <x:c r="J88" s="228"/>
      <x:c r="K88" s="154"/>
      <x:c r="L88" s="228"/>
    </x:row>
    <x:row r="89" ht="15" customHeight="1">
      <x:c r="J89" s="228"/>
      <x:c r="K89" s="154"/>
      <x:c r="L89" s="228"/>
    </x:row>
    <x:row r="90" ht="15" customHeight="1">
      <x:c r="J90" s="228"/>
      <x:c r="K90" s="154"/>
      <x:c r="L90" s="228"/>
    </x:row>
    <x:row r="91">
      <x:c r="J91" s="228"/>
      <x:c r="K91" s="154"/>
      <x:c r="L91" s="228"/>
    </x:row>
    <x:row r="92">
      <x:c r="K92" s="154"/>
    </x:row>
    <x:row r="94">
      <x:c r="K94" s="154"/>
    </x:row>
    <x:row r="95">
      <x:c r="K95" s="154"/>
    </x:row>
  </x:sheetData>
  <x:mergeCells>
    <x:mergeCell ref="B21:B29"/>
    <x:mergeCell ref="B30:B38"/>
    <x:mergeCell ref="B39:B57"/>
    <x:mergeCell ref="B58:B76"/>
    <x:mergeCell ref="J13:J77"/>
    <x:mergeCell ref="F21:F29"/>
    <x:mergeCell ref="F30:F38"/>
    <x:mergeCell ref="F39:F57"/>
    <x:mergeCell ref="F58:F76"/>
    <x:mergeCell ref="J5:J12"/>
    <x:mergeCell ref="B13:B20"/>
    <x:mergeCell ref="F13:F20"/>
    <x:mergeCell ref="B2:G2"/>
    <x:mergeCell ref="B5:B12"/>
    <x:mergeCell ref="F5:F12"/>
  </x:mergeCells>
  <x:conditionalFormatting sqref="C78:C78 F78:F78">
    <x:cfRule type="cellIs" dxfId="0" priority="1" operator="notEqual">
      <x:formula>1024</x:formula>
    </x:cfRule>
  </x:conditionalFormatting>
  <x:pageMargins left="0.7" right="0.7" top="0.75" bottom="0.75" header="0.3" footer="0.3"/>
</x:worksheet>
</file>

<file path=xl/worksheets/sheet11.xml><?xml version="1.0" encoding="utf-8"?>
<x:worksheet xmlns:x="http://schemas.openxmlformats.org/spreadsheetml/2006/main">
  <x:sheetFormatPr defaultColWidth="11.42578125" defaultRowHeight="15"/>
  <x:cols>
    <x:col min="3" max="3" width="11.42578125" style="131" customWidth="0"/>
    <x:col min="5" max="5" width="11.42578125" style="139" customWidth="0"/>
  </x:cols>
  <x:sheetData>
    <x:row r="1">
      <x:c r="A1" s="328" t="s">
        <x:v>613</x:v>
      </x:c>
      <x:c r="B1" s="328"/>
      <x:c r="C1" s="328"/>
      <x:c r="D1" s="328"/>
      <x:c r="E1" s="328"/>
      <x:c r="F1" s="328"/>
      <x:c r="G1" s="328"/>
      <x:c r="H1" s="328"/>
      <x:c r="I1" s="328"/>
    </x:row>
    <x:row r="2">
      <x:c r="A2" s="329"/>
      <x:c r="B2" s="329"/>
      <x:c r="C2" s="329"/>
      <x:c r="D2" s="329"/>
      <x:c r="E2" s="329"/>
      <x:c r="F2" s="329"/>
      <x:c r="G2" s="329"/>
      <x:c r="H2" s="329"/>
      <x:c r="I2" s="329"/>
    </x:row>
    <x:row r="3" ht="30">
      <x:c r="A3" s="80" t="s">
        <x:v>614</x:v>
      </x:c>
      <x:c r="B3" s="80" t="s">
        <x:v>615</x:v>
      </x:c>
      <x:c r="C3" s="121" t="s">
        <x:v>616</x:v>
      </x:c>
      <x:c r="D3" s="80" t="s">
        <x:v>487</x:v>
      </x:c>
      <x:c r="E3" s="132" t="s">
        <x:v>617</x:v>
      </x:c>
      <x:c r="F3" s="340" t="s">
        <x:v>490</x:v>
      </x:c>
      <x:c r="G3" s="341"/>
      <x:c r="H3" s="80" t="s">
        <x:v>618</x:v>
      </x:c>
      <x:c r="I3" s="80"/>
    </x:row>
    <x:row r="4" ht="105">
      <x:c r="A4" s="342" t="s">
        <x:v>619</x:v>
      </x:c>
      <x:c r="B4" s="330" t="s">
        <x:v>620</x:v>
      </x:c>
      <x:c r="C4" s="344">
        <x:v>16</x:v>
      </x:c>
      <x:c r="D4" s="360" t="s">
        <x:v>621</x:v>
      </x:c>
      <x:c r="E4" s="362" t="n">
        <x:f>SUM(C4:C9)</x:f>
        <x:v>80</x:v>
      </x:c>
      <x:c r="F4" s="85" t="s">
        <x:v>622</x:v>
      </x:c>
      <x:c r="G4" s="85" t="s">
        <x:v>623</x:v>
      </x:c>
      <x:c r="H4" s="346" t="s">
        <x:v>624</x:v>
      </x:c>
      <x:c r="I4" s="333" t="s">
        <x:v>625</x:v>
      </x:c>
    </x:row>
    <x:row r="5">
      <x:c r="A5" s="343"/>
      <x:c r="B5" s="332"/>
      <x:c r="C5" s="345"/>
      <x:c r="D5" s="361"/>
      <x:c r="E5" s="362"/>
      <x:c r="F5" s="349" t="s">
        <x:v>626</x:v>
      </x:c>
      <x:c r="G5" s="349"/>
      <x:c r="H5" s="347"/>
      <x:c r="I5" s="333"/>
    </x:row>
    <x:row r="6" ht="18">
      <x:c r="A6" s="81" t="s">
        <x:v>627</x:v>
      </x:c>
      <x:c r="B6" s="332"/>
      <x:c r="C6" s="122">
        <x:v>16</x:v>
      </x:c>
      <x:c r="D6" s="81" t="s">
        <x:v>628</x:v>
      </x:c>
      <x:c r="E6" s="362"/>
      <x:c r="F6" s="350"/>
      <x:c r="G6" s="350"/>
      <x:c r="H6" s="347"/>
      <x:c r="I6" s="333"/>
    </x:row>
    <x:row r="7" ht="18">
      <x:c r="A7" s="81" t="s">
        <x:v>629</x:v>
      </x:c>
      <x:c r="B7" s="332"/>
      <x:c r="C7" s="122">
        <x:v>16</x:v>
      </x:c>
      <x:c r="D7" s="81" t="s">
        <x:v>630</x:v>
      </x:c>
      <x:c r="E7" s="362"/>
      <x:c r="F7" s="350"/>
      <x:c r="G7" s="350"/>
      <x:c r="H7" s="347"/>
      <x:c r="I7" s="333"/>
    </x:row>
    <x:row r="8" ht="18">
      <x:c r="A8" s="81" t="s">
        <x:v>631</x:v>
      </x:c>
      <x:c r="B8" s="332"/>
      <x:c r="C8" s="122">
        <x:v>16</x:v>
      </x:c>
      <x:c r="D8" s="81" t="s">
        <x:v>632</x:v>
      </x:c>
      <x:c r="E8" s="362"/>
      <x:c r="F8" s="350"/>
      <x:c r="G8" s="350"/>
      <x:c r="H8" s="347"/>
      <x:c r="I8" s="333"/>
    </x:row>
    <x:row r="9" ht="18">
      <x:c r="A9" s="81" t="s">
        <x:v>633</x:v>
      </x:c>
      <x:c r="B9" s="332"/>
      <x:c r="C9" s="122">
        <x:v>16</x:v>
      </x:c>
      <x:c r="D9" s="81" t="s">
        <x:v>634</x:v>
      </x:c>
      <x:c r="E9" s="362"/>
      <x:c r="F9" s="351"/>
      <x:c r="G9" s="351"/>
      <x:c r="H9" s="347"/>
      <x:c r="I9" s="333"/>
    </x:row>
    <x:row r="10" ht="18">
      <x:c r="A10" s="81" t="s">
        <x:v>635</x:v>
      </x:c>
      <x:c r="B10" s="332"/>
      <x:c r="C10" s="122">
        <x:v>16</x:v>
      </x:c>
      <x:c r="D10" s="81" t="s">
        <x:v>636</x:v>
      </x:c>
      <x:c r="E10" s="133" t="n">
        <x:f>C10</x:f>
        <x:v>16</x:v>
      </x:c>
      <x:c r="F10" s="81" t="s">
        <x:v>637</x:v>
      </x:c>
      <x:c r="G10" s="90"/>
      <x:c r="H10" s="348"/>
      <x:c r="I10" s="333"/>
    </x:row>
    <x:row r="11" ht="135">
      <x:c r="A11" s="91" t="s">
        <x:v>638</x:v>
      </x:c>
      <x:c r="B11" s="332"/>
      <x:c r="C11" s="123">
        <x:v>16</x:v>
      </x:c>
      <x:c r="D11" s="91" t="s">
        <x:v>639</x:v>
      </x:c>
      <x:c r="E11" s="134" t="n">
        <x:f t="shared" ref="E11:E12" si="0">C11</x:f>
        <x:v>16</x:v>
      </x:c>
      <x:c r="F11" s="91" t="s">
        <x:v>640</x:v>
      </x:c>
      <x:c r="G11" s="91" t="s">
        <x:v>641</x:v>
      </x:c>
      <x:c r="H11" s="92" t="s">
        <x:v>642</x:v>
      </x:c>
      <x:c r="I11" s="333"/>
    </x:row>
    <x:row r="12" ht="75">
      <x:c r="A12" s="83" t="s">
        <x:v>643</x:v>
      </x:c>
      <x:c r="B12" s="332"/>
      <x:c r="C12" s="124">
        <x:v>16</x:v>
      </x:c>
      <x:c r="D12" s="83" t="s">
        <x:v>644</x:v>
      </x:c>
      <x:c r="E12" s="135">
        <x:f t="shared" si="0"/>
        <x:v>16</x:v>
      </x:c>
      <x:c r="F12" s="84" t="s">
        <x:v>645</x:v>
      </x:c>
      <x:c r="G12" s="83" t="s">
        <x:v>646</x:v>
      </x:c>
      <x:c r="H12" s="93" t="s">
        <x:v>647</x:v>
      </x:c>
      <x:c r="I12" s="333"/>
    </x:row>
    <x:row r="13" ht="165">
      <x:c r="A13" s="85" t="s">
        <x:v>648</x:v>
      </x:c>
      <x:c r="B13" s="332"/>
      <x:c r="C13" s="125">
        <x:v>32</x:v>
      </x:c>
      <x:c r="D13" s="94" t="s">
        <x:v>649</x:v>
      </x:c>
      <x:c r="E13" s="136" t="n">
        <x:f>C13</x:f>
        <x:v>32</x:v>
      </x:c>
      <x:c r="F13" s="85" t="s">
        <x:v>650</x:v>
      </x:c>
      <x:c r="G13" s="85" t="s">
        <x:v>651</x:v>
      </x:c>
      <x:c r="H13" s="352" t="s">
        <x:v>642</x:v>
      </x:c>
      <x:c r="I13" s="333"/>
    </x:row>
    <x:row r="14" ht="18">
      <x:c r="A14" s="86" t="s">
        <x:v>652</x:v>
      </x:c>
      <x:c r="B14" s="332"/>
      <x:c r="C14" s="126">
        <x:v>32</x:v>
      </x:c>
      <x:c r="D14" s="86" t="s">
        <x:v>653</x:v>
      </x:c>
      <x:c r="E14" s="355" t="n">
        <x:f>SUM(C14:C31)</x:f>
        <x:v>1888</x:v>
      </x:c>
      <x:c r="F14" s="357" t="s">
        <x:v>654</x:v>
      </x:c>
      <x:c r="G14" s="357" t="s">
        <x:v>655</x:v>
      </x:c>
      <x:c r="H14" s="353"/>
      <x:c r="I14" s="333"/>
    </x:row>
    <x:row r="15" ht="18">
      <x:c r="A15" s="89" t="s">
        <x:v>656</x:v>
      </x:c>
      <x:c r="B15" s="332"/>
      <x:c r="C15" s="126">
        <x:v>32</x:v>
      </x:c>
      <x:c r="D15" s="86" t="s">
        <x:v>657</x:v>
      </x:c>
      <x:c r="E15" s="355"/>
      <x:c r="F15" s="358"/>
      <x:c r="G15" s="358"/>
      <x:c r="H15" s="353"/>
      <x:c r="I15" s="333"/>
    </x:row>
    <x:row r="16" ht="18">
      <x:c r="A16" s="89" t="s">
        <x:v>658</x:v>
      </x:c>
      <x:c r="B16" s="332"/>
      <x:c r="C16" s="126">
        <x:v>32</x:v>
      </x:c>
      <x:c r="D16" s="86" t="s">
        <x:v>659</x:v>
      </x:c>
      <x:c r="E16" s="355"/>
      <x:c r="F16" s="358"/>
      <x:c r="G16" s="358"/>
      <x:c r="H16" s="353"/>
      <x:c r="I16" s="333"/>
    </x:row>
    <x:row r="17" ht="18">
      <x:c r="A17" s="89" t="s">
        <x:v>660</x:v>
      </x:c>
      <x:c r="B17" s="332"/>
      <x:c r="C17" s="127">
        <x:v>32</x:v>
      </x:c>
      <x:c r="D17" s="89" t="s">
        <x:v>661</x:v>
      </x:c>
      <x:c r="E17" s="355"/>
      <x:c r="F17" s="358"/>
      <x:c r="G17" s="358"/>
      <x:c r="H17" s="353"/>
      <x:c r="I17" s="333"/>
    </x:row>
    <x:row r="18" ht="18">
      <x:c r="A18" s="86" t="s">
        <x:v>662</x:v>
      </x:c>
      <x:c r="B18" s="332"/>
      <x:c r="C18" s="126">
        <x:v>32</x:v>
      </x:c>
      <x:c r="D18" s="86" t="s">
        <x:v>663</x:v>
      </x:c>
      <x:c r="E18" s="355"/>
      <x:c r="F18" s="358"/>
      <x:c r="G18" s="358"/>
      <x:c r="H18" s="353"/>
      <x:c r="I18" s="333"/>
    </x:row>
    <x:row r="19" ht="18">
      <x:c r="A19" s="86" t="s">
        <x:v>664</x:v>
      </x:c>
      <x:c r="B19" s="332"/>
      <x:c r="C19" s="126">
        <x:v>32</x:v>
      </x:c>
      <x:c r="D19" s="86" t="s">
        <x:v>665</x:v>
      </x:c>
      <x:c r="E19" s="355"/>
      <x:c r="F19" s="358"/>
      <x:c r="G19" s="358"/>
      <x:c r="H19" s="353"/>
      <x:c r="I19" s="333"/>
    </x:row>
    <x:row r="20" ht="18">
      <x:c r="A20" s="86" t="s">
        <x:v>666</x:v>
      </x:c>
      <x:c r="B20" s="332"/>
      <x:c r="C20" s="126">
        <x:v>32</x:v>
      </x:c>
      <x:c r="D20" s="86" t="s">
        <x:v>667</x:v>
      </x:c>
      <x:c r="E20" s="355"/>
      <x:c r="F20" s="358"/>
      <x:c r="G20" s="358"/>
      <x:c r="H20" s="353"/>
      <x:c r="I20" s="333"/>
    </x:row>
    <x:row r="21" ht="18">
      <x:c r="A21" s="86" t="s">
        <x:v>668</x:v>
      </x:c>
      <x:c r="B21" s="332"/>
      <x:c r="C21" s="126">
        <x:v>64</x:v>
      </x:c>
      <x:c r="D21" s="86" t="s">
        <x:v>669</x:v>
      </x:c>
      <x:c r="E21" s="355"/>
      <x:c r="F21" s="358"/>
      <x:c r="G21" s="358"/>
      <x:c r="H21" s="353"/>
      <x:c r="I21" s="333"/>
    </x:row>
    <x:row r="22" ht="18">
      <x:c r="A22" s="86" t="s">
        <x:v>670</x:v>
      </x:c>
      <x:c r="B22" s="331"/>
      <x:c r="C22" s="126">
        <x:v>64</x:v>
      </x:c>
      <x:c r="D22" s="86" t="s">
        <x:v>671</x:v>
      </x:c>
      <x:c r="E22" s="355"/>
      <x:c r="F22" s="358"/>
      <x:c r="G22" s="358"/>
      <x:c r="H22" s="353"/>
      <x:c r="I22" s="333"/>
    </x:row>
    <x:row r="23" ht="18">
      <x:c r="A23" s="86" t="s">
        <x:v>672</x:v>
      </x:c>
      <x:c r="B23" s="330" t="s">
        <x:v>673</x:v>
      </x:c>
      <x:c r="C23" s="126">
        <x:v>64</x:v>
      </x:c>
      <x:c r="D23" s="86" t="s">
        <x:v>674</x:v>
      </x:c>
      <x:c r="E23" s="355"/>
      <x:c r="F23" s="358"/>
      <x:c r="G23" s="358"/>
      <x:c r="H23" s="353"/>
      <x:c r="I23" s="333"/>
    </x:row>
    <x:row r="24" ht="18">
      <x:c r="A24" s="86" t="s">
        <x:v>675</x:v>
      </x:c>
      <x:c r="B24" s="332"/>
      <x:c r="C24" s="126">
        <x:v>64</x:v>
      </x:c>
      <x:c r="D24" s="86" t="s">
        <x:v>676</x:v>
      </x:c>
      <x:c r="E24" s="355"/>
      <x:c r="F24" s="358"/>
      <x:c r="G24" s="358"/>
      <x:c r="H24" s="353"/>
      <x:c r="I24" s="333"/>
    </x:row>
    <x:row r="25" ht="18">
      <x:c r="A25" s="86" t="s">
        <x:v>677</x:v>
      </x:c>
      <x:c r="B25" s="332"/>
      <x:c r="C25" s="126">
        <x:v>128</x:v>
      </x:c>
      <x:c r="D25" s="86" t="s">
        <x:v>678</x:v>
      </x:c>
      <x:c r="E25" s="355"/>
      <x:c r="F25" s="358"/>
      <x:c r="G25" s="358"/>
      <x:c r="H25" s="353"/>
      <x:c r="I25" s="333"/>
    </x:row>
    <x:row r="26" ht="18">
      <x:c r="A26" s="86" t="s">
        <x:v>679</x:v>
      </x:c>
      <x:c r="B26" s="332"/>
      <x:c r="C26" s="126">
        <x:v>128</x:v>
      </x:c>
      <x:c r="D26" s="86" t="s">
        <x:v>680</x:v>
      </x:c>
      <x:c r="E26" s="355"/>
      <x:c r="F26" s="358"/>
      <x:c r="G26" s="358"/>
      <x:c r="H26" s="353"/>
      <x:c r="I26" s="333"/>
    </x:row>
    <x:row r="27" ht="18">
      <x:c r="A27" s="86" t="s">
        <x:v>681</x:v>
      </x:c>
      <x:c r="B27" s="331"/>
      <x:c r="C27" s="126">
        <x:v>128</x:v>
      </x:c>
      <x:c r="D27" s="86" t="s">
        <x:v>682</x:v>
      </x:c>
      <x:c r="E27" s="355"/>
      <x:c r="F27" s="358"/>
      <x:c r="G27" s="358"/>
      <x:c r="H27" s="353"/>
      <x:c r="I27" s="333"/>
    </x:row>
    <x:row r="28" ht="18">
      <x:c r="A28" s="86" t="s">
        <x:v>683</x:v>
      </x:c>
      <x:c r="B28" s="330" t="s">
        <x:v>684</x:v>
      </x:c>
      <x:c r="C28" s="126">
        <x:v>256</x:v>
      </x:c>
      <x:c r="D28" s="86" t="s">
        <x:v>685</x:v>
      </x:c>
      <x:c r="E28" s="355"/>
      <x:c r="F28" s="358"/>
      <x:c r="G28" s="358"/>
      <x:c r="H28" s="353"/>
      <x:c r="I28" s="333"/>
    </x:row>
    <x:row r="29" ht="18">
      <x:c r="A29" s="86" t="s">
        <x:v>686</x:v>
      </x:c>
      <x:c r="B29" s="332"/>
      <x:c r="C29" s="126">
        <x:v>256</x:v>
      </x:c>
      <x:c r="D29" s="86" t="s">
        <x:v>687</x:v>
      </x:c>
      <x:c r="E29" s="355"/>
      <x:c r="F29" s="358"/>
      <x:c r="G29" s="358"/>
      <x:c r="H29" s="353"/>
      <x:c r="I29" s="333"/>
    </x:row>
    <x:row r="30" ht="18">
      <x:c r="A30" s="86" t="s">
        <x:v>688</x:v>
      </x:c>
      <x:c r="B30" s="330" t="s">
        <x:v>689</x:v>
      </x:c>
      <x:c r="C30" s="126">
        <x:v>256</x:v>
      </x:c>
      <x:c r="D30" s="86" t="s">
        <x:v>690</x:v>
      </x:c>
      <x:c r="E30" s="355"/>
      <x:c r="F30" s="358"/>
      <x:c r="G30" s="358"/>
      <x:c r="H30" s="353"/>
      <x:c r="I30" s="333"/>
    </x:row>
    <x:row r="31" ht="18">
      <x:c r="A31" s="86" t="s">
        <x:v>691</x:v>
      </x:c>
      <x:c r="B31" s="331"/>
      <x:c r="C31" s="126">
        <x:v>256</x:v>
      </x:c>
      <x:c r="D31" s="86" t="s">
        <x:v>692</x:v>
      </x:c>
      <x:c r="E31" s="356"/>
      <x:c r="F31" s="359"/>
      <x:c r="G31" s="359"/>
      <x:c r="H31" s="353"/>
      <x:c r="I31" s="333"/>
    </x:row>
    <x:row r="32" ht="45">
      <x:c r="A32" s="95" t="s">
        <x:v>619</x:v>
      </x:c>
      <x:c r="B32" s="330" t="s">
        <x:v>620</x:v>
      </x:c>
      <x:c r="C32" s="128">
        <x:v>16</x:v>
      </x:c>
      <x:c r="D32" s="95" t="s">
        <x:v>693</x:v>
      </x:c>
      <x:c r="E32" s="137">
        <x:v>16</x:v>
      </x:c>
      <x:c r="F32" s="95" t="s">
        <x:v>694</x:v>
      </x:c>
      <x:c r="G32" s="95"/>
      <x:c r="H32" s="353"/>
      <x:c r="I32" s="333" t="s">
        <x:v>695</x:v>
      </x:c>
    </x:row>
    <x:row r="33" ht="30">
      <x:c r="A33" s="96" t="s">
        <x:v>627</x:v>
      </x:c>
      <x:c r="B33" s="332"/>
      <x:c r="C33" s="129">
        <x:v>16</x:v>
      </x:c>
      <x:c r="D33" s="96" t="s">
        <x:v>628</x:v>
      </x:c>
      <x:c r="E33" s="138">
        <x:v>16</x:v>
      </x:c>
      <x:c r="F33" s="97" t="s">
        <x:v>696</x:v>
      </x:c>
      <x:c r="G33" s="97"/>
      <x:c r="H33" s="353"/>
      <x:c r="I33" s="333"/>
    </x:row>
    <x:row r="34" ht="18">
      <x:c r="A34" s="82" t="s">
        <x:v>629</x:v>
      </x:c>
      <x:c r="B34" s="332"/>
      <x:c r="C34" s="130">
        <x:v>16</x:v>
      </x:c>
      <x:c r="D34" s="82" t="s">
        <x:v>630</x:v>
      </x:c>
      <x:c r="E34" s="334" t="n">
        <x:f>SUM(C34:C58)</x:f>
        <x:v>2016</x:v>
      </x:c>
      <x:c r="F34" s="337" t="s">
        <x:v>697</x:v>
      </x:c>
      <x:c r="G34" s="337"/>
      <x:c r="H34" s="353"/>
      <x:c r="I34" s="333"/>
    </x:row>
    <x:row r="35" ht="18">
      <x:c r="A35" s="82" t="s">
        <x:v>631</x:v>
      </x:c>
      <x:c r="B35" s="332"/>
      <x:c r="C35" s="130">
        <x:v>16</x:v>
      </x:c>
      <x:c r="D35" s="82" t="s">
        <x:v>632</x:v>
      </x:c>
      <x:c r="E35" s="335"/>
      <x:c r="F35" s="338"/>
      <x:c r="G35" s="338"/>
      <x:c r="H35" s="353"/>
      <x:c r="I35" s="333"/>
    </x:row>
    <x:row r="36" ht="18">
      <x:c r="A36" s="82" t="s">
        <x:v>633</x:v>
      </x:c>
      <x:c r="B36" s="332"/>
      <x:c r="C36" s="130">
        <x:v>16</x:v>
      </x:c>
      <x:c r="D36" s="82" t="s">
        <x:v>634</x:v>
      </x:c>
      <x:c r="E36" s="335"/>
      <x:c r="F36" s="338"/>
      <x:c r="G36" s="338"/>
      <x:c r="H36" s="353"/>
      <x:c r="I36" s="333"/>
    </x:row>
    <x:row r="37" ht="18">
      <x:c r="A37" s="82" t="s">
        <x:v>635</x:v>
      </x:c>
      <x:c r="B37" s="332"/>
      <x:c r="C37" s="130">
        <x:v>16</x:v>
      </x:c>
      <x:c r="D37" s="82" t="s">
        <x:v>636</x:v>
      </x:c>
      <x:c r="E37" s="335"/>
      <x:c r="F37" s="338"/>
      <x:c r="G37" s="338"/>
      <x:c r="H37" s="353"/>
      <x:c r="I37" s="333"/>
    </x:row>
    <x:row r="38" ht="18">
      <x:c r="A38" s="82" t="s">
        <x:v>638</x:v>
      </x:c>
      <x:c r="B38" s="332"/>
      <x:c r="C38" s="130">
        <x:v>16</x:v>
      </x:c>
      <x:c r="D38" s="82" t="s">
        <x:v>639</x:v>
      </x:c>
      <x:c r="E38" s="335"/>
      <x:c r="F38" s="338"/>
      <x:c r="G38" s="338"/>
      <x:c r="H38" s="353"/>
      <x:c r="I38" s="333"/>
    </x:row>
    <x:row r="39" ht="18">
      <x:c r="A39" s="82" t="s">
        <x:v>643</x:v>
      </x:c>
      <x:c r="B39" s="332"/>
      <x:c r="C39" s="130">
        <x:v>16</x:v>
      </x:c>
      <x:c r="D39" s="82" t="s">
        <x:v>644</x:v>
      </x:c>
      <x:c r="E39" s="335"/>
      <x:c r="F39" s="338"/>
      <x:c r="G39" s="338"/>
      <x:c r="H39" s="353"/>
      <x:c r="I39" s="333"/>
    </x:row>
    <x:row r="40" ht="18">
      <x:c r="A40" s="82" t="s">
        <x:v>648</x:v>
      </x:c>
      <x:c r="B40" s="332"/>
      <x:c r="C40" s="130">
        <x:v>32</x:v>
      </x:c>
      <x:c r="D40" s="82" t="s">
        <x:v>698</x:v>
      </x:c>
      <x:c r="E40" s="335"/>
      <x:c r="F40" s="338"/>
      <x:c r="G40" s="338"/>
      <x:c r="H40" s="353"/>
      <x:c r="I40" s="333"/>
    </x:row>
    <x:row r="41" ht="18">
      <x:c r="A41" s="82" t="s">
        <x:v>652</x:v>
      </x:c>
      <x:c r="B41" s="332"/>
      <x:c r="C41" s="130">
        <x:v>32</x:v>
      </x:c>
      <x:c r="D41" s="82" t="s">
        <x:v>653</x:v>
      </x:c>
      <x:c r="E41" s="335"/>
      <x:c r="F41" s="338"/>
      <x:c r="G41" s="338"/>
      <x:c r="H41" s="353"/>
      <x:c r="I41" s="333"/>
    </x:row>
    <x:row r="42" ht="18">
      <x:c r="A42" s="82" t="s">
        <x:v>656</x:v>
      </x:c>
      <x:c r="B42" s="332"/>
      <x:c r="C42" s="130">
        <x:v>32</x:v>
      </x:c>
      <x:c r="D42" s="82" t="s">
        <x:v>657</x:v>
      </x:c>
      <x:c r="E42" s="335"/>
      <x:c r="F42" s="338"/>
      <x:c r="G42" s="338"/>
      <x:c r="H42" s="353"/>
      <x:c r="I42" s="333"/>
    </x:row>
    <x:row r="43" ht="18">
      <x:c r="A43" s="82" t="s">
        <x:v>658</x:v>
      </x:c>
      <x:c r="B43" s="332"/>
      <x:c r="C43" s="130">
        <x:v>32</x:v>
      </x:c>
      <x:c r="D43" s="82" t="s">
        <x:v>659</x:v>
      </x:c>
      <x:c r="E43" s="335"/>
      <x:c r="F43" s="338"/>
      <x:c r="G43" s="338"/>
      <x:c r="H43" s="353"/>
      <x:c r="I43" s="333"/>
    </x:row>
    <x:row r="44" ht="18">
      <x:c r="A44" s="82" t="s">
        <x:v>660</x:v>
      </x:c>
      <x:c r="B44" s="332"/>
      <x:c r="C44" s="130">
        <x:v>32</x:v>
      </x:c>
      <x:c r="D44" s="82" t="s">
        <x:v>661</x:v>
      </x:c>
      <x:c r="E44" s="335"/>
      <x:c r="F44" s="338"/>
      <x:c r="G44" s="338"/>
      <x:c r="H44" s="353"/>
      <x:c r="I44" s="333"/>
    </x:row>
    <x:row r="45" ht="18">
      <x:c r="A45" s="82" t="s">
        <x:v>662</x:v>
      </x:c>
      <x:c r="B45" s="332"/>
      <x:c r="C45" s="130">
        <x:v>32</x:v>
      </x:c>
      <x:c r="D45" s="82" t="s">
        <x:v>663</x:v>
      </x:c>
      <x:c r="E45" s="335"/>
      <x:c r="F45" s="338"/>
      <x:c r="G45" s="338"/>
      <x:c r="H45" s="353"/>
      <x:c r="I45" s="333"/>
    </x:row>
    <x:row r="46" ht="18">
      <x:c r="A46" s="82" t="s">
        <x:v>664</x:v>
      </x:c>
      <x:c r="B46" s="332"/>
      <x:c r="C46" s="130">
        <x:v>32</x:v>
      </x:c>
      <x:c r="D46" s="82" t="s">
        <x:v>665</x:v>
      </x:c>
      <x:c r="E46" s="335"/>
      <x:c r="F46" s="338"/>
      <x:c r="G46" s="338"/>
      <x:c r="H46" s="353"/>
      <x:c r="I46" s="333"/>
    </x:row>
    <x:row r="47" ht="18">
      <x:c r="A47" s="82" t="s">
        <x:v>666</x:v>
      </x:c>
      <x:c r="B47" s="332"/>
      <x:c r="C47" s="130">
        <x:v>32</x:v>
      </x:c>
      <x:c r="D47" s="82" t="s">
        <x:v>667</x:v>
      </x:c>
      <x:c r="E47" s="335"/>
      <x:c r="F47" s="338"/>
      <x:c r="G47" s="338"/>
      <x:c r="H47" s="353"/>
      <x:c r="I47" s="333"/>
    </x:row>
    <x:row r="48" ht="18">
      <x:c r="A48" s="82" t="s">
        <x:v>668</x:v>
      </x:c>
      <x:c r="B48" s="332"/>
      <x:c r="C48" s="130">
        <x:v>64</x:v>
      </x:c>
      <x:c r="D48" s="82" t="s">
        <x:v>669</x:v>
      </x:c>
      <x:c r="E48" s="335"/>
      <x:c r="F48" s="338"/>
      <x:c r="G48" s="338"/>
      <x:c r="H48" s="353"/>
      <x:c r="I48" s="333"/>
    </x:row>
    <x:row r="49" ht="18">
      <x:c r="A49" s="82" t="s">
        <x:v>670</x:v>
      </x:c>
      <x:c r="B49" s="331"/>
      <x:c r="C49" s="130">
        <x:v>64</x:v>
      </x:c>
      <x:c r="D49" s="82" t="s">
        <x:v>671</x:v>
      </x:c>
      <x:c r="E49" s="335"/>
      <x:c r="F49" s="338"/>
      <x:c r="G49" s="338"/>
      <x:c r="H49" s="353"/>
      <x:c r="I49" s="333"/>
    </x:row>
    <x:row r="50" ht="18">
      <x:c r="A50" s="82" t="s">
        <x:v>672</x:v>
      </x:c>
      <x:c r="B50" s="330" t="s">
        <x:v>673</x:v>
      </x:c>
      <x:c r="C50" s="130">
        <x:v>64</x:v>
      </x:c>
      <x:c r="D50" s="82" t="s">
        <x:v>674</x:v>
      </x:c>
      <x:c r="E50" s="335"/>
      <x:c r="F50" s="338"/>
      <x:c r="G50" s="338"/>
      <x:c r="H50" s="353"/>
      <x:c r="I50" s="333"/>
    </x:row>
    <x:row r="51" ht="18">
      <x:c r="A51" s="82" t="s">
        <x:v>675</x:v>
      </x:c>
      <x:c r="B51" s="332"/>
      <x:c r="C51" s="130">
        <x:v>64</x:v>
      </x:c>
      <x:c r="D51" s="82" t="s">
        <x:v>676</x:v>
      </x:c>
      <x:c r="E51" s="335"/>
      <x:c r="F51" s="338"/>
      <x:c r="G51" s="338"/>
      <x:c r="H51" s="353"/>
      <x:c r="I51" s="333"/>
    </x:row>
    <x:row r="52" ht="18">
      <x:c r="A52" s="82" t="s">
        <x:v>677</x:v>
      </x:c>
      <x:c r="B52" s="332"/>
      <x:c r="C52" s="130">
        <x:v>128</x:v>
      </x:c>
      <x:c r="D52" s="82" t="s">
        <x:v>678</x:v>
      </x:c>
      <x:c r="E52" s="335"/>
      <x:c r="F52" s="338"/>
      <x:c r="G52" s="338"/>
      <x:c r="H52" s="353"/>
      <x:c r="I52" s="333"/>
    </x:row>
    <x:row r="53" ht="18">
      <x:c r="A53" s="82" t="s">
        <x:v>679</x:v>
      </x:c>
      <x:c r="B53" s="332"/>
      <x:c r="C53" s="130">
        <x:v>128</x:v>
      </x:c>
      <x:c r="D53" s="82" t="s">
        <x:v>680</x:v>
      </x:c>
      <x:c r="E53" s="335"/>
      <x:c r="F53" s="338"/>
      <x:c r="G53" s="338"/>
      <x:c r="H53" s="353"/>
      <x:c r="I53" s="333"/>
    </x:row>
    <x:row r="54" ht="18">
      <x:c r="A54" s="82" t="s">
        <x:v>681</x:v>
      </x:c>
      <x:c r="B54" s="331"/>
      <x:c r="C54" s="130">
        <x:v>128</x:v>
      </x:c>
      <x:c r="D54" s="82" t="s">
        <x:v>682</x:v>
      </x:c>
      <x:c r="E54" s="335"/>
      <x:c r="F54" s="338"/>
      <x:c r="G54" s="338"/>
      <x:c r="H54" s="353"/>
      <x:c r="I54" s="333"/>
    </x:row>
    <x:row r="55" ht="18">
      <x:c r="A55" s="82" t="s">
        <x:v>683</x:v>
      </x:c>
      <x:c r="B55" s="330" t="s">
        <x:v>684</x:v>
      </x:c>
      <x:c r="C55" s="130">
        <x:v>256</x:v>
      </x:c>
      <x:c r="D55" s="82" t="s">
        <x:v>685</x:v>
      </x:c>
      <x:c r="E55" s="335"/>
      <x:c r="F55" s="338"/>
      <x:c r="G55" s="338"/>
      <x:c r="H55" s="353"/>
      <x:c r="I55" s="333"/>
    </x:row>
    <x:row r="56" ht="18">
      <x:c r="A56" s="82" t="s">
        <x:v>686</x:v>
      </x:c>
      <x:c r="B56" s="331"/>
      <x:c r="C56" s="130">
        <x:v>256</x:v>
      </x:c>
      <x:c r="D56" s="82" t="s">
        <x:v>687</x:v>
      </x:c>
      <x:c r="E56" s="335"/>
      <x:c r="F56" s="338"/>
      <x:c r="G56" s="338"/>
      <x:c r="H56" s="353"/>
      <x:c r="I56" s="333"/>
    </x:row>
    <x:row r="57" ht="18">
      <x:c r="A57" s="82" t="s">
        <x:v>688</x:v>
      </x:c>
      <x:c r="B57" s="330" t="s">
        <x:v>689</x:v>
      </x:c>
      <x:c r="C57" s="130">
        <x:v>256</x:v>
      </x:c>
      <x:c r="D57" s="82" t="s">
        <x:v>690</x:v>
      </x:c>
      <x:c r="E57" s="335"/>
      <x:c r="F57" s="338"/>
      <x:c r="G57" s="338"/>
      <x:c r="H57" s="353"/>
      <x:c r="I57" s="333"/>
    </x:row>
    <x:row r="58" ht="18">
      <x:c r="A58" s="82" t="s">
        <x:v>691</x:v>
      </x:c>
      <x:c r="B58" s="331"/>
      <x:c r="C58" s="130">
        <x:v>256</x:v>
      </x:c>
      <x:c r="D58" s="82" t="s">
        <x:v>692</x:v>
      </x:c>
      <x:c r="E58" s="336"/>
      <x:c r="F58" s="339"/>
      <x:c r="G58" s="339"/>
      <x:c r="H58" s="354"/>
      <x:c r="I58" s="333"/>
    </x:row>
  </x:sheetData>
  <x:mergeCells>
    <x:mergeCell ref="B55:B56"/>
    <x:mergeCell ref="H4:H10"/>
    <x:mergeCell ref="I4:I31"/>
    <x:mergeCell ref="F5:F9"/>
    <x:mergeCell ref="H13:H58"/>
    <x:mergeCell ref="E14:E31"/>
    <x:mergeCell ref="F14:F31"/>
    <x:mergeCell ref="G14:G31"/>
    <x:mergeCell ref="D4:D5"/>
    <x:mergeCell ref="E4:E9"/>
    <x:mergeCell ref="G5:G9"/>
    <x:mergeCell ref="A1:I1"/>
    <x:mergeCell ref="A2:I2"/>
    <x:mergeCell ref="B57:B58"/>
    <x:mergeCell ref="B23:B27"/>
    <x:mergeCell ref="B28:B29"/>
    <x:mergeCell ref="B30:B31"/>
    <x:mergeCell ref="B32:B49"/>
    <x:mergeCell ref="I32:I58"/>
    <x:mergeCell ref="E34:E58"/>
    <x:mergeCell ref="F34:F58"/>
    <x:mergeCell ref="G34:G58"/>
    <x:mergeCell ref="B50:B54"/>
    <x:mergeCell ref="F3:G3"/>
    <x:mergeCell ref="A4:A5"/>
    <x:mergeCell ref="B4:B22"/>
    <x:mergeCell ref="C4:C5"/>
  </x:mergeCells>
  <x:pageMargins left="0.7" right="0.7" top="0.75" bottom="0.75" header="0.3" footer="0.3"/>
</x:worksheet>
</file>

<file path=xl/worksheets/sheet12.xml><?xml version="1.0" encoding="utf-8"?>
<x:worksheet xmlns:x="http://schemas.openxmlformats.org/spreadsheetml/2006/main">
  <x:sheetFormatPr defaultColWidth="11.42578125" defaultRowHeight="15"/>
  <x:sheetData/>
  <x:pageMargins left="0.7" right="0.7" top="0.75" bottom="0.75" header="0.3" footer="0.3"/>
  <x:drawing xmlns:r="http://schemas.openxmlformats.org/officeDocument/2006/relationships" r:id="Ra52af41edc794422"/>
</x:worksheet>
</file>

<file path=xl/worksheets/sheet13.xml><?xml version="1.0" encoding="utf-8"?>
<x:worksheet xmlns:x="http://schemas.openxmlformats.org/spreadsheetml/2006/main">
  <x:sheetFormatPr defaultColWidth="11.42578125" defaultRowHeight="15"/>
  <x:sheetData/>
  <x:pageMargins left="0.7" right="0.7" top="0.75" bottom="0.75" header="0.3" footer="0.3"/>
  <x:drawing xmlns:r="http://schemas.openxmlformats.org/officeDocument/2006/relationships" r:id="R19382883f52d4117"/>
</x:worksheet>
</file>

<file path=xl/worksheets/sheet14.xml><?xml version="1.0" encoding="utf-8"?>
<x:worksheet xmlns:x="http://schemas.openxmlformats.org/spreadsheetml/2006/main">
  <x:sheetFormatPr defaultColWidth="11.42578125" defaultRowHeight="15"/>
  <x:cols>
    <x:col min="2" max="2" width="48.85546875" customWidth="1"/>
    <x:col min="3" max="3" width="11.42578125" style="131" customWidth="0"/>
    <x:col min="4" max="4" width="85.7109375" customWidth="1"/>
    <x:col min="5" max="5" width="90.7109375" customWidth="1"/>
    <x:col min="7" max="7" width="31.28515625" customWidth="1"/>
  </x:cols>
  <x:sheetData>
    <x:row r="2" ht="18.75">
      <x:c r="B2" s="140" t="s">
        <x:v>699</x:v>
      </x:c>
    </x:row>
    <x:row r="3" ht="18.75">
      <x:c r="B3" s="140"/>
    </x:row>
    <x:row r="4">
      <x:c r="B4" t="s">
        <x:v>700</x:v>
      </x:c>
      <x:c r="C4" s="131">
        <x:v>0</x:v>
      </x:c>
    </x:row>
    <x:row r="5">
      <x:c r="B5" t="s">
        <x:v>701</x:v>
      </x:c>
      <x:c r="C5" s="131">
        <x:v>1</x:v>
      </x:c>
    </x:row>
    <x:row r="6">
      <x:c r="B6" t="s">
        <x:v>702</x:v>
      </x:c>
      <x:c r="C6" s="131">
        <x:v>2</x:v>
      </x:c>
    </x:row>
    <x:row r="7">
      <x:c r="B7" t="s">
        <x:v>703</x:v>
      </x:c>
      <x:c r="C7" s="131">
        <x:v>3</x:v>
      </x:c>
    </x:row>
    <x:row r="8">
      <x:c r="B8" t="s">
        <x:v>704</x:v>
      </x:c>
      <x:c r="C8" s="131">
        <x:v>4</x:v>
      </x:c>
    </x:row>
    <x:row r="9">
      <x:c r="B9" t="s">
        <x:v>705</x:v>
      </x:c>
      <x:c r="C9" s="131">
        <x:v>5</x:v>
      </x:c>
    </x:row>
    <x:row r="10">
      <x:c r="B10" t="s">
        <x:v>706</x:v>
      </x:c>
      <x:c r="C10" s="131">
        <x:v>6</x:v>
      </x:c>
    </x:row>
    <x:row r="11">
      <x:c r="B11" t="s">
        <x:v>707</x:v>
      </x:c>
      <x:c r="C11" s="131">
        <x:v>7</x:v>
      </x:c>
    </x:row>
    <x:row r="12">
      <x:c r="B12" t="s">
        <x:v>708</x:v>
      </x:c>
      <x:c r="C12" s="131">
        <x:v>8</x:v>
      </x:c>
    </x:row>
    <x:row r="13">
      <x:c r="B13" t="s">
        <x:v>709</x:v>
      </x:c>
      <x:c r="C13" s="131">
        <x:v>9</x:v>
      </x:c>
    </x:row>
    <x:row r="14">
      <x:c r="B14" t="s">
        <x:v>710</x:v>
      </x:c>
      <x:c r="C14" s="131">
        <x:v>10</x:v>
      </x:c>
    </x:row>
    <x:row r="15">
      <x:c r="B15" t="s">
        <x:v>711</x:v>
      </x:c>
      <x:c r="C15" s="131">
        <x:v>11</x:v>
      </x:c>
    </x:row>
    <x:row r="16">
      <x:c r="B16" t="s">
        <x:v>712</x:v>
      </x:c>
      <x:c r="C16" s="131">
        <x:v>12</x:v>
      </x:c>
    </x:row>
    <x:row r="17">
      <x:c r="B17" t="s">
        <x:v>713</x:v>
      </x:c>
      <x:c r="C17" s="131">
        <x:v>13</x:v>
      </x:c>
    </x:row>
    <x:row r="18">
      <x:c r="B18" t="s">
        <x:v>714</x:v>
      </x:c>
      <x:c r="C18" s="131">
        <x:v>14</x:v>
      </x:c>
    </x:row>
    <x:row r="22">
      <x:c r="B22" s="166" t="s">
        <x:v>715</x:v>
      </x:c>
      <x:c r="C22" s="166" t="s">
        <x:v>716</x:v>
      </x:c>
      <x:c r="D22" s="166" t="s">
        <x:v>717</x:v>
      </x:c>
      <x:c r="E22" s="166" t="s">
        <x:v>718</x:v>
      </x:c>
      <x:c r="F22" s="167" t="s">
        <x:v>719</x:v>
      </x:c>
      <x:c r="G22" s="167" t="s">
        <x:v>720</x:v>
      </x:c>
    </x:row>
    <x:row r="23">
      <x:c r="B23" t="s">
        <x:v>721</x:v>
      </x:c>
      <x:c r="C23" s="154">
        <x:v>1</x:v>
      </x:c>
      <x:c r="D23" t="s">
        <x:v>722</x:v>
      </x:c>
      <x:c r="E23" t="s">
        <x:v>723</x:v>
      </x:c>
      <x:c r="F23" t="s">
        <x:v>724</x:v>
      </x:c>
      <x:c r="G23" t="s">
        <x:v>725</x:v>
      </x:c>
    </x:row>
    <x:row r="24">
      <x:c r="B24" t="s">
        <x:v>726</x:v>
      </x:c>
      <x:c r="C24" s="154">
        <x:v>2</x:v>
      </x:c>
      <x:c r="D24" t="s">
        <x:v>727</x:v>
      </x:c>
      <x:c r="E24" t="s">
        <x:v>723</x:v>
      </x:c>
      <x:c r="G24" t="s">
        <x:v>725</x:v>
      </x:c>
    </x:row>
    <x:row r="25">
      <x:c r="B25" t="s">
        <x:v>728</x:v>
      </x:c>
      <x:c r="C25" s="154">
        <x:v>3</x:v>
      </x:c>
      <x:c r="D25" t="s">
        <x:v>729</x:v>
      </x:c>
      <x:c r="E25" t="s">
        <x:v>723</x:v>
      </x:c>
      <x:c r="G25" t="s">
        <x:v>725</x:v>
      </x:c>
    </x:row>
    <x:row r="26">
      <x:c r="B26" t="s">
        <x:v>730</x:v>
      </x:c>
      <x:c r="C26" s="154">
        <x:v>4</x:v>
      </x:c>
      <x:c r="D26" t="s">
        <x:v>731</x:v>
      </x:c>
      <x:c r="E26" t="s">
        <x:v>723</x:v>
      </x:c>
      <x:c r="G26" t="s">
        <x:v>725</x:v>
      </x:c>
    </x:row>
    <x:row r="27">
      <x:c r="B27" t="s">
        <x:v>732</x:v>
      </x:c>
      <x:c r="C27" s="154">
        <x:v>5</x:v>
      </x:c>
      <x:c r="D27" t="s">
        <x:v>733</x:v>
      </x:c>
      <x:c r="E27" t="s">
        <x:v>734</x:v>
      </x:c>
    </x:row>
    <x:row r="28">
      <x:c r="B28" t="s">
        <x:v>735</x:v>
      </x:c>
      <x:c r="C28" s="154">
        <x:v>6</x:v>
      </x:c>
      <x:c r="D28" t="s">
        <x:v>736</x:v>
      </x:c>
      <x:c r="E28" t="s">
        <x:v>737</x:v>
      </x:c>
      <x:c r="F28" t="s">
        <x:v>724</x:v>
      </x:c>
      <x:c r="G28" t="s">
        <x:v>738</x:v>
      </x:c>
    </x:row>
    <x:row r="29">
      <x:c r="B29" t="s">
        <x:v>739</x:v>
      </x:c>
      <x:c r="C29" s="154">
        <x:v>7</x:v>
      </x:c>
      <x:c r="D29" t="s">
        <x:v>740</x:v>
      </x:c>
      <x:c r="E29" t="s">
        <x:v>737</x:v>
      </x:c>
      <x:c r="F29" t="s">
        <x:v>724</x:v>
      </x:c>
      <x:c r="G29" t="s">
        <x:v>738</x:v>
      </x:c>
    </x:row>
    <x:row r="30">
      <x:c r="B30" t="s">
        <x:v>741</x:v>
      </x:c>
      <x:c r="C30" s="154">
        <x:v>8</x:v>
      </x:c>
      <x:c r="D30" t="s">
        <x:v>742</x:v>
      </x:c>
      <x:c r="E30" t="s">
        <x:v>743</x:v>
      </x:c>
      <x:c r="F30" t="s">
        <x:v>724</x:v>
      </x:c>
      <x:c r="G30" t="s">
        <x:v>738</x:v>
      </x:c>
    </x:row>
    <x:row r="31">
      <x:c r="B31" t="s">
        <x:v>744</x:v>
      </x:c>
      <x:c r="C31" s="154">
        <x:v>9</x:v>
      </x:c>
      <x:c r="D31" t="s">
        <x:v>745</x:v>
      </x:c>
      <x:c r="F31" t="s">
        <x:v>724</x:v>
      </x:c>
      <x:c r="G31" t="s">
        <x:v>473</x:v>
      </x:c>
    </x:row>
    <x:row r="32">
      <x:c r="B32" t="s">
        <x:v>746</x:v>
      </x:c>
      <x:c r="C32" s="154">
        <x:v>10</x:v>
      </x:c>
      <x:c r="D32" t="s">
        <x:v>747</x:v>
      </x:c>
      <x:c r="E32" t="s">
        <x:v>748</x:v>
      </x:c>
      <x:c r="F32" t="s">
        <x:v>724</x:v>
      </x:c>
      <x:c r="G32" t="s">
        <x:v>738</x:v>
      </x:c>
    </x:row>
    <x:row r="33">
      <x:c r="B33" t="s">
        <x:v>749</x:v>
      </x:c>
      <x:c r="C33" s="154">
        <x:v>11</x:v>
      </x:c>
      <x:c r="D33" t="s">
        <x:v>750</x:v>
      </x:c>
      <x:c r="E33" t="s">
        <x:v>748</x:v>
      </x:c>
      <x:c r="F33" t="s">
        <x:v>724</x:v>
      </x:c>
      <x:c r="G33" t="s">
        <x:v>738</x:v>
      </x:c>
    </x:row>
    <x:row r="34" ht="30">
      <x:c r="B34" t="s">
        <x:v>751</x:v>
      </x:c>
      <x:c r="C34" s="154">
        <x:v>12</x:v>
      </x:c>
      <x:c r="D34" t="s">
        <x:v>752</x:v>
      </x:c>
      <x:c r="E34" t="s">
        <x:v>748</x:v>
      </x:c>
      <x:c r="F34" t="s">
        <x:v>724</x:v>
      </x:c>
      <x:c r="G34" s="39" t="s">
        <x:v>753</x:v>
      </x:c>
    </x:row>
    <x:row r="35">
      <x:c r="B35" t="s">
        <x:v>754</x:v>
      </x:c>
      <x:c r="C35" s="154">
        <x:v>13</x:v>
      </x:c>
      <x:c r="D35" s="39" t="s">
        <x:v>755</x:v>
      </x:c>
      <x:c r="E35" t="s">
        <x:v>756</x:v>
      </x:c>
      <x:c r="F35" t="s">
        <x:v>724</x:v>
      </x:c>
      <x:c r="G35" t="s">
        <x:v>738</x:v>
      </x:c>
    </x:row>
    <x:row r="36">
      <x:c r="B36" t="s">
        <x:v>757</x:v>
      </x:c>
      <x:c r="C36" s="154">
        <x:v>14</x:v>
      </x:c>
      <x:c r="D36" s="39" t="s">
        <x:v>758</x:v>
      </x:c>
      <x:c r="E36" t="s">
        <x:v>748</x:v>
      </x:c>
      <x:c r="F36" t="s">
        <x:v>724</x:v>
      </x:c>
      <x:c r="G36" t="s">
        <x:v>738</x:v>
      </x:c>
    </x:row>
    <x:row r="37" ht="30">
      <x:c r="B37" t="s">
        <x:v>480</x:v>
      </x:c>
      <x:c r="C37" s="154">
        <x:v>15</x:v>
      </x:c>
      <x:c r="D37" t="s">
        <x:v>759</x:v>
      </x:c>
      <x:c r="E37" t="s">
        <x:v>748</x:v>
      </x:c>
      <x:c r="F37" t="s">
        <x:v>724</x:v>
      </x:c>
      <x:c r="G37" s="39" t="s">
        <x:v>760</x:v>
      </x:c>
    </x:row>
    <x:row r="38" ht="60">
      <x:c r="B38" t="s">
        <x:v>761</x:v>
      </x:c>
      <x:c r="C38" s="154">
        <x:v>16</x:v>
      </x:c>
      <x:c r="D38" t="s">
        <x:v>762</x:v>
      </x:c>
      <x:c r="E38" t="s">
        <x:v>763</x:v>
      </x:c>
      <x:c r="F38" t="s">
        <x:v>724</x:v>
      </x:c>
      <x:c r="G38" s="39" t="s">
        <x:v>764</x:v>
      </x:c>
    </x:row>
    <x:row r="39">
      <x:c r="B39" t="s">
        <x:v>765</x:v>
      </x:c>
      <x:c r="C39" s="154">
        <x:v>17</x:v>
      </x:c>
      <x:c r="D39" t="s">
        <x:v>766</x:v>
      </x:c>
      <x:c r="E39" t="s">
        <x:v>767</x:v>
      </x:c>
      <x:c r="F39" t="s">
        <x:v>724</x:v>
      </x:c>
      <x:c r="G39" t="s">
        <x:v>738</x:v>
      </x:c>
    </x:row>
    <x:row r="40">
      <x:c r="B40" t="s">
        <x:v>768</x:v>
      </x:c>
      <x:c r="C40" s="154">
        <x:v>18</x:v>
      </x:c>
      <x:c r="D40" t="s">
        <x:v>769</x:v>
      </x:c>
      <x:c r="E40" t="s">
        <x:v>770</x:v>
      </x:c>
      <x:c r="F40" t="s">
        <x:v>724</x:v>
      </x:c>
      <x:c r="G40" t="s">
        <x:v>771</x:v>
      </x:c>
    </x:row>
    <x:row r="41">
      <x:c r="B41" t="s">
        <x:v>772</x:v>
      </x:c>
      <x:c r="C41" s="154">
        <x:v>19</x:v>
      </x:c>
      <x:c r="D41" t="s">
        <x:v>773</x:v>
      </x:c>
      <x:c r="E41" t="s">
        <x:v>767</x:v>
      </x:c>
      <x:c r="F41" t="s">
        <x:v>724</x:v>
      </x:c>
      <x:c r="G41" t="s">
        <x:v>774</x:v>
      </x:c>
    </x:row>
    <x:row r="42">
      <x:c r="B42" t="s">
        <x:v>775</x:v>
      </x:c>
      <x:c r="C42" s="154">
        <x:v>20</x:v>
      </x:c>
      <x:c r="D42" t="s">
        <x:v>776</x:v>
      </x:c>
      <x:c r="E42" t="s">
        <x:v>767</x:v>
      </x:c>
      <x:c r="F42" t="s">
        <x:v>724</x:v>
      </x:c>
      <x:c r="G42" t="s">
        <x:v>777</x:v>
      </x:c>
    </x:row>
    <x:row r="43">
      <x:c r="B43" t="s">
        <x:v>778</x:v>
      </x:c>
      <x:c r="C43" s="154">
        <x:v>21</x:v>
      </x:c>
      <x:c r="D43" t="s">
        <x:v>779</x:v>
      </x:c>
      <x:c r="E43" t="s">
        <x:v>767</x:v>
      </x:c>
      <x:c r="F43" t="s">
        <x:v>724</x:v>
      </x:c>
      <x:c r="G43" t="s">
        <x:v>780</x:v>
      </x:c>
    </x:row>
    <x:row r="44" ht="30">
      <x:c r="B44" t="s">
        <x:v>781</x:v>
      </x:c>
      <x:c r="C44" s="154">
        <x:v>22</x:v>
      </x:c>
      <x:c r="D44" t="s">
        <x:v>782</x:v>
      </x:c>
      <x:c r="F44" t="s">
        <x:v>724</x:v>
      </x:c>
      <x:c r="G44" s="39" t="s">
        <x:v>783</x:v>
      </x:c>
    </x:row>
    <x:row r="45">
      <x:c r="B45" t="s">
        <x:v>784</x:v>
      </x:c>
      <x:c r="C45" s="154">
        <x:v>23</x:v>
      </x:c>
      <x:c r="D45" t="s">
        <x:v>785</x:v>
      </x:c>
      <x:c r="F45" t="s">
        <x:v>724</x:v>
      </x:c>
      <x:c r="G45" t="s">
        <x:v>777</x:v>
      </x:c>
    </x:row>
    <x:row r="46">
      <x:c r="B46" t="s">
        <x:v>786</x:v>
      </x:c>
      <x:c r="C46" s="154">
        <x:v>24</x:v>
      </x:c>
      <x:c r="D46" t="s">
        <x:v>787</x:v>
      </x:c>
      <x:c r="F46" t="s">
        <x:v>724</x:v>
      </x:c>
      <x:c r="G46" t="s">
        <x:v>780</x:v>
      </x:c>
    </x:row>
    <x:row r="47">
      <x:c r="B47" t="s">
        <x:v>788</x:v>
      </x:c>
      <x:c r="C47" s="154">
        <x:v>25</x:v>
      </x:c>
      <x:c r="D47" t="s">
        <x:v>789</x:v>
      </x:c>
      <x:c r="F47" t="s">
        <x:v>724</x:v>
      </x:c>
      <x:c r="G47" t="s">
        <x:v>774</x:v>
      </x:c>
    </x:row>
    <x:row r="48">
      <x:c r="B48" t="s">
        <x:v>790</x:v>
      </x:c>
      <x:c r="C48" s="154">
        <x:v>26</x:v>
      </x:c>
      <x:c r="D48" t="s">
        <x:v>791</x:v>
      </x:c>
      <x:c r="F48" t="s">
        <x:v>724</x:v>
      </x:c>
      <x:c r="G48" t="s">
        <x:v>777</x:v>
      </x:c>
    </x:row>
    <x:row r="49">
      <x:c r="B49" t="s">
        <x:v>792</x:v>
      </x:c>
      <x:c r="C49" s="154">
        <x:v>27</x:v>
      </x:c>
      <x:c r="D49" t="s">
        <x:v>793</x:v>
      </x:c>
      <x:c r="F49" t="s">
        <x:v>724</x:v>
      </x:c>
      <x:c r="G49" t="s">
        <x:v>780</x:v>
      </x:c>
    </x:row>
  </x:sheetData>
  <x:pageMargins left="0.7" right="0.7" top="0.75" bottom="0.75" header="0.3" footer="0.3"/>
</x:worksheet>
</file>