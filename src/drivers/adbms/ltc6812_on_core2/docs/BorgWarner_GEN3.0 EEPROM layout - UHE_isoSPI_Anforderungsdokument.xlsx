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G:\John Evans\Projects\BMU replacement\"/>
    </mc:Choice>
  </mc:AlternateContent>
  <xr:revisionPtr revIDLastSave="0" documentId="8_{93F98AA5-FA9D-422B-A951-F098BFF97BF6}" xr6:coauthVersionLast="47" xr6:coauthVersionMax="47" xr10:uidLastSave="{00000000-0000-0000-0000-000000000000}"/>
  <bookViews>
    <workbookView xWindow="28680" yWindow="-120" windowWidth="29040" windowHeight="16440" tabRatio="739" firstSheet="9" activeTab="9" xr2:uid="{00000000-000D-0000-FFFF-FFFF00000000}"/>
  </bookViews>
  <sheets>
    <sheet name="Deckblatt" sheetId="1" r:id="rId1"/>
    <sheet name="Anforderung Kunde - System" sheetId="17" r:id="rId2"/>
    <sheet name="Anforderung Abteilungen" sheetId="18" r:id="rId3"/>
    <sheet name="Maßnahmen" sheetId="10" state="hidden" r:id="rId4"/>
    <sheet name="Beschreibung" sheetId="11" r:id="rId5"/>
    <sheet name="Listen" sheetId="16" r:id="rId6"/>
    <sheet name="EEPROM Write Ablaufplan" sheetId="38" r:id="rId7"/>
    <sheet name="EEPROM Content Flags" sheetId="37" r:id="rId8"/>
    <sheet name="isoSPI EEPROM Initialisierung" sheetId="36" r:id="rId9"/>
    <sheet name="EEPROM Speicheraufteilung" sheetId="35" r:id="rId10"/>
    <sheet name="Speicheraufteilung BMU" sheetId="31" r:id="rId11"/>
    <sheet name="Zuordnung Temperatursensoren" sheetId="33" r:id="rId12"/>
    <sheet name="Schematischer Aufbau " sheetId="32" r:id="rId13"/>
    <sheet name="isoSPI Error Flags" sheetId="34" r:id="rId14"/>
  </sheets>
  <externalReferences>
    <externalReference r:id="rId15"/>
  </externalReferences>
  <definedNames>
    <definedName name="_xlnm._FilterDatabase" localSheetId="2" hidden="1">'Anforderung Abteilungen'!$A$3:$H$39</definedName>
    <definedName name="_xlnm._FilterDatabase" localSheetId="1" hidden="1">'Anforderung Kunde - System'!$A$3:$K$505</definedName>
    <definedName name="Arbeitsergebnisse" localSheetId="2">#REF!</definedName>
    <definedName name="Arbeitsergebnisse" localSheetId="1">#REF!</definedName>
    <definedName name="Arbeitsergebnisse">#REF!</definedName>
    <definedName name="BMU_Adressierung_via_DIO_Inputs">#REF!</definedName>
    <definedName name="BMU_Selbsthaltung">#REF!</definedName>
    <definedName name="Deaktivierung_des_externen_Watchdogs_während_der_Bootloader_Phase">#REF!</definedName>
    <definedName name="DIA" localSheetId="2">#REF!</definedName>
    <definedName name="DIA" localSheetId="1">#REF!</definedName>
    <definedName name="DIA">#REF!</definedName>
    <definedName name="External_Watchdog">#REF!</definedName>
    <definedName name="Hardware_Versionserkennung_via_ADC_Inputs">#REF!</definedName>
    <definedName name="Independency" localSheetId="2">#REF!</definedName>
    <definedName name="Independency" localSheetId="1">#REF!</definedName>
    <definedName name="Independency">#REF!</definedName>
    <definedName name="Ja_Nein" localSheetId="2">#REF!</definedName>
    <definedName name="Ja_Nein" localSheetId="1">#REF!</definedName>
    <definedName name="Ja_Nein">#REF!</definedName>
    <definedName name="Kompatibilitätsliste">#REF!</definedName>
    <definedName name="MaterialNummern">[1]STUECKLISTE!$C$11:$C$135</definedName>
    <definedName name="Meilensteine" localSheetId="2">#REF!</definedName>
    <definedName name="Meilensteine" localSheetId="1">#REF!</definedName>
    <definedName name="Meilensteine">#REF!</definedName>
    <definedName name="Meilensteintyp" localSheetId="2">#REF!</definedName>
    <definedName name="Meilensteintyp" localSheetId="1">#REF!</definedName>
    <definedName name="Meilensteintyp">#REF!</definedName>
    <definedName name="ndklsö" localSheetId="2">#REF!</definedName>
    <definedName name="ndklsö" localSheetId="1">#REF!</definedName>
    <definedName name="ndklsö">#REF!</definedName>
    <definedName name="Pin_Belegung_für_CAN_Knoten_0_der_BMU">#REF!</definedName>
    <definedName name="Pin_Belegung_für_den_CAN_Bootloader_der_BMU">#REF!</definedName>
    <definedName name="_xlnm.Print_Area" localSheetId="1">'Anforderung Kunde - System'!$A$1:$H$167</definedName>
    <definedName name="QS_Status" localSheetId="2">#REF!</definedName>
    <definedName name="QS_Status" localSheetId="1">#REF!</definedName>
    <definedName name="QS_Status">#REF!</definedName>
    <definedName name="Rhythmus" localSheetId="2">#REF!</definedName>
    <definedName name="Rhythmus" localSheetId="1">#REF!</definedName>
    <definedName name="Rhythmus">#REF!</definedName>
    <definedName name="Status" localSheetId="2">#REF!</definedName>
    <definedName name="Status" localSheetId="1">#REF!</definedName>
    <definedName name="Status">#REF!</definedName>
    <definedName name="Versionsverwaltung" localSheetId="2">#REF!</definedName>
    <definedName name="Versionsverwaltung" localSheetId="1">#REF!</definedName>
    <definedName name="Versionsverwaltung">#REF!</definedName>
    <definedName name="Watchdog_verhindern">#REF!</definedName>
    <definedName name="Watchdog_zulassen">#REF!</definedName>
    <definedName name="Zustandsbeschreibung_für_P23.3">#REF!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8" i="35" l="1"/>
  <c r="F5" i="35"/>
  <c r="D21" i="35"/>
  <c r="F13" i="35"/>
  <c r="F21" i="35"/>
  <c r="F30" i="35"/>
  <c r="F39" i="35"/>
  <c r="F77" i="35"/>
  <c r="F58" i="35"/>
  <c r="H29" i="35"/>
  <c r="H38" i="35"/>
  <c r="H76" i="35"/>
  <c r="H57" i="35"/>
  <c r="H14" i="35"/>
  <c r="H15" i="35" s="1"/>
  <c r="H16" i="35" s="1"/>
  <c r="H17" i="35" s="1"/>
  <c r="H18" i="35" s="1"/>
  <c r="H19" i="35" s="1"/>
  <c r="H20" i="35" s="1"/>
  <c r="H31" i="35"/>
  <c r="H32" i="35" s="1"/>
  <c r="H33" i="35" s="1"/>
  <c r="H34" i="35" s="1"/>
  <c r="H35" i="35" s="1"/>
  <c r="H36" i="35" s="1"/>
  <c r="H37" i="35" s="1"/>
  <c r="H59" i="35"/>
  <c r="H60" i="35" s="1"/>
  <c r="H61" i="35" s="1"/>
  <c r="H62" i="35" s="1"/>
  <c r="H63" i="35" s="1"/>
  <c r="H64" i="35" s="1"/>
  <c r="H65" i="35" s="1"/>
  <c r="H66" i="35" s="1"/>
  <c r="H67" i="35" s="1"/>
  <c r="H68" i="35" s="1"/>
  <c r="H69" i="35" s="1"/>
  <c r="H70" i="35" s="1"/>
  <c r="H71" i="35" s="1"/>
  <c r="H72" i="35" s="1"/>
  <c r="H73" i="35" s="1"/>
  <c r="H74" i="35" s="1"/>
  <c r="H75" i="35" s="1"/>
  <c r="E13" i="35"/>
  <c r="E5" i="35"/>
  <c r="H22" i="35"/>
  <c r="H23" i="35" s="1"/>
  <c r="H24" i="35" s="1"/>
  <c r="H25" i="35" s="1"/>
  <c r="H26" i="35" s="1"/>
  <c r="H27" i="35" s="1"/>
  <c r="H28" i="35" s="1"/>
  <c r="H6" i="35"/>
  <c r="H7" i="35" s="1"/>
  <c r="H8" i="35" s="1"/>
  <c r="H9" i="35" s="1"/>
  <c r="H10" i="35" s="1"/>
  <c r="H11" i="35" s="1"/>
  <c r="H12" i="35" s="1"/>
  <c r="H40" i="35"/>
  <c r="H41" i="35" s="1"/>
  <c r="H42" i="35" s="1"/>
  <c r="H43" i="35" s="1"/>
  <c r="H44" i="35" s="1"/>
  <c r="H45" i="35" s="1"/>
  <c r="H46" i="35" s="1"/>
  <c r="H47" i="35" s="1"/>
  <c r="H48" i="35" s="1"/>
  <c r="H49" i="35" s="1"/>
  <c r="H50" i="35" s="1"/>
  <c r="H51" i="35" s="1"/>
  <c r="H52" i="35" s="1"/>
  <c r="H53" i="35" s="1"/>
  <c r="H54" i="35" s="1"/>
  <c r="H55" i="35" s="1"/>
  <c r="H56" i="35" s="1"/>
  <c r="D14" i="35"/>
  <c r="D15" i="35" s="1"/>
  <c r="D16" i="35" s="1"/>
  <c r="D17" i="35" s="1"/>
  <c r="D18" i="35" s="1"/>
  <c r="D19" i="35" s="1"/>
  <c r="D20" i="35" s="1"/>
  <c r="E20" i="35" s="1"/>
  <c r="D6" i="35"/>
  <c r="D7" i="35" s="1"/>
  <c r="D8" i="35" s="1"/>
  <c r="D9" i="35" s="1"/>
  <c r="D10" i="35" s="1"/>
  <c r="D11" i="35" s="1"/>
  <c r="D12" i="35" s="1"/>
  <c r="E12" i="35" s="1"/>
  <c r="D22" i="35" l="1"/>
  <c r="E22" i="35" s="1"/>
  <c r="F78" i="35"/>
  <c r="E21" i="35"/>
  <c r="E19" i="35"/>
  <c r="E11" i="35"/>
  <c r="E18" i="35"/>
  <c r="E10" i="35"/>
  <c r="E17" i="35"/>
  <c r="E9" i="35"/>
  <c r="E16" i="35"/>
  <c r="E8" i="35"/>
  <c r="E15" i="35"/>
  <c r="E7" i="35"/>
  <c r="E14" i="35"/>
  <c r="E6" i="35"/>
  <c r="E34" i="31"/>
  <c r="E14" i="31"/>
  <c r="E13" i="31"/>
  <c r="E12" i="31"/>
  <c r="E11" i="31"/>
  <c r="E10" i="31"/>
  <c r="E4" i="31"/>
  <c r="D23" i="35" l="1"/>
  <c r="D24" i="35"/>
  <c r="E23" i="35"/>
  <c r="D25" i="35" l="1"/>
  <c r="E24" i="35"/>
  <c r="D26" i="35" l="1"/>
  <c r="E25" i="35"/>
  <c r="D27" i="35" l="1"/>
  <c r="E26" i="35"/>
  <c r="D28" i="35" l="1"/>
  <c r="E27" i="35"/>
  <c r="D29" i="35" l="1"/>
  <c r="E28" i="35"/>
  <c r="E29" i="35" l="1"/>
  <c r="D30" i="35"/>
  <c r="E30" i="35" l="1"/>
  <c r="D31" i="35"/>
  <c r="E31" i="35" l="1"/>
  <c r="D32" i="35"/>
  <c r="D33" i="35" l="1"/>
  <c r="E32" i="35"/>
  <c r="D34" i="35" l="1"/>
  <c r="E33" i="35"/>
  <c r="E34" i="35" l="1"/>
  <c r="D35" i="35"/>
  <c r="E35" i="35" l="1"/>
  <c r="D36" i="35"/>
  <c r="D37" i="35" l="1"/>
  <c r="E36" i="35"/>
  <c r="E37" i="35" l="1"/>
  <c r="D38" i="35"/>
  <c r="E38" i="35" l="1"/>
  <c r="D39" i="35"/>
  <c r="E39" i="35" l="1"/>
  <c r="D40" i="35"/>
  <c r="D41" i="35" l="1"/>
  <c r="E40" i="35"/>
  <c r="D42" i="35" l="1"/>
  <c r="E41" i="35"/>
  <c r="D43" i="35" l="1"/>
  <c r="E42" i="35"/>
  <c r="D44" i="35" l="1"/>
  <c r="E43" i="35"/>
  <c r="D45" i="35" l="1"/>
  <c r="E44" i="35"/>
  <c r="D46" i="35" l="1"/>
  <c r="E45" i="35"/>
  <c r="D47" i="35" l="1"/>
  <c r="E46" i="35"/>
  <c r="D48" i="35" l="1"/>
  <c r="E47" i="35"/>
  <c r="D49" i="35" l="1"/>
  <c r="E48" i="35"/>
  <c r="D50" i="35" l="1"/>
  <c r="E49" i="35"/>
  <c r="E50" i="35" l="1"/>
  <c r="D51" i="35"/>
  <c r="D52" i="35" l="1"/>
  <c r="E51" i="35"/>
  <c r="D53" i="35" l="1"/>
  <c r="E52" i="35"/>
  <c r="D54" i="35" l="1"/>
  <c r="E53" i="35"/>
  <c r="D55" i="35" l="1"/>
  <c r="E54" i="35"/>
  <c r="D56" i="35" l="1"/>
  <c r="E55" i="35"/>
  <c r="D57" i="35" l="1"/>
  <c r="E56" i="35"/>
  <c r="D58" i="35" l="1"/>
  <c r="E57" i="35"/>
  <c r="D59" i="35" l="1"/>
  <c r="E58" i="35"/>
  <c r="D60" i="35" l="1"/>
  <c r="E59" i="35"/>
  <c r="E60" i="35" l="1"/>
  <c r="D61" i="35"/>
  <c r="D62" i="35" l="1"/>
  <c r="E61" i="35"/>
  <c r="D63" i="35" l="1"/>
  <c r="E62" i="35"/>
  <c r="E63" i="35" l="1"/>
  <c r="D64" i="35"/>
  <c r="E64" i="35" l="1"/>
  <c r="D65" i="35"/>
  <c r="D66" i="35" l="1"/>
  <c r="E65" i="35"/>
  <c r="E66" i="35" l="1"/>
  <c r="D67" i="35"/>
  <c r="D68" i="35" l="1"/>
  <c r="E67" i="35"/>
  <c r="E68" i="35" l="1"/>
  <c r="D69" i="35"/>
  <c r="E69" i="35" l="1"/>
  <c r="D70" i="35"/>
  <c r="D71" i="35" l="1"/>
  <c r="E70" i="35"/>
  <c r="D72" i="35" l="1"/>
  <c r="E71" i="35"/>
  <c r="D73" i="35" l="1"/>
  <c r="E72" i="35"/>
  <c r="E73" i="35" l="1"/>
  <c r="D74" i="35"/>
  <c r="D75" i="35" l="1"/>
  <c r="E74" i="35"/>
  <c r="D76" i="35" l="1"/>
  <c r="E75" i="35"/>
  <c r="D77" i="35" l="1"/>
  <c r="E77" i="35" s="1"/>
  <c r="E76" i="35"/>
</calcChain>
</file>

<file path=xl/sharedStrings.xml><?xml version="1.0" encoding="utf-8"?>
<sst xmlns="http://schemas.openxmlformats.org/spreadsheetml/2006/main" count="1369" uniqueCount="795">
  <si>
    <t>Pflichten-/Lastenheft</t>
  </si>
  <si>
    <t>Projekt</t>
  </si>
  <si>
    <t>UHE isoSPI</t>
  </si>
  <si>
    <t>Datum</t>
  </si>
  <si>
    <t>Änderungshistorie</t>
  </si>
  <si>
    <t>Version</t>
  </si>
  <si>
    <t>Änderungsbeschreibung</t>
  </si>
  <si>
    <t>Status</t>
  </si>
  <si>
    <t>Autor</t>
  </si>
  <si>
    <t>1.0.0</t>
  </si>
  <si>
    <t>Initial</t>
  </si>
  <si>
    <t>In Arbeit</t>
  </si>
  <si>
    <t>RRa</t>
  </si>
  <si>
    <t>1.0.1</t>
  </si>
  <si>
    <t>EEPROM Anforderungen hinzugefügt</t>
  </si>
  <si>
    <t>1.0.2</t>
  </si>
  <si>
    <t>Anforderungen zu den Sicherheitsmaßnahmen (mit RRa, DWe, MFl, JEr)</t>
  </si>
  <si>
    <t>WIn</t>
  </si>
  <si>
    <t>1.0.3</t>
  </si>
  <si>
    <t>1.0.4</t>
  </si>
  <si>
    <t>1.0.5</t>
  </si>
  <si>
    <t>1.0.6</t>
  </si>
  <si>
    <t>EEPROM-Speicheraufteilung überarbeitet</t>
  </si>
  <si>
    <t>PSc</t>
  </si>
  <si>
    <t>1.0.7</t>
  </si>
  <si>
    <t xml:space="preserve">Anforderungen zu den Sicherheitsmaßnahmen (mit RRa, DWe, JEr) </t>
  </si>
  <si>
    <t>1.0.8</t>
  </si>
  <si>
    <t>Update offene Punkte</t>
  </si>
  <si>
    <t>1.0.9</t>
  </si>
  <si>
    <t>erste Anforderungen zu Fehlerbehandlungen</t>
  </si>
  <si>
    <t>1.0.10</t>
  </si>
  <si>
    <t>Anforderungen zum Errorhandling bei den Sicherheitsmaßnahmen (mit JEr, DWe, RMa)</t>
  </si>
  <si>
    <t>1.0.11</t>
  </si>
  <si>
    <t>Ergänzung der offenen Punkte (vgl. JIRA BMU-292)</t>
  </si>
  <si>
    <t>1.0.12</t>
  </si>
  <si>
    <t>isoSPI Cell Balancing Anforderungen (mit JEr, MFl)</t>
  </si>
  <si>
    <t>1.0.13</t>
  </si>
  <si>
    <t>Anforderungen zum SMs entsprechend Safety Manual V1.6 angepasst (mit JEr, RMr)</t>
  </si>
  <si>
    <t>Rra</t>
  </si>
  <si>
    <t>1.0.14</t>
  </si>
  <si>
    <t>"Anforderung Abteilungen" updates:
- Anforderungs-IDs hinzugefügt
- Quellenverweis (Safety Manual ID) auf übergeordnete Anforderungen hinzugefügt
- ID REQ_LTC_SM_017 angepasst
- IDs REQ_LTC_SM_016 &amp; 021 &amp; 034 &amp; 036-044 gestrichen</t>
  </si>
  <si>
    <t>RMr</t>
  </si>
  <si>
    <t>1.0.15</t>
  </si>
  <si>
    <t>Update Anforderungen</t>
  </si>
  <si>
    <t>Rra, Nra, PSc</t>
  </si>
  <si>
    <t>Dokumentenfreigabe</t>
  </si>
  <si>
    <t>Reviewnachweis</t>
  </si>
  <si>
    <t>Review</t>
  </si>
  <si>
    <t>Freigabe</t>
  </si>
  <si>
    <t>Dokumentenbeschreibung</t>
  </si>
  <si>
    <t xml:space="preserve">Dokumentennummer </t>
  </si>
  <si>
    <t>Name des Dokuments</t>
  </si>
  <si>
    <t>Offene Punkte</t>
  </si>
  <si>
    <t>Freigabeprozess</t>
  </si>
  <si>
    <t>Rolle</t>
  </si>
  <si>
    <t>Name</t>
  </si>
  <si>
    <t>Unterschrift</t>
  </si>
  <si>
    <t>Erstellt von</t>
  </si>
  <si>
    <t>Geprüft durch</t>
  </si>
  <si>
    <t>Freigegeben durch</t>
  </si>
  <si>
    <t>Kapitelüberschrift</t>
  </si>
  <si>
    <t>Kundenanforderung</t>
  </si>
  <si>
    <t>Kompo-nente</t>
  </si>
  <si>
    <t>JIRA</t>
  </si>
  <si>
    <t>Muster-stand</t>
  </si>
  <si>
    <t>Implementierung, Kommentare, Nachweis</t>
  </si>
  <si>
    <t>Abt.-kürzel</t>
  </si>
  <si>
    <t>Besonderes Merkmal</t>
  </si>
  <si>
    <t>Relevant for Supplyer</t>
  </si>
  <si>
    <t>Muss = 0;
Kann = 1;
Inf= Information</t>
  </si>
  <si>
    <t>Anforderungs-ID</t>
  </si>
  <si>
    <t>Beschreibung der Anforderung</t>
  </si>
  <si>
    <t>betroffene Komponenete</t>
  </si>
  <si>
    <t>Ticket Nr.</t>
  </si>
  <si>
    <t>A-Muster, B-Muster, C-Muster, Serie</t>
  </si>
  <si>
    <t>Beschreibung der Umsetzung: Release und Lösung / Verweis auf Lösung</t>
  </si>
  <si>
    <t>PM/SI/EE/
ME/SW</t>
  </si>
  <si>
    <t>DS / DZ</t>
  </si>
  <si>
    <t>open / work / implemented / withdrawn verified</t>
  </si>
  <si>
    <t>QSPI Schnittstelle</t>
  </si>
  <si>
    <t>AK.UHE.SW.0001</t>
  </si>
  <si>
    <t>Die isoSPI-Schnittstelle ist mit QSPI3 anzusprechen.
Der CS (chip select) der Standard isoSPI muss über P23.5 und die reverse isoSPI über P23.4 angesprochen werden.</t>
  </si>
  <si>
    <t>BMU</t>
  </si>
  <si>
    <t>AKATOOL-156</t>
  </si>
  <si>
    <t>A-Muster</t>
  </si>
  <si>
    <t>implemented</t>
  </si>
  <si>
    <t>Inf</t>
  </si>
  <si>
    <t>Info01</t>
  </si>
  <si>
    <t>Die Baudrate des QSPI-Moduls ist auf 1 Mb/s festgelegt.</t>
  </si>
  <si>
    <t>Info02</t>
  </si>
  <si>
    <t>Das QSPI-Modul wird mit CPHA = 1 und CPOL = 0 betrieben.</t>
  </si>
  <si>
    <t>!CPHA, wenn Markus die Änderungen durchführt</t>
  </si>
  <si>
    <t>Konfiguration LTC681x</t>
  </si>
  <si>
    <t>AK.UHE.SW.0002</t>
  </si>
  <si>
    <t>Die ADCs des LTC681x sollen im normalen Modus mit 7 kHz betrieben werden.</t>
  </si>
  <si>
    <t>isoSPI</t>
  </si>
  <si>
    <t>Info03</t>
  </si>
  <si>
    <t>Beim Starten wird keine Zelle entladen.</t>
  </si>
  <si>
    <t>Info04</t>
  </si>
  <si>
    <t>Beim Starten wird der Discharge Timeout disabled.</t>
  </si>
  <si>
    <t>AK.UHE.SW.0003</t>
  </si>
  <si>
    <t>Alle LTC681x internen pull-downs der GPIOs sind durchgehend als inaktiv zu parametrieren.</t>
  </si>
  <si>
    <t>AK.UHE.SW.0004</t>
  </si>
  <si>
    <t>Die maximale Zellspannung ist auf 4,3 V und die minimale Zellspannung auf 2,5 V zu setzen. Die Werte für die minimale und maximale Zellspannung sind in die Konfigurationsregister des LTC681x zu schreiben. Hieraus leiten sich die auslesbaren over- und undervoltage Flags der einzelnen Zellen ab.</t>
  </si>
  <si>
    <t>AK.UHE.SW.0005</t>
  </si>
  <si>
    <t>Der LTC681x soll durchgehend im REFUP state bleiben (einstellbar über das Konfigurationsregister). Dadurch wird eine hohe Wartedauer bei der AD-Konvertierung vermieden.</t>
  </si>
  <si>
    <t>Info05</t>
  </si>
  <si>
    <t>LTC681x Funktionalitäten, die zur funktionalen Sicherheit beitragen, und reverse isoSPI werden noch nicht betrachtet.</t>
  </si>
  <si>
    <t>isoSPI Modul</t>
  </si>
  <si>
    <t>AK.UHE.SW.0006</t>
  </si>
  <si>
    <t>Die Task-Periodendauer ist auf 1 s festzulegen. Dies entspricht der bisherigen repeat rate der CAN messages der BMS-S (CSC).</t>
  </si>
  <si>
    <t>ggf. Anpassung notwendig</t>
  </si>
  <si>
    <t>AK.UHE.SW.0007</t>
  </si>
  <si>
    <t>Der isoSPI task ist auf Core 1 auszuführen. Ein Umzug auf Core 0 ist aufgrund des geringen, zur Verfügung stehenden Speichers zur Zeit nicht vorgesehen.</t>
  </si>
  <si>
    <t>AK.UHE.SW.0008</t>
  </si>
  <si>
    <t>Die Anzahl der Module und der zu messenden Zellen, sowie der LTC ICs pro Modul sollen über Makros einstellbar sein.</t>
  </si>
  <si>
    <t>AK.UHE.SW.0009</t>
  </si>
  <si>
    <t>Der isoSPI Task soll CAN messages senden, welche der angepassten akaCAN Matrix "AkaCAN_Matrix_BMU_UHE.xlsx" entsprechen.</t>
  </si>
  <si>
    <t>AK.UHE.SW.0010</t>
  </si>
  <si>
    <t>Der isoSPI Task soll CAN Messages, zum Schreiben von Daten in das moduleigene EEPROM, empfangen</t>
  </si>
  <si>
    <t>AK.UHE.SW.0011</t>
  </si>
  <si>
    <t>Der isoSPI Task soll interne Messages an den BMS-M und den SCU Task senden, welche die aktuellen Moduldaten und Errorflags enthalten.</t>
  </si>
  <si>
    <t>AK.UHE.SW.0054</t>
  </si>
  <si>
    <r>
      <t xml:space="preserve">Alle Werte sollten als u16 abgespeichert außer:
- Temperaturen (f)
</t>
    </r>
    <r>
      <rPr>
        <strike/>
        <sz val="10"/>
        <rFont val="Arial"/>
        <family val="2"/>
      </rPr>
      <t>- Ströme (s32)</t>
    </r>
    <r>
      <rPr>
        <sz val="10"/>
        <rFont val="Arial"/>
        <family val="2"/>
      </rPr>
      <t xml:space="preserve">
- over-/undervoltage flags (u32)
- thermal shutdown occurred (b)</t>
    </r>
  </si>
  <si>
    <t>AK.UHE.SW.0012</t>
  </si>
  <si>
    <t>Da die Anzahl der Temperatursensoren nicht mit der Anzahl der gemessenen Zellspannung übereinstimmt, sind die gemessenen Temperaturen den Spannungen wie folgt zu zuordnen.</t>
  </si>
  <si>
    <t>Info07</t>
  </si>
  <si>
    <r>
      <rPr>
        <strike/>
        <sz val="10"/>
        <rFont val="Arial"/>
        <family val="2"/>
      </rPr>
      <t xml:space="preserve">Ströme und </t>
    </r>
    <r>
      <rPr>
        <sz val="10"/>
        <rFont val="Arial"/>
        <family val="2"/>
      </rPr>
      <t>Temperaturen werden über die Spannungsmessung an den GPIOs bestimmt. Eine Umrechnung ist erforderlich.</t>
    </r>
  </si>
  <si>
    <t>AK.UHE.SW.0013</t>
  </si>
  <si>
    <t>Die beiden Shunt-Stromsensoren sollen eine Möglichkeit der Offset-Kalibrierung erhalten. Hierfür müssen die Stromsensorwerte im stromlosen Zustand erfasst werden. Das Signal zum Start der Offset-Kalibrierung muss von der SCU über das Signal "Start_Curr_Sens_Calib" via CAN kommen.
Ist der gemessene Strom im stromlosen Zustand &lt; 4% wird er im Strom-Kilibrierwertspeicher des EEPROM für jeden Stromsensor separat abgelegt.
Ist der gemessene Strom im stromlosen Zustand &gt;= 4% ist das Error-Flag "BMU_ISOSPI_Error_I_Sensor_Calibration" zusetzen und der Strom-Kilibrierwertspeicher des EEPROM ist auf null zu stzen.</t>
  </si>
  <si>
    <t>Benötigte Zusatztinformation:
-CAN Matrix anpassen
-EEPROM Speicheraufteilung
-ERROR Flag-Liste
Stromerfassung durch CSC bis auf Weiteres gestrichen.</t>
  </si>
  <si>
    <t>withdrawn</t>
  </si>
  <si>
    <t>Info08</t>
  </si>
  <si>
    <r>
      <rPr>
        <b/>
        <sz val="10"/>
        <rFont val="Arial"/>
        <family val="2"/>
      </rPr>
      <t>Daten von LTC681x empfangen:</t>
    </r>
    <r>
      <rPr>
        <sz val="10"/>
        <rFont val="Arial"/>
        <family val="2"/>
      </rPr>
      <t xml:space="preserve">
Es werden zunächst alle AD-Umwandlungen gestartet und abgeschlossen. Anschließend werden die entsprechenden Register ausgelesen. </t>
    </r>
  </si>
  <si>
    <t>Info09</t>
  </si>
  <si>
    <t>Mit einem Befehl kann die Umwandlung mehrerer Registergruppen gestartet werden. Der Status der AD-Umwandlung wird gepollt. Während dieser Zeit darf der LTC681x nicht unterbrochen werden. Die Konvertierungsdauer ist im Datenblatt festgelegt.</t>
  </si>
  <si>
    <t>AK.UHE.SW.0014</t>
  </si>
  <si>
    <r>
      <t>Liegt innerhalb 5 ms kein Poll-Ergebnis vor, ist das Error-Flag "</t>
    </r>
    <r>
      <rPr>
        <i/>
        <u/>
        <sz val="10"/>
        <color theme="10"/>
        <rFont val="Arial"/>
        <family val="2"/>
      </rPr>
      <t xml:space="preserve">BMU_ISOSPI_Error_Timeout_Saf" </t>
    </r>
    <r>
      <rPr>
        <u/>
        <sz val="10"/>
        <color theme="10"/>
        <rFont val="Arial"/>
        <family val="2"/>
      </rPr>
      <t>zu setzen und für alle Daten der zuvor aktive Wert beizubehalten.
Falls ein Timeout aufgetreten ist, sind die ICs erneut aufzuwecken und die Konfigurationsregister zu schreiben.
Falls der Timeout-Fehler dauerhaft auftritt, sind mit großer Wahrscheinlichkeit zu viel Module angeschlossen.</t>
    </r>
  </si>
  <si>
    <t>AKATOOL-162</t>
  </si>
  <si>
    <t>muss angepasst werden, falls ADC-Mode geändert wird (AK.UHE.SW.0002)</t>
  </si>
  <si>
    <t>AK.UHE.SW.0052</t>
  </si>
  <si>
    <t>Falls es zu einem Polling-Timeout kommt, ist das Auslesen der Register abzubrechen.</t>
  </si>
  <si>
    <t>AK.UHE.SW.0033</t>
  </si>
  <si>
    <r>
      <t>Beim pollen der GPIOs ist zusätzlich die Polling Zeit abzufragen.
Ist die Polling-Zeit größer als 5 ms, ist das Error-Flag "</t>
    </r>
    <r>
      <rPr>
        <i/>
        <strike/>
        <u/>
        <sz val="10"/>
        <color theme="10"/>
        <rFont val="Arial"/>
        <family val="2"/>
      </rPr>
      <t>BMU_ISOSPI_Error_Too_many_Modules"</t>
    </r>
    <r>
      <rPr>
        <strike/>
        <u/>
        <sz val="10"/>
        <color theme="10"/>
        <rFont val="Arial"/>
        <family val="2"/>
      </rPr>
      <t xml:space="preserve"> zu setzen, um zu signalisieren, dass mehr als die konfigurierte Zahl Module angeschlossen sind.</t>
    </r>
  </si>
  <si>
    <t>gestrichen, da unter bestimmten Umständen nicht zwischen timeout und too many modules unterschieden werden kann.</t>
  </si>
  <si>
    <t>AK.UHE.SW.0034</t>
  </si>
  <si>
    <t>Wurden noch keine Daten vom LTC681x empfangen, so sind die Spannungs- und Temperaturwerte mit dem Initial-Wert 0xFFFE zu versehen.</t>
  </si>
  <si>
    <t>Mehrwert?</t>
  </si>
  <si>
    <t>AK.UHE.SW.0035</t>
  </si>
  <si>
    <t>Alle zu sendenden Daten sind über den LTC681x mit ein CRC abzusichern und ebenfalls zu senden. Nach Erhalt der Daten sind diese mit dem zugehörigen CRC zu prüfen.
Wird ein CRC-Fehler erkannt, ist das entsprechende Error-Flag zu setzen und für die betroffenen Daten der Wert 0xFFAF zu setzen. Dadurch kann in der SCU und dem BMS-M zwischen korrupten und korrekten Daten unterschieden werden.</t>
  </si>
  <si>
    <t>AK.UHE.SW.0015</t>
  </si>
  <si>
    <t>Die EEPROM-Speicheraufteilung ist entsprechend umzusetzen.</t>
  </si>
  <si>
    <t>AK.UHE.SW.0016</t>
  </si>
  <si>
    <t>Die Anzahl der LTC Chips pro Modul muss über eine Konfigurationsstruktur konfigurierbar sein, um jeden Chip korrekt ansprechen zu können.</t>
  </si>
  <si>
    <t>B-Muster</t>
  </si>
  <si>
    <t xml:space="preserve">Ist hier eine Gegenprüfung mit der konfigurierten Chip-Anzahl auf dem UHE Board nötig? </t>
  </si>
  <si>
    <t>AK.UHE.SW.0017</t>
  </si>
  <si>
    <t>Die Anzahl der Temperatursensoren pro LTC Chip und Modul muss über eine Konfigurationsstruktur konfigurierbar sein, um die korrekte Anzahl an Temperatursensoren auslesen zu können.</t>
  </si>
  <si>
    <t>AK.UHE.SW.0018</t>
  </si>
  <si>
    <t>Die Anzahl der Spannungsmesskanäle pro LTC Chip und Modul muss über eine Konfigurationsstruktur konfigurierbar sein, um die korrekte Anzahl an Spannungskanälen auslesen zu können.</t>
  </si>
  <si>
    <t>AK.UHE.SW.0019</t>
  </si>
  <si>
    <t>Die Zuordnung der LTC DIO-Kanäle muss über eine Konfigurationsstruktur konfigurierbar sein, da sich diese bei unterschiedlichen UHE Varianten verändern kann.</t>
  </si>
  <si>
    <t>Kalibrierung UHE Modul</t>
  </si>
  <si>
    <t>Es ist zunächst keine Kalibrierung durchzuführen. Allerdings ist die Kalibrierung in der EEPROM Speicheraufteilung vorzusehen.</t>
  </si>
  <si>
    <r>
      <t xml:space="preserve">Die Messungen der Zellspannungen ist genauer als die Messung der Gesamtspannung. Daher ist bei der Plausibilisierung eine </t>
    </r>
    <r>
      <rPr>
        <sz val="10"/>
        <color rgb="FFFF0000"/>
        <rFont val="Arial"/>
        <family val="2"/>
      </rPr>
      <t>Ungenauigkeit von …</t>
    </r>
    <r>
      <rPr>
        <sz val="10"/>
        <rFont val="Arial"/>
        <family val="2"/>
      </rPr>
      <t xml:space="preserve"> zu beachten.</t>
    </r>
  </si>
  <si>
    <t>Anforderung an Systemengineering?</t>
  </si>
  <si>
    <t>EEPROM</t>
  </si>
  <si>
    <t>Info19</t>
  </si>
  <si>
    <t xml:space="preserve">Auf jedem Modul befindet sich ein EEPROM (verbunden mit LTC A). </t>
  </si>
  <si>
    <t>Info20</t>
  </si>
  <si>
    <t xml:space="preserve">Bei den verbauten EEPROMs handelt es sich um das Modell M24C08-A125. Das EEPROM hat eine Größe von 1k (= Standardpages). Zusätzlich besitzt das EEPROM eine sogenannte Identifakationspage (= ID Page); diese hat eine Größe von 16 Byte. Der Schreibzugriff kann permament verboten werden (ID Page Lock) </t>
  </si>
  <si>
    <t>Info21</t>
  </si>
  <si>
    <t>Aufgrund der Gestaltung der Module und der Datenübertragung mit Hilfe von Schieberegistern gelten alle Aktionen für alle angeschlossenen EEPROMs. D.h., alle EEPROMs werden z.B. "gleichzeitig" ausgelesen(/geschrieben/ID Page Status abgefragt etc.).</t>
  </si>
  <si>
    <t>AK.UHE.SW.0038</t>
  </si>
  <si>
    <r>
      <t xml:space="preserve">Die </t>
    </r>
    <r>
      <rPr>
        <b/>
        <u/>
        <sz val="9.35"/>
        <color theme="10"/>
        <rFont val="Calibri"/>
        <family val="2"/>
      </rPr>
      <t>Speicheraufteilung</t>
    </r>
    <r>
      <rPr>
        <u/>
        <sz val="9.35"/>
        <color theme="10"/>
        <rFont val="Calibri"/>
        <family val="2"/>
      </rPr>
      <t xml:space="preserve"> der auf den Modulen verbauten EEPROMs ist wie folgt durch zu führen.</t>
    </r>
  </si>
  <si>
    <t>AKATOOL-163</t>
  </si>
  <si>
    <t>Info22</t>
  </si>
  <si>
    <t>Safety und Static Area werden aus Sicherheitsgründen redundant abgelegt. Safety Area A ist dabei in der ID Page des EEPROMs abgelegt, damit diese Werte nach dem Page Lock niemals geschrieben werden können. 
Da die dynamische Area im Betrieb periodisch geschrieben wird, werden dynamische Area A und dynamische Area B alternierend geschrieben. Dadurch wird sichergestellt, dass es (in der Theorie) immer eine Area mit korrekten Daten gibt. Zur Unterscheidung der Schreibreihenfolge beinhalten beide dynamische Areas einen Zähler, der mit jedem Schreibzugriff inkrementiert wird.
Durch ein CRC zu Beginn jeder Area kann die Korrektheit der Daten kontrolliert werden.</t>
  </si>
  <si>
    <t>AK.UHE.SW.0053</t>
  </si>
  <si>
    <t>Das CRC der Safety Area soll über ein CRC16 (Polynom: 0xAC9A; HD=5 bei 241 Bits) gesichert werden. Die anderen Areas über das standartisierte CRC32 (HD = 5 bei 2974 Bits).</t>
  </si>
  <si>
    <t>0</t>
  </si>
  <si>
    <t>AK.UHE.SW.0039</t>
  </si>
  <si>
    <t>Es ist eine BMU-interne Kopie der Inhalte aller EEPROMs der angeschlossenen Module anzulegen (mirrored EEPROM).</t>
  </si>
  <si>
    <t>AK.UHE.SW.0057</t>
  </si>
  <si>
    <t>Error-Flags werden pro Modul gesetzt. Dadurch lassen sich Fehler modulweise analysieren.</t>
  </si>
  <si>
    <t>Info24</t>
  </si>
  <si>
    <t>EEPROM-Lesefehler werden entweder durch einen Fehler in der isoSPI- oder der I²C-Kommunikation ausgelöst. Die entsprechenden Error-Flags ("BadCRC" bzw. "I2CCommunicationFail") werden auf Treiberebene gesetzt.</t>
  </si>
  <si>
    <t>Info25</t>
  </si>
  <si>
    <t>Der gewünschte Ablauf der Initialisierung der EEPROMs ist im Folgenden beschrieben. Außerdem ist auf der verlinkten Seite ein Ablaufplan dargestellt. (ist nicht ganz aktuell)</t>
  </si>
  <si>
    <t>AK.UHE.SW.0040</t>
  </si>
  <si>
    <r>
      <t xml:space="preserve">Beim Aufstarten der BMU sind alle Inhalte der EEPROMs (Standardpages + ID Page) in die mirrored EEPROMs zu kopieren. Falls es zu einem Fehler beim Lesen der EEPROMs kommt, ist das Error-Flag "EEPROMReadFail" (Standardpages) </t>
    </r>
    <r>
      <rPr>
        <strike/>
        <sz val="10"/>
        <rFont val="Arial"/>
        <family val="2"/>
      </rPr>
      <t>bzw. "SafAreaReadFail" (ID Page)</t>
    </r>
    <r>
      <rPr>
        <sz val="10"/>
        <rFont val="Arial"/>
        <family val="2"/>
      </rPr>
      <t xml:space="preserve"> zu setzen. </t>
    </r>
    <r>
      <rPr>
        <strike/>
        <sz val="10"/>
        <rFont val="Arial"/>
        <family val="2"/>
      </rPr>
      <t>Das Schreiben der EEPROMs im weiteren Programmablauf ist zu verhindern (EEPROM write protection).</t>
    </r>
  </si>
  <si>
    <t>AK.UHE.SW.0041</t>
  </si>
  <si>
    <r>
      <t xml:space="preserve">Nach dem erfolgreichen Einlesen der EEPROM Daten ist der Inhalt der EEPROMs auf Korrektheit zu überprüfen und ggf. entsprechende Error-Flags </t>
    </r>
    <r>
      <rPr>
        <strike/>
        <u/>
        <sz val="9.35"/>
        <color theme="10"/>
        <rFont val="Calibri"/>
        <family val="2"/>
      </rPr>
      <t>bzw. ein write-Protection zu setzen</t>
    </r>
    <r>
      <rPr>
        <u/>
        <sz val="9.35"/>
        <color theme="10"/>
        <rFont val="Calibri"/>
        <family val="2"/>
      </rPr>
      <t>.</t>
    </r>
  </si>
  <si>
    <t>AK.UHE.SW.0097</t>
  </si>
  <si>
    <t>Falls in einem Modul eine der dynamischen Areas ein fehlerhaftes CRC enthält, soll die Area mit dem fehlerhaften CRC als nächstes geschrieben werden.</t>
  </si>
  <si>
    <t>AK.UHE.SW.0042</t>
  </si>
  <si>
    <t xml:space="preserve">Ebenfalls sind bei der Initialisierung die Stati (locked/unlocked) aller EEPROM ID Pages auszulesen. Falls es zu einem Lesefehler kommt, ist das Error-Flag "IDPageStatusReadFail" zusetzen. </t>
  </si>
  <si>
    <t xml:space="preserve"> </t>
  </si>
  <si>
    <t>AK.UHE.SW.0043</t>
  </si>
  <si>
    <t>Bei erfolgreichem Lesen der Stati aller ID Pages ist das Error-Flag "IDPageNotLocked" für das jeweilige Modul zu setzen, falls dieses nicht gelockt ist.</t>
  </si>
  <si>
    <t>AK.UHE.SW.0098</t>
  </si>
  <si>
    <t>Die Daten in der Dynamic Area können über die Nachricht Mxxx_WriteEEPROMData modulweise gesetzt werden. Die empfangenen Datenpakete sollen im intern gespiegelten EEPROM abgelegt werden. (Info: Das dauerhafte Abspeichern geschieht über die Nachricht Mxxx_StartLTCTransmission für alle Module)</t>
  </si>
  <si>
    <t>AK.UHE.SW.0099</t>
  </si>
  <si>
    <t>Die Daten in der Safety Area bzw. Static Area können über die Nachricht Mxxx_ConfigurationMessage modulweise gesetzt werden. Die empfangenen Datenpakete sollen im intern gespiegelten EEPROM abgelegt werden. (Info: Das dauerhafte Abspeichern geschieht über die Nachricht Mxxx_StartLTCTransmission für alle Module)</t>
  </si>
  <si>
    <t>AK.UHE.SW.0044</t>
  </si>
  <si>
    <t>Über die CAN-Nachricht Mxxx_StartLTCTransmission sollen  folgende Aktionen bezogen auf alle (!) EEPROMs angestoßen werden können (Das Signal Mxxx_val_ActionIndex in der CAN-Nachricht dient zur Unterscheidung verschiedener Aktionen):
Index 0: Safety Area schreiben
Index 1: Static Area schreiben
Index 2: Dynamic Area schreiben
Index 3: erneutes Lesen aller EEPROMs (inkl. ID Page Status lesen und Inhalte checken)
Index 4: ID Page Status lesen
Index 5: (alle) ID Pages für Schreibzugriffe sperren (ID Page lock)
Index 6: (EOL only) Dynamic Area initialisieren (Counter + CRC setzen)</t>
  </si>
  <si>
    <t>Info26</t>
  </si>
  <si>
    <t>Der gewünschte Ablauf des Programmes bezüglich der EEPROM Funktionalitäten ist im Folgenden beschrieben. Außerdem ist auf der verlinkten Seite ein Ablaufplan dargestellt.</t>
  </si>
  <si>
    <t>Info27</t>
  </si>
  <si>
    <t>Safety und Static Area werden nur im EOL geschrieben. Ebenso wird die ID Page nur im EOL gelockt.</t>
  </si>
  <si>
    <t>AK.UHE.SW.0055</t>
  </si>
  <si>
    <t>- Anforderung ergänzen, die die Behandlung von EOL-Messages im normalen Betrieb spezifizieren
- Anforderungen an diese oder eine andere SW formulieren, die das Flashen der EEPROMs im EOL beschreiben.</t>
  </si>
  <si>
    <t>not ready specified</t>
  </si>
  <si>
    <t>Info28</t>
  </si>
  <si>
    <t xml:space="preserve">Daten, die im EEPROM abgelegt werden sollen, werden über CAN übertragen. </t>
  </si>
  <si>
    <t>AK.UHE.SW.0045</t>
  </si>
  <si>
    <t>Der Ablauf eines Schreibvorgangs einer Area soll folgendermaßen aussehen: Zunächst ist die Area ins EEPROM zu schreiben. Nach erfolgreichem Schreiben ist der Inhalt der geschriebenen Area in einen Buffer zurückzulesen. Nach erfolgreichem Lesen sind die Inhalte der geschriebenen und gelesenen Area zu vergleichen. Wenn alle drei Schritte erfolgreich waren, ist der Schreibvorgang komplett.
Im Fehlerfall sind abhängig von der geschriebenen Area und dem Schritt (schreiben, lesen, verifizieren), in dem der Fehler auftritt, ein Error-Flag zu setzen:
- Mxxx_flag_(Saf/Stat/Dyn)AreaWriteFail
- Mxxx_flag_(Saf/Stat/Dyn)AreaReadFail
- Mxxx_flag_Verify(Saf/Stat/Dyn)WriteFail</t>
  </si>
  <si>
    <t>AK.UHE.SW.0046</t>
  </si>
  <si>
    <r>
      <t xml:space="preserve">Error-Flags sind innerhalb des isoSPI-Moduls vor dem Beginn der jeweiligen Aktion, bei der sie gesetzt werden, zu resetten. 
</t>
    </r>
    <r>
      <rPr>
        <strike/>
        <sz val="10"/>
        <rFont val="Arial"/>
        <family val="2"/>
      </rPr>
      <t>Es ist sicherzustellen, dass das Resetten erst nach dem Versenden der zugehörigen Daten (und der Error-Flags) erfolgt</t>
    </r>
    <r>
      <rPr>
        <sz val="10"/>
        <rFont val="Arial"/>
        <family val="2"/>
      </rPr>
      <t>.</t>
    </r>
  </si>
  <si>
    <t>AK.UHE.SW.0056</t>
  </si>
  <si>
    <t>Verhalten bezüglich aller Error-Flags</t>
  </si>
  <si>
    <t>BMS-M</t>
  </si>
  <si>
    <t>SCU</t>
  </si>
  <si>
    <t>AK.UHE.SW.0047</t>
  </si>
  <si>
    <r>
      <t xml:space="preserve">Die Vorgabe, welche dynamische Area beim nächsten Schreibvorgang geschrieben werden soll, </t>
    </r>
    <r>
      <rPr>
        <i/>
        <strike/>
        <sz val="10"/>
        <rFont val="Arial"/>
        <family val="2"/>
      </rPr>
      <t>kann</t>
    </r>
    <r>
      <rPr>
        <strike/>
        <sz val="10"/>
        <rFont val="Arial"/>
        <family val="2"/>
      </rPr>
      <t xml:space="preserve"> über ein Flag erfolgen, welches vom BMS-Master gesetzt wird (true = Area A, false = Area B).
Dem BMS-Master wird über CAN diejenige Area als Flag übermittelt, die als nächstes geschrieben wird (true = Area A, false = Area B). Der BMS-Master muss in diesem Zusammenhang ermitteln, ob die eine oder andere Area mehrmals hintereinander beschrieben wurde.
Hierfür ist für jede Area vom BMS-Master ein Zähler im FRAM abzulegen, welcher inkrementiert wird, wenn auf eine Area mehrmals hintereinander, nicht alternierend, beschrieben wurde.
Ist der Zähler beim BMU Aufstart größer 2, ist ein Warning auszugeben.
Ist der Zähler beim BMU Aufstart größer 4, darf die Batterie nicht zugeschaltet werden.  (Die Zählerständer können bezüglich der Verfügbarkeit noch angepasst werden)
Lassen sich die Area wieder alternierend beschreiben, so sind die Zähler im FRAM auf null zusetzen.</t>
    </r>
  </si>
  <si>
    <t>open</t>
  </si>
  <si>
    <t>AK.UHE.SW.0048</t>
  </si>
  <si>
    <r>
      <t xml:space="preserve">Die Vorgabe, welche dynamische Area beim nächsten Schreibvorgang geschrieben werden soll, </t>
    </r>
    <r>
      <rPr>
        <i/>
        <sz val="10"/>
        <rFont val="Arial"/>
        <family val="2"/>
      </rPr>
      <t>kann</t>
    </r>
    <r>
      <rPr>
        <sz val="10"/>
        <rFont val="Arial"/>
        <family val="2"/>
      </rPr>
      <t xml:space="preserve"> über ein Flag erfolgen, welches über die CAN-Msg </t>
    </r>
    <r>
      <rPr>
        <i/>
        <sz val="10"/>
        <rFont val="Arial"/>
        <family val="2"/>
      </rPr>
      <t xml:space="preserve">Mxxx_EEPROMChangeDynArea </t>
    </r>
    <r>
      <rPr>
        <sz val="10"/>
        <rFont val="Arial"/>
        <family val="2"/>
      </rPr>
      <t xml:space="preserve">an das isoSPI-Modul übermittelt wird (true = Area A, false = Area B).
Die CAN-Msg </t>
    </r>
    <r>
      <rPr>
        <i/>
        <sz val="10"/>
        <rFont val="Arial"/>
        <family val="2"/>
      </rPr>
      <t>Mxxx_EEPROMData</t>
    </r>
    <r>
      <rPr>
        <sz val="10"/>
        <rFont val="Arial"/>
        <family val="2"/>
      </rPr>
      <t xml:space="preserve"> enthält die Information, welche Dynamic Area als nächstes geschrieben wird.</t>
    </r>
  </si>
  <si>
    <t>AK.UHE.SW.0100</t>
  </si>
  <si>
    <t>Die Daten in der Dynamic Area sollen mit Hilfe eines MUX modulweise über die Nachricht Mxxx_EEPROMData auf den akaCAN übertragen werden.</t>
  </si>
  <si>
    <t>AK.UHE.SW.0101</t>
  </si>
  <si>
    <t>Die zuvor definierten EEPROM Error-Flag sollen modulweise über die Nachricht Mxxx_BMSInfo auf den akaCAN übertragen werden.</t>
  </si>
  <si>
    <t>AK.UHE.SW.0102</t>
  </si>
  <si>
    <t>CellType und Topolgy sollen modulweise über die Nachricht Mxxx_ModuleInformation auf den akaCAN übertragen werden.</t>
  </si>
  <si>
    <t>AK.UHE.SW.0103</t>
  </si>
  <si>
    <t>Die Modulseriennummer (high und low) soll modulweise über die Nachricht Mxxx_SlaveSerials auf den akaCAN übertragen werden.</t>
  </si>
  <si>
    <t>UHE EOL-Tester (EEPROM)</t>
  </si>
  <si>
    <t>Info29</t>
  </si>
  <si>
    <t xml:space="preserve">Safety und Static Area werden nur im EOL geschrieben. Ebenso wird die ID Page nur im EOL gelockt. </t>
  </si>
  <si>
    <t>UHE cell balancing</t>
  </si>
  <si>
    <t>Info30</t>
  </si>
  <si>
    <t>Das Cellbalancing der LTC681x kann über die DCCx-Flags in den Konfiguration Register Gruppen oder die S-Pins über die S-Pin/PWM-Register Gruppen gesteuert werden.</t>
  </si>
  <si>
    <t>AK.UHE.SW.0058</t>
  </si>
  <si>
    <t>Für das Cell balancing sollen die S Pins in den S-Pin/PWM-Register Gruppen genutzt werden.</t>
  </si>
  <si>
    <t>AK.UHE.SW.0060</t>
  </si>
  <si>
    <t>Nach jedem Schreiben der Konfigurationsregistergruppen müssen die S-Pin/PWM-Register Gruppen erneut geschrieben werden.</t>
  </si>
  <si>
    <t>AK.UHE.SW.0059</t>
  </si>
  <si>
    <t>Die Balancing Flags sollen wie zuvor über CAN empfangen werden und zunächst in den gespiegelten, internen LTC-Registern gespeichert werden. Einmal pro Sekunde sollen die Werte aus den gespiegelten Registern in die LTCs geschrieben werden.</t>
  </si>
  <si>
    <t>AK.UHE.SW.0061</t>
  </si>
  <si>
    <t>Während der Messung der Zellspannung ist das Balancing abzuschalten. Dazu sollen die Kommandos MUTE und UNMUTE verwendet werden. Es ist ein Delay (1 ms) nach dem MUTE Kommando einzufügen, um keine Einflüsse der Balancing Ströme mehr zu sehen. (vgl. Kap. "DISCHARGE CONTROL DURING CELL MEASUREMENTS" im Datenblatt)</t>
  </si>
  <si>
    <t>Info31</t>
  </si>
  <si>
    <t>Es ist möglich, das Balancen auch nach einem Watchdog Timeout der LTCs weiterzuführen, wenn DTEN mit VREG verbunden ist (was bei uns der Fall ist). Die Balance-Dauer nach einem Timeout kann über die Bits "DCTO" in den Konfigurationsregistergruppen auf eine festgelegte Dauer gesetzt werden.</t>
  </si>
  <si>
    <t>AK.UHE.SW.0062</t>
  </si>
  <si>
    <t>Nach einem Watchdog Timeout soll nicht weiter gebalanced werden. Die DCTO Bits sind dementsprechend auf 0 zu setzen.</t>
  </si>
  <si>
    <t>-&gt; Verschleiß E-Teile?</t>
  </si>
  <si>
    <t>Interne Anforderungen</t>
  </si>
  <si>
    <t>Implementierung</t>
  </si>
  <si>
    <t>Muss = 0;
Kann = 1</t>
  </si>
  <si>
    <t>Safety Manual-ID</t>
  </si>
  <si>
    <t>betroffene Steuer-geräte</t>
  </si>
  <si>
    <t>Prototyp, Pre-Series, Prototyp + Pre-Series</t>
  </si>
  <si>
    <t>SI/EE/
ME/SW</t>
  </si>
  <si>
    <t>REQ_LTC_SM_001</t>
  </si>
  <si>
    <t>5.3_SM1</t>
  </si>
  <si>
    <t>Der Sicherheitsmechanismus "MUX Decoder Check" soll spätestens alle x Sekunden durchgeführt werden (x (Entdeckungszeit) ist noch von der Systementwicklung zu definieren).</t>
  </si>
  <si>
    <t>Protoyp + Pre-Series</t>
  </si>
  <si>
    <t>SI</t>
  </si>
  <si>
    <t>REQ_LTC_SM_002</t>
  </si>
  <si>
    <t>Nach einem fehlgeschlagenen MUX Decoder Check sol die BMU_ISOPSI-Software ein Fehlerflag (t.b.d.) in BMS_Info setzen.</t>
  </si>
  <si>
    <t>SW</t>
  </si>
  <si>
    <t>REQ_LTC_SM_003</t>
  </si>
  <si>
    <t>Vor dem MUX Decoder Check muss ein CLRSTAT durchgeführt werden.</t>
  </si>
  <si>
    <t>REQ_LTC_SM_004</t>
  </si>
  <si>
    <t>5.3_SM2</t>
  </si>
  <si>
    <t>Innerhalb der Entdeckungszeit (Minimum aus Entdeckungszeit für Temperaturüberwachung und Spannungsüberwachung) ist zyklisch die Spannung VREF2 zu messen. Der Wert dieser Spannung muss im Bereich 2,990V bis 3,014V liegen.</t>
  </si>
  <si>
    <t>REQ_LTC_SM_005</t>
  </si>
  <si>
    <t>Die gemessene Spannung VREF2 für das IC1 und IC2 soll je Modul in den Signalen Mxxx_act_U_DigiPower_IC1_mV und Mxxx_act_U_DigiPower_IC2_mV auf den AkaCAN geschickt werden.</t>
  </si>
  <si>
    <t>BMU_ISOSPI</t>
  </si>
  <si>
    <t>INF_LTC_SM_001</t>
  </si>
  <si>
    <t>Es fehlen noch die Anforderungen zur Auswertung durch SCU und BMSM.</t>
  </si>
  <si>
    <t>REQ_LTC_SM_006</t>
  </si>
  <si>
    <t>5.3_SM3</t>
  </si>
  <si>
    <t>Innerhalb der Entdeckungszeit (Minimum aus Entdeckungszeit für Temperaturüberwachung und Spannungsüberwachung) ist zyklisch die Spannung VREG zu messen. Der Wert dieser Spannung muss im Bereich 4,5V bis 5,5V liegen.</t>
  </si>
  <si>
    <t>REQ_LTC_SM_007</t>
  </si>
  <si>
    <t>Innerhalb der Entdeckungszeit (Minimum aus Entdeckungszeit für Temperaturüberwachung und Spannungsüberwachung) ist zyklisch die Spannung VREGD zu messen. Der Wert dieser Spannung muss im Bereich 2,7V bis 3,6V liegen.</t>
  </si>
  <si>
    <t>REQ_LTC_SM_008</t>
  </si>
  <si>
    <t>Die gemessenen Spannungen VREG und VREGD für das IC1 und IC2 sollen je Modul in den Signalen Mxxx_act_U_DigiPower_IC1_mV und Mxxx_act_U_DigiPower_IC2_mV auf den AkaCAN geschickt werden.</t>
  </si>
  <si>
    <t>INF_LTC_SM_002</t>
  </si>
  <si>
    <t>REQ_LTC_SM_009</t>
  </si>
  <si>
    <t>5.3_SM4</t>
  </si>
  <si>
    <t>Innerhalb der Entdeckungszeit der Spannungsüberwachung ist zyklisch ein open-wire check CV durchzuführen. (SM4)</t>
  </si>
  <si>
    <t>REQ_LTC_SM_010</t>
  </si>
  <si>
    <t>5.3_SM5</t>
  </si>
  <si>
    <t>Die redundante Filterung der ADC-Werte ADCV, ADOW, ADAXD, ADSTATD, AXOW, ADCVAX, ADCVSC, CVST, ADOL, AXST, STATST soll in der Konfiguration PS[1:0] = 00 erfolgen. (SM5) 
Info: wird nach V1.1 implementiert</t>
  </si>
  <si>
    <t>REQ_LTC_SM_011</t>
  </si>
  <si>
    <t>5.3_SM13</t>
  </si>
  <si>
    <t>Die redundante Filterung der ADC-Werte ADAXD soll in der Konfiguration PS[1:0] = 00 erfolgen.
(SM13)</t>
  </si>
  <si>
    <t>INF_LTC_SM_003</t>
  </si>
  <si>
    <t>Info für Test: das Kommando FDRF kann zur Fault Injection für diese Filter verwendet werden.</t>
  </si>
  <si>
    <t>REQ_LTC_SM_012</t>
  </si>
  <si>
    <t>Innerhalb der Entdeckungszeit (Minimum aus Entdeckungszeit für Temperaturüberwachung und Spannungsüberwachung) ist zyklisch das Ergebnis der Redundanzprüfungen der digitalen Filter für die Zellspannungen auszuwerten.</t>
  </si>
  <si>
    <t>INF_LTC_SM_004</t>
  </si>
  <si>
    <t>Hinweis für Test: Im Konfigurationsregister kann ein Flag FDRF gesetzt werden, um diese Prüfungen fehlschlagen zu lassen (fault injection).</t>
  </si>
  <si>
    <t>5.3_SM6</t>
  </si>
  <si>
    <t>Vor jeder Messung der Zellspannung sollen die Register zur Ablage der Messwerte mit dem Befehl CLRCELL auf den Wert FFFF gesetzt werden. (SM6: clear clear CV prior to any cell measurement)</t>
  </si>
  <si>
    <t>REQ_LTC_SM_013</t>
  </si>
  <si>
    <t>5.3_SM9</t>
  </si>
  <si>
    <t>Vor jeder Messung der GPIOs sollen die AUX-Register zur Ablage der Messwerte mit dem Befehl CLRAUX auf den Wert FFFF gesetzt werden. (SM9: clear AUX prior to any GPIO measurement)</t>
  </si>
  <si>
    <t>REQ_LTC_SM_014</t>
  </si>
  <si>
    <t>5.3_SM7</t>
  </si>
  <si>
    <t>Innerhalb der Entdeckungszeit der Spannungsüberwachung ist zyklisch der "digital filter &amp; memory check CV" im Fast Mode mit den Werten 0x9565 und 0x6A9A durchzuführen. (SM7)</t>
  </si>
  <si>
    <t>REQ_LTC_SM_015</t>
  </si>
  <si>
    <t>5.3_SM11</t>
  </si>
  <si>
    <t>Innerhalb der Entdeckungszeit der Temperaturüberwachung ist zyklisch der "digital filter &amp; memory check AUX" im Fast Mode mit den Werten 0x9565 und 0x6A9A durchzuführen. (SM11)</t>
  </si>
  <si>
    <t>REQ_LTC_SM_016</t>
  </si>
  <si>
    <t>5.3_SM12</t>
  </si>
  <si>
    <r>
      <rPr>
        <b/>
        <sz val="10"/>
        <rFont val="Arial"/>
        <family val="2"/>
      </rPr>
      <t>V1.1:</t>
    </r>
    <r>
      <rPr>
        <sz val="10"/>
        <rFont val="Arial"/>
        <family val="2"/>
      </rPr>
      <t xml:space="preserve">
</t>
    </r>
    <r>
      <rPr>
        <strike/>
        <sz val="10"/>
        <rFont val="Arial"/>
        <family val="2"/>
      </rPr>
      <t>Innerhalb der Entdeckungszeit (Minimum aus Entdeckungszeit für Temperaturüberwachung und Spannungsüberwachung) ist zyklisch der "digital filter &amp; memory check STAT" im Fast Mode mit den Werten 0x9565 und 0x6A9A durchzuführen. (SM12)</t>
    </r>
  </si>
  <si>
    <t>REQ_LTC_SM_017</t>
  </si>
  <si>
    <t>5.3_SM8</t>
  </si>
  <si>
    <r>
      <t xml:space="preserve">Innerhalb der Entdeckungszeit der Spannungsüberwachung ist zyklisch die Prüfung "overlap cell measurement" im Normal Mode (7kHz Abstastrate) durchzuführen. Die maximale Abweichung beträgt
</t>
    </r>
    <r>
      <rPr>
        <b/>
        <sz val="10"/>
        <rFont val="Arial"/>
        <family val="2"/>
      </rPr>
      <t>V1.1:</t>
    </r>
    <r>
      <rPr>
        <sz val="10"/>
        <rFont val="Arial"/>
        <family val="2"/>
      </rPr>
      <t xml:space="preserve">
</t>
    </r>
    <r>
      <rPr>
        <strike/>
        <sz val="10"/>
        <rFont val="Arial"/>
        <family val="2"/>
      </rPr>
      <t xml:space="preserve">0,7mV, falls U_cell &lt; 3,3V
0,8mV, falls 3,3V &lt;= U_cell &lt; 4,2V
1,0mV, falls 4,2V &lt; U_Cell
</t>
    </r>
    <r>
      <rPr>
        <b/>
        <sz val="10"/>
        <rFont val="Arial"/>
        <family val="2"/>
      </rPr>
      <t>V1.6:</t>
    </r>
    <r>
      <rPr>
        <sz val="10"/>
        <rFont val="Arial"/>
        <family val="2"/>
      </rPr>
      <t xml:space="preserve">
1,2mV, falls U_cell &lt; 0,8V
2,3mV, falls 0,8V &lt;= U_cell &lt; 2V
3,4mV, falls 2V &lt;= U_cell &lt; 3,3V
4,2mV, falls 3,3V &lt;= U_cell &lt; 4,2V
7,0mV, falls 5V &lt; U_Cell.</t>
    </r>
  </si>
  <si>
    <t>INF_LTC_SM_005</t>
  </si>
  <si>
    <t>Info: Für diese Prüfung wird nur Zelle 6 mit ADC 1 und ADC 2 verwendet. ADC 3 und Zelle 11 werden im System nicht genutzt und in dieser Prüfung nicht berücksichtigt.</t>
  </si>
  <si>
    <t>REQ_LTC_SM_018</t>
  </si>
  <si>
    <t>5.3_SM14</t>
  </si>
  <si>
    <t>Info: Der SM14 muss nicht durchgeführt werden, da wir gemäß Safety Manual SM21, SM30 und eine Plausibilisierung der gemessenen Termperaturen durchführen.</t>
  </si>
  <si>
    <t>REQ_LTC_SM_019</t>
  </si>
  <si>
    <t>5.3_SM16</t>
  </si>
  <si>
    <t>Die BMU-Software soll das CRC jedes über ISOSPI von den Slaves empfangenen Datenpaketes überprüfen. (SM16)</t>
  </si>
  <si>
    <t>REQ_LTC_SM_020</t>
  </si>
  <si>
    <t>Alle an die Slaves gesendeten Datenpakete und Kommandos sind mit einem CRC abzusichern. (SM16)</t>
  </si>
  <si>
    <t>REQ_LTC_SM_021</t>
  </si>
  <si>
    <t>5.3_SM17</t>
  </si>
  <si>
    <t>SM 17 muss noch definiert werden
23.06.2020, Jer, DWe, RRa, WIN: Anforderungen sind erstellt, diese Info ist obsolet.
05.08.2020: RRa,JEr,RMr: wird nach V1.6 gestrichen und soll dementsprechend nicht umgesetzt werden</t>
  </si>
  <si>
    <t>REQ_LTC_SM_022</t>
  </si>
  <si>
    <t>5.3_SM18</t>
  </si>
  <si>
    <t>Innerhalb der Entdeckungszeit der Spannungsüberwachung soll die Software für alle Zellspannungen prüfen, ob sie im erlaubten Zellspannungsbreich liegen (laut Parameter-Sheet). Bei Unterschreitung wird der Fehlercode 1 ausgegeben, bei Überspannung Fehlercode 2. (SM18)</t>
  </si>
  <si>
    <t>REQ_LTC_SM_023</t>
  </si>
  <si>
    <t>5.3_SM19</t>
  </si>
  <si>
    <t>Innerhalb der Entdeckungszeit (Minimum aus Entdeckungszeit für Temperaturüberwachung und Spannungsüberwachung) ist zyklisch das Kommando RDCFGA mit fehlerhaftem CRC an alle LTCs zu schicken. Gibt ein Slave etwas anderes als einen leeren Datensatz zurück, liegt ein Fehler vor. (SM19)</t>
  </si>
  <si>
    <t>REQ_LTC_SM_024</t>
  </si>
  <si>
    <t>5.3_SM20</t>
  </si>
  <si>
    <t>Innerhalb der Entdeckungszeit der Temperaturüberwachung soll die Software für alle Zelltemperaturen prüfen, ob sie im erlaubten Bereich liegen (laut Parameter-Sheet). Bei Unterschreitung wird der Fehlercode 18 (beim Laden) bzw. 20 (beim Entladen) ausgegeben, bei Überschreitung Fehlercode 17 (beim Laden) bzw. 19 (beim Entladen). (SM20)</t>
  </si>
  <si>
    <t>REQ_LTC_SM_025</t>
  </si>
  <si>
    <t>5.3_SM21</t>
  </si>
  <si>
    <r>
      <t xml:space="preserve">Innerhalb der Entdeckungszeit der Temperaturüberwachung ist zyklisch ein open-wire check AUX durchzuführen. (SM21) Hierbei sind aus Gründen der Verfügbarkeit nur GPIOs mit Thermistoren zu überprüfen.
</t>
    </r>
    <r>
      <rPr>
        <sz val="10"/>
        <color rgb="FFFF0000"/>
        <rFont val="Arial"/>
        <family val="2"/>
      </rPr>
      <t>Es muss noch eine zeitliche Betrachtung erfolgen, wie dieser Check und andere innerhalb der Entdeckungszeit untergebracht werden können.</t>
    </r>
  </si>
  <si>
    <t>REQ_LTC_SM_026</t>
  </si>
  <si>
    <t>5.3_SM22</t>
  </si>
  <si>
    <t>Innerhalb der Entdeckungszeit (Minimum aus Entdeckungszeit für Temperaturüberwachung und Spannungsüberwachung) ist zyklisch die Die-Temperatur der  LTCs zu prüfen. Es gilt der Grenzwert aus dem Safety Manual (-40°C…125°C) (SM22)</t>
  </si>
  <si>
    <t>REQ_LTC_SM_027</t>
  </si>
  <si>
    <t>5.3_SM23</t>
  </si>
  <si>
    <t>Innerhalb der Entdeckungszeit der Spannungsüberwachung ist für jedes Modul die Summe der Zellspannungen gegen die Modulspannung zu plausibilisieren. Für die Abweichung gilt der Grenzwert aus dem Parameter-Sheet. (SM23)</t>
  </si>
  <si>
    <t>INF_LTC_SM_006</t>
  </si>
  <si>
    <t>Info: Die Messung der Modulspannungen ist weniger genau als die der Zellspannungen. Ggf. muss das Limit im Parameter-Sheet angepasst werden.</t>
  </si>
  <si>
    <t>REQ_LTC_SM_028</t>
  </si>
  <si>
    <t>5.3_SM26</t>
  </si>
  <si>
    <t>Innerhalb der Entdeckungszeit (Minimum aus Entdeckungszeit für Temperaturüberwachung und Spannungsüberwachung) ist zyklisch  die korrekte Einstellung der Path Selection durch eine Fehlerinjektion zu überprüfen (SM26).</t>
  </si>
  <si>
    <t>INF_LTC_SM_007</t>
  </si>
  <si>
    <t>Info: Für PS=00 und die Messung für Zellen 5, 10, 15 wird abweichend vom Datenblatt der LTCs ADC 3 verwendet. Dadurch wird der Wert für Zelle 15 geprüft. Dieser Fehler im Datenblatt wurde von Analog Devices bestätigt.</t>
  </si>
  <si>
    <t>REQ_LTC_SM_029</t>
  </si>
  <si>
    <t>5.3_SM27</t>
  </si>
  <si>
    <t>Innerhalb der Entdeckungszeit der Spannungsüberwachung ist zyklisch die korrekte Funktion des Discharge-Circuits zu überprüfen. Hierfür ist für alle Zellen die Differenz der gemessenen Zellspannung bei geöffnetem und bei geschlossenem Discharge zu bestimmen. Dabei muss für Zelle n gelten:
0,8 * (2*1 Ohm * Zellspannung / (2*1 Ohm + 36 Ohm (Widestände) + 4 (R_DS(on) des FETs)) &lt;
CV_old(n) - CV_new(n) 
&lt; 1,2 * (2*1 Ohm * Zellspannung / (2*1 Ohm + 36 Ohm (Widestände) + 4 (R_DS(on) des FETs)).
(SM27)</t>
  </si>
  <si>
    <t>INF_LTC_SM_008</t>
  </si>
  <si>
    <t>Zusätzlich zu SM27 kann ein Feature implementiert werden, mit dem überprüft wird, ob einer der parallelen Discharge-Widerstände einen Fehler hat.</t>
  </si>
  <si>
    <t>REQ_LTC_SM_030</t>
  </si>
  <si>
    <t>5.3_SM29</t>
  </si>
  <si>
    <r>
      <t>Innerhalb der Entdeckungszeit der Spannungsüberwachung ist für die Zelle 1 eine Messung mit open Wire und Pull-Up=low durchzuführen. Für die Differenz zwischen dieser Messung und der CV-Messung muss gelten:
V</t>
    </r>
    <r>
      <rPr>
        <vertAlign val="subscript"/>
        <sz val="10"/>
        <rFont val="Arial"/>
        <family val="2"/>
      </rPr>
      <t>ADCV</t>
    </r>
    <r>
      <rPr>
        <sz val="10"/>
        <rFont val="Arial"/>
        <family val="2"/>
      </rPr>
      <t>-V</t>
    </r>
    <r>
      <rPr>
        <vertAlign val="subscript"/>
        <sz val="10"/>
        <rFont val="Arial"/>
        <family val="2"/>
      </rPr>
      <t>ADOW</t>
    </r>
    <r>
      <rPr>
        <sz val="10"/>
        <rFont val="Arial"/>
        <family val="2"/>
      </rPr>
      <t xml:space="preserve"> &gt;= 20mV. 
(SM29)</t>
    </r>
  </si>
  <si>
    <t>REQ_LTC_SM_031</t>
  </si>
  <si>
    <r>
      <t>Innerhalb der Entdeckungszeit der Spannungsüberwachung ist für die Zelle 10 eine Messung mit open Wire und Pull-Up=high durchzuführen. Für die Differenz zwischen dieser Messung und der CV-Messung muss gelten:
V</t>
    </r>
    <r>
      <rPr>
        <vertAlign val="subscript"/>
        <sz val="10"/>
        <rFont val="Arial"/>
        <family val="2"/>
      </rPr>
      <t>ADCV</t>
    </r>
    <r>
      <rPr>
        <sz val="10"/>
        <rFont val="Arial"/>
        <family val="2"/>
      </rPr>
      <t>-V</t>
    </r>
    <r>
      <rPr>
        <vertAlign val="subscript"/>
        <sz val="10"/>
        <rFont val="Arial"/>
        <family val="2"/>
      </rPr>
      <t>ADOW</t>
    </r>
    <r>
      <rPr>
        <sz val="10"/>
        <rFont val="Arial"/>
        <family val="2"/>
      </rPr>
      <t xml:space="preserve"> &gt; 20mV.
(SM29)</t>
    </r>
  </si>
  <si>
    <t>INF_LTC_SM_009</t>
  </si>
  <si>
    <t>Info: Abweichend vom Safety Manual wird Zelle 10 verwendet, da im System nur 10 Zellen pro LTC verbaut sind.</t>
  </si>
  <si>
    <t>REQ_LTC_SM_032</t>
  </si>
  <si>
    <t>5.3_SM30</t>
  </si>
  <si>
    <t>Innerhalb der Entdeckungszeit der Temperaturüberwachung sind alle GPIOs, die mit einem Temperatursensor verbunden sind, auf Kurzschluss zu überprüfen. Dazu wird jeder zweite zu testende GPIO auf low und die benachbarten GPIOs auf high gesetzt, 1ms gewartet (Entladen der Kondensatoren) und die gesetzten Werte zurückgelesen. Es liegt ein Fehler vor, falls der zu testende GPIO 0V anzeigt oder sich merklich ändern.
Folgende Bereiche werden GPIO-abhängig als logisch 0 festgelegt:
- Temperatureingang: &lt;= 22mV
- Feuchtesensor: &lt;= 37.4mV
- I²C-Pins: &lt;= 140mV
- LED: &lt;= 437mV
(Berechnung der Grenzwerte in Jira BMU-292 einsehbar)
Eine merkliche Änderung liegt vor, wenn sich der gemessene Werte um 10°C verändert.
(SM30)</t>
  </si>
  <si>
    <t>REQ_LTC_SM_033</t>
  </si>
  <si>
    <t>5.3_SM31</t>
  </si>
  <si>
    <r>
      <t>Innerhalb der Entdeckungszeit der Temperaturüberwachung ist für alle GPIOs eine Messung mit open Wire und Pull-Up=high durchzuführen. Für die Differenz zwischen dieser Messung und der GPIO-Messung muss gelten:
V</t>
    </r>
    <r>
      <rPr>
        <strike/>
        <vertAlign val="subscript"/>
        <sz val="10"/>
        <rFont val="Arial"/>
        <family val="2"/>
      </rPr>
      <t>ADAX</t>
    </r>
    <r>
      <rPr>
        <strike/>
        <sz val="10"/>
        <rFont val="Arial"/>
        <family val="2"/>
      </rPr>
      <t>-V</t>
    </r>
    <r>
      <rPr>
        <strike/>
        <vertAlign val="subscript"/>
        <sz val="10"/>
        <rFont val="Arial"/>
        <family val="2"/>
      </rPr>
      <t>AXOW</t>
    </r>
    <r>
      <rPr>
        <strike/>
        <sz val="10"/>
        <rFont val="Arial"/>
        <family val="2"/>
      </rPr>
      <t xml:space="preserve"> = </t>
    </r>
    <r>
      <rPr>
        <strike/>
        <sz val="10"/>
        <color rgb="FFFF0000"/>
        <rFont val="Arial"/>
        <family val="2"/>
      </rPr>
      <t>&lt;zu definierender Wert&gt;</t>
    </r>
    <r>
      <rPr>
        <strike/>
        <sz val="10"/>
        <rFont val="Arial"/>
        <family val="2"/>
      </rPr>
      <t xml:space="preserve"> mV.
(SM31)</t>
    </r>
  </si>
  <si>
    <t>REQ_LTC_SM_034</t>
  </si>
  <si>
    <r>
      <t>Innerhalb der Entdeckungszeit der Temperaturüberwachung ist für alle GPIOs eine Messung mit open Wire und Pull-Down=high durchzuführen. Für die Differenz zwischen dieser Messung und der CV-Messung muss gelten:
20mV &lt;= V</t>
    </r>
    <r>
      <rPr>
        <strike/>
        <vertAlign val="subscript"/>
        <sz val="10"/>
        <rFont val="Arial"/>
        <family val="2"/>
      </rPr>
      <t>ADAX</t>
    </r>
    <r>
      <rPr>
        <strike/>
        <sz val="10"/>
        <rFont val="Arial"/>
        <family val="2"/>
      </rPr>
      <t>-V</t>
    </r>
    <r>
      <rPr>
        <strike/>
        <vertAlign val="subscript"/>
        <sz val="10"/>
        <rFont val="Arial"/>
        <family val="2"/>
      </rPr>
      <t>AXOW</t>
    </r>
    <r>
      <rPr>
        <strike/>
        <sz val="10"/>
        <rFont val="Arial"/>
        <family val="2"/>
      </rPr>
      <t xml:space="preserve"> &lt;= 40mV.
(SM31)</t>
    </r>
  </si>
  <si>
    <t>REQ_LTC_SM_035</t>
  </si>
  <si>
    <t>5.3_SM32</t>
  </si>
  <si>
    <t xml:space="preserve">Innerhalb der Entdeckungszeit (Minimum aus Entdeckungszeit für Temperaturüberwachung und Spannungsüberwachung) ist zyklisch  der "clear command functionality check"durchzuführen. </t>
  </si>
  <si>
    <t>REQ_LTC_SM_036</t>
  </si>
  <si>
    <r>
      <rPr>
        <b/>
        <sz val="10"/>
        <rFont val="Arial"/>
        <family val="2"/>
      </rPr>
      <t>V1.1:</t>
    </r>
    <r>
      <rPr>
        <sz val="10"/>
        <rFont val="Arial"/>
        <family val="2"/>
      </rPr>
      <t xml:space="preserve">
</t>
    </r>
    <r>
      <rPr>
        <strike/>
        <sz val="10"/>
        <rFont val="Arial"/>
        <family val="2"/>
      </rPr>
      <t>Vor jeder ADCV-Messung ist das Clear-Command durchzuführen. (Dadurch werden die Register auf 0xFFFF gesetzt.) Nach der Messung ist zu überprüfen, ob in jedes Register für die Zellspannungsmessung ein Wert != 0xFFFF eingetragen wurde.</t>
    </r>
  </si>
  <si>
    <t>REQ_LTC_SM_037</t>
  </si>
  <si>
    <r>
      <rPr>
        <b/>
        <sz val="10"/>
        <rFont val="Arial"/>
        <family val="2"/>
      </rPr>
      <t>V1.1:</t>
    </r>
    <r>
      <rPr>
        <strike/>
        <sz val="10"/>
        <rFont val="Arial"/>
        <family val="2"/>
      </rPr>
      <t xml:space="preserve">
Nach jeder ADOW-Messung (SM4, SM29) ist das Ergebnis von Zelle1 mit PUP=0 mit der gemessenen Zellspannung zu vergleichen. Für die Differenz der Werte muss gelten
|V</t>
    </r>
    <r>
      <rPr>
        <strike/>
        <vertAlign val="subscript"/>
        <sz val="10"/>
        <rFont val="Arial"/>
        <family val="2"/>
      </rPr>
      <t>ADCV</t>
    </r>
    <r>
      <rPr>
        <strike/>
        <sz val="10"/>
        <rFont val="Arial"/>
        <family val="2"/>
      </rPr>
      <t>-V</t>
    </r>
    <r>
      <rPr>
        <strike/>
        <vertAlign val="subscript"/>
        <sz val="10"/>
        <rFont val="Arial"/>
        <family val="2"/>
      </rPr>
      <t>ADOW</t>
    </r>
    <r>
      <rPr>
        <strike/>
        <sz val="10"/>
        <rFont val="Arial"/>
        <family val="2"/>
      </rPr>
      <t xml:space="preserve">| &gt;= 100mV. </t>
    </r>
  </si>
  <si>
    <t>REQ_LTC_SM_038</t>
  </si>
  <si>
    <r>
      <t>Nach jeder ADOW-Messung (SM4, SM29) ist das Ergebnis von Zelle10 mit PUP=1 mit der gemessenen Zellspannung zu vergleichen. Für die Differenz der Werte muss gelten
|V</t>
    </r>
    <r>
      <rPr>
        <strike/>
        <vertAlign val="subscript"/>
        <sz val="10"/>
        <rFont val="Arial"/>
        <family val="2"/>
      </rPr>
      <t>ADCV</t>
    </r>
    <r>
      <rPr>
        <strike/>
        <sz val="10"/>
        <rFont val="Arial"/>
        <family val="2"/>
      </rPr>
      <t>-V</t>
    </r>
    <r>
      <rPr>
        <strike/>
        <vertAlign val="subscript"/>
        <sz val="10"/>
        <rFont val="Arial"/>
        <family val="2"/>
      </rPr>
      <t>ADOW</t>
    </r>
    <r>
      <rPr>
        <strike/>
        <sz val="10"/>
        <rFont val="Arial"/>
        <family val="2"/>
      </rPr>
      <t xml:space="preserve">| &gt;= 100mV. </t>
    </r>
  </si>
  <si>
    <t>REQ_LTC_SM_039</t>
  </si>
  <si>
    <t>Vor jeder ADAX- und ADAXD-Messung ist das Clear-Command durchzuführen. (Dadurch werden die AUX-Register auf 0xFFFF gesetzt.) Nach der Messung ist zu überprüfen, ob in jedes Register für die AUX-Spannungsmessung ein Wert != 0xFFFF eingetragen wurde.</t>
  </si>
  <si>
    <t>REQ_LTC_SM_040</t>
  </si>
  <si>
    <r>
      <t>Nach jeder AXOW-Messung (SM21, SM31) ist das Ergebnis aller GPIOs mit PUP=0 mit der gemessenen Zellspannung zu vergleichen. Für die Differenz der Werte muss gelten
V</t>
    </r>
    <r>
      <rPr>
        <strike/>
        <vertAlign val="subscript"/>
        <sz val="10"/>
        <rFont val="Arial"/>
        <family val="2"/>
      </rPr>
      <t>ADAX(D)</t>
    </r>
    <r>
      <rPr>
        <strike/>
        <sz val="10"/>
        <rFont val="Arial"/>
        <family val="2"/>
      </rPr>
      <t>-V</t>
    </r>
    <r>
      <rPr>
        <strike/>
        <vertAlign val="subscript"/>
        <sz val="10"/>
        <rFont val="Arial"/>
        <family val="2"/>
      </rPr>
      <t>AXOW</t>
    </r>
    <r>
      <rPr>
        <strike/>
        <sz val="10"/>
        <rFont val="Arial"/>
        <family val="2"/>
      </rPr>
      <t xml:space="preserve"> &gt;= 20mV. </t>
    </r>
  </si>
  <si>
    <t>REQ_LTC_SM_041</t>
  </si>
  <si>
    <t>Vor jedem Lesen der Status-Register ist das Clear-Command durchzuführen. (Dadurch werden die Register auf 0xFFFF gesetzt.) Nach der Messung ist zu überprüfen, ob in die Register "sum of cell", "die temperature", "VA" und "VD" ein Wert != 0xFFFF eingetragen wurde.</t>
  </si>
  <si>
    <t>REQ_LTC_SM_042</t>
  </si>
  <si>
    <r>
      <t>Es ist bei jedem(?) Lesen der Zellspanung zu überprüfen, ob beim Durchführen einer Zellspannungsmessung und anschließendem Lesen des Registers wirklich der gemessene Wert aus dem Register gelesen wird.</t>
    </r>
    <r>
      <rPr>
        <strike/>
        <sz val="10"/>
        <color rgb="FFFF0000"/>
        <rFont val="Arial"/>
        <family val="2"/>
      </rPr>
      <t xml:space="preserve"> </t>
    </r>
    <r>
      <rPr>
        <strike/>
        <sz val="10"/>
        <rFont val="Arial"/>
        <family val="2"/>
      </rPr>
      <t>Sicherheitsmaßnahme: alle 1000ms Prüfung für einen Channel gemäß SM17 mit vorherigem Clear-Command. So wird die Sicherheitsmaßnahme je Sensor/Register spätestents alle 5000ms durchgeführt.</t>
    </r>
  </si>
  <si>
    <t>REQ_LTC_SM_043</t>
  </si>
  <si>
    <t>Es ist bei jedem(?) Lesen der Zelltemperaturen zu überprüfen, ob beim Durchführen einer Temperaturmessung und anschließendem Lesen des Registers wirklich der gemessene Wert aus dem Register gelesen wird.
Sicherheitsmaßnahme: alle 1000ms Prüfung für einen Channel gemäß SM17 mit vorherigem Clear-Command. So wird die Sicherheitsmaßnahme je Sensor/Register spätestents alle 6000ms durchgeführt.</t>
  </si>
  <si>
    <t>REQ_LTC_SM_044</t>
  </si>
  <si>
    <r>
      <t>Nach jedem Schreiben der Konfigurationsregister ist der geschriebene Wert auszulesen und gegen den Soll-Wert zu prüfen.</t>
    </r>
    <r>
      <rPr>
        <strike/>
        <sz val="10"/>
        <color rgb="FFFF0000"/>
        <rFont val="Arial"/>
        <family val="2"/>
      </rPr>
      <t xml:space="preserve">
</t>
    </r>
    <r>
      <rPr>
        <strike/>
        <sz val="10"/>
        <rFont val="Arial"/>
        <family val="2"/>
      </rPr>
      <t>Für die GPIO-Register muss nach dem Setzen der analoge Wert eingelesen werden. Für die zulässige Spannung gilt der Grenzwert, bis zu dem die GPIOs als 0 betrachtet werden (vgl. Anforderung zu SM30).</t>
    </r>
  </si>
  <si>
    <t>REQ_LTC_SM_045</t>
  </si>
  <si>
    <r>
      <t xml:space="preserve">Beim Errorhandling sollen keine "retries" durchgeführt werden.
Die Durchführung des Safety Mechanisms soll abgebrochen werden, falls ein Fehler bei der Abfrage auftritt. Das zu dem abgebrochenen SMs zugehörige Fehlerflag ist zu setzen </t>
    </r>
    <r>
      <rPr>
        <sz val="10"/>
        <color rgb="FFFF0000"/>
        <rFont val="Arial"/>
        <family val="2"/>
      </rPr>
      <t>(Fehlerflags müssen noch erweitert werden)</t>
    </r>
    <r>
      <rPr>
        <sz val="10"/>
        <rFont val="Arial"/>
        <family val="2"/>
      </rPr>
      <t>.</t>
    </r>
  </si>
  <si>
    <t>INF_LTC_SM_010</t>
  </si>
  <si>
    <t>Falls es doch zu häufigeren Fehlern während der Durchführung der Safety Mechanisms kommen sollte, sollen "retries" ggf. eingeführt werden.</t>
  </si>
  <si>
    <t>REQ_LTC_SM_046</t>
  </si>
  <si>
    <t>Für alle Safety Mechanismen, die nicht schon mit der standardmäßigen Messung abgefragt werden (z.B. 2nd Ref, VRDG, VREGD), ist ein Fehlerflag einzuführen. Zusätzlich sind für Fehler, die während der Durchführung der Safety Mechnasims auftreten, Fehlerflags einzuführen:
- SM_badCRC
- SM_pollingTimeout
- SM_digRedFail
- SM_ClrRegsFail
- SM_CmdVerFail</t>
  </si>
  <si>
    <t>EN 50272-3</t>
  </si>
  <si>
    <t>10.1</t>
  </si>
  <si>
    <t>BMS-Kabelverlegung anpassen</t>
  </si>
  <si>
    <t>ECE R100</t>
  </si>
  <si>
    <t>Messaufbau zur Ermittlung des ISO-Widerstandes</t>
  </si>
  <si>
    <t>Vergabe der ID:</t>
  </si>
  <si>
    <t>Liegt eine Kundenaforderung mit Kunden-ID vor, so ist diese zu verwenden</t>
  </si>
  <si>
    <t>Liegt eine Kundenaforderung ohne Kunden-ID vor, so ist eine ID zu vergeben:</t>
  </si>
  <si>
    <t>AAA.BBBB.EX.CC.xxxx</t>
  </si>
  <si>
    <t xml:space="preserve">AAA: Kundenkürzel, maximal 3 Buchstaben, kann auch verkürzt werden, z.B: BT </t>
  </si>
  <si>
    <t>BBBB: Produktkürzel, maximal 4 Buchstaben, kann auch verkürzt werden</t>
  </si>
  <si>
    <t>EX: Kennung, dass eine externe Anforderung vorliegt</t>
  </si>
  <si>
    <t>CC: Bereich AKASOL: SI, EE, ME, SW (Systemingenieur, Elektrik/Elektronik, Mechanik, Software)</t>
  </si>
  <si>
    <t xml:space="preserve">xxxx: Fortlaufende Nr. </t>
  </si>
  <si>
    <t>Wird eine Anforderung intern erstellt / abgeleitet, so ist eine ID nach folgender Nomenklatur zu vergeben:</t>
  </si>
  <si>
    <t>AAA.BBBB.CC.xxxx</t>
  </si>
  <si>
    <t xml:space="preserve">CC: Bereich AKASOL </t>
  </si>
  <si>
    <t>Markierung von Änderungen</t>
  </si>
  <si>
    <t>Um die Effizienz in der Bearbeitung zu erhöhen sollen Änderungen von Anforderungen von einer Version zur nächsten folgendermaßen gekennzeichnet werden:</t>
  </si>
  <si>
    <t>Weiß: Keine Änderung</t>
  </si>
  <si>
    <t>Helles Blau: Formale Änderung, aber keine inhaltliche Änderung (z.B. Formulierung präzisiert, ID geändert,…)</t>
  </si>
  <si>
    <t>Orange: Neue oder geänderte Anforderung</t>
  </si>
  <si>
    <t>Grau und Durchgestrichen: Entfällt.</t>
  </si>
  <si>
    <t>Gelb: Noch nicht gültig, Noch zu bewerten / zu detaillieren, etc.</t>
  </si>
  <si>
    <t>MSM</t>
  </si>
  <si>
    <t>Multi String Manager</t>
  </si>
  <si>
    <t>Heading</t>
  </si>
  <si>
    <t>Prototyp</t>
  </si>
  <si>
    <t>DS</t>
  </si>
  <si>
    <t>Besonderes Merkmal Sicherheitsrelevant</t>
  </si>
  <si>
    <t>Comment</t>
  </si>
  <si>
    <t>Pre-Series</t>
  </si>
  <si>
    <t>work</t>
  </si>
  <si>
    <t>DZ</t>
  </si>
  <si>
    <t>Besonderes Merkmal Zertifizierungsrelevant</t>
  </si>
  <si>
    <t>BMS-S</t>
  </si>
  <si>
    <t>Functional Req.</t>
  </si>
  <si>
    <t>C-Muster</t>
  </si>
  <si>
    <t>MSM, BMS-M</t>
  </si>
  <si>
    <t>Non-Functional Req.</t>
  </si>
  <si>
    <t>Serie</t>
  </si>
  <si>
    <t>MSM, BMS-S</t>
  </si>
  <si>
    <t>verified</t>
  </si>
  <si>
    <t>MSM, BMS-M, BMS-S</t>
  </si>
  <si>
    <t>BMS-M, BMS-S</t>
  </si>
  <si>
    <t>TCU</t>
  </si>
  <si>
    <t>Thermal Conditioning Unit</t>
  </si>
  <si>
    <t>MSM, TCU</t>
  </si>
  <si>
    <t>BC</t>
  </si>
  <si>
    <t>Battery Composition</t>
  </si>
  <si>
    <t>BS</t>
  </si>
  <si>
    <t>Battery Strings</t>
  </si>
  <si>
    <t>Initial safety checks</t>
  </si>
  <si>
    <t>area</t>
  </si>
  <si>
    <t>A+B -&gt; Bad CRC</t>
  </si>
  <si>
    <t>A Bad CRC</t>
  </si>
  <si>
    <t>B Bad CRC</t>
  </si>
  <si>
    <t>A is not equal to B (correct CRC)</t>
  </si>
  <si>
    <t>ID page is not locked</t>
  </si>
  <si>
    <t>action</t>
  </si>
  <si>
    <t>flag</t>
  </si>
  <si>
    <t xml:space="preserve">flag </t>
  </si>
  <si>
    <t xml:space="preserve">dynamic </t>
  </si>
  <si>
    <t>X</t>
  </si>
  <si>
    <t>CompleteAreaCRCMismatchDyn</t>
  </si>
  <si>
    <t>take B</t>
  </si>
  <si>
    <r>
      <t>SingleAreaCorrupted</t>
    </r>
    <r>
      <rPr>
        <strike/>
        <sz val="11"/>
        <color rgb="FF000000"/>
        <rFont val="Calibri"/>
        <family val="2"/>
      </rPr>
      <t>, counter for multiple successive write calls to one area only</t>
    </r>
  </si>
  <si>
    <t>take A</t>
  </si>
  <si>
    <t>Y</t>
  </si>
  <si>
    <t>-</t>
  </si>
  <si>
    <t>static</t>
  </si>
  <si>
    <t>CompleteAreaCRCMismatchSafStat</t>
  </si>
  <si>
    <t>SingleAreaCorrupted</t>
  </si>
  <si>
    <t xml:space="preserve">take A </t>
  </si>
  <si>
    <t>AreaMismatch</t>
  </si>
  <si>
    <t>safety</t>
  </si>
  <si>
    <t>IDPageNotLocked</t>
  </si>
  <si>
    <t>-&gt; corrupted areas (bad CRC) will not be repaired (in case one area still is correct)</t>
  </si>
  <si>
    <t>X = broken</t>
  </si>
  <si>
    <t>Y = correct</t>
  </si>
  <si>
    <t>ISO SPI 1k Byte EEPROM</t>
  </si>
  <si>
    <t>Memory Area</t>
  </si>
  <si>
    <t>Size [byte = 8bit]</t>
  </si>
  <si>
    <t>Offset Address</t>
  </si>
  <si>
    <t>Offset Address in hex</t>
  </si>
  <si>
    <t>Total Size in Byte</t>
  </si>
  <si>
    <t>Description</t>
  </si>
  <si>
    <t>Array index</t>
  </si>
  <si>
    <t>Example values</t>
  </si>
  <si>
    <t xml:space="preserve">Total Memory size in Byte </t>
  </si>
  <si>
    <t>ID
(ODP)</t>
  </si>
  <si>
    <t>CRC16</t>
  </si>
  <si>
    <t>0x6DA1</t>
  </si>
  <si>
    <t>=Safety relevant area</t>
  </si>
  <si>
    <t>cell type (major, Type)</t>
  </si>
  <si>
    <t>Major</t>
  </si>
  <si>
    <t>256 variation</t>
  </si>
  <si>
    <t>= Major represents the main number of a component</t>
  </si>
  <si>
    <t>cell type (minor, Index/Revision)</t>
  </si>
  <si>
    <t>Minor</t>
  </si>
  <si>
    <t>= Minor means that it is the index/revision of acomponent</t>
  </si>
  <si>
    <t>module type (major, Type)</t>
  </si>
  <si>
    <t>module type (minor, Index/Revision</t>
  </si>
  <si>
    <t>Module serial number(AKASOL)</t>
  </si>
  <si>
    <t>0x4121A60001000080</t>
  </si>
  <si>
    <t>PCB type (major, Type)</t>
  </si>
  <si>
    <t>PCB type (minor, Index/Revision)</t>
  </si>
  <si>
    <t>ID Backup</t>
  </si>
  <si>
    <t>Übersetzungstabellen:</t>
  </si>
  <si>
    <t>Cell Type</t>
  </si>
  <si>
    <t>LG INR21700 M48 4,8Ah</t>
  </si>
  <si>
    <t>--&gt; Cell Type is continued based on the existing structure in CAN based system, starting at Value=32</t>
  </si>
  <si>
    <t>Samsung INR21700 50G 5Ah</t>
  </si>
  <si>
    <t>LG INR21700 M50L 5Ah, A Sample</t>
  </si>
  <si>
    <t>LG INR21700 M50L 5Ah</t>
  </si>
  <si>
    <t>Samsung INR21700 50W 5Ah, A1-Sample</t>
  </si>
  <si>
    <t>Samsung INR21700 50W 5Ah, A2-Sample</t>
  </si>
  <si>
    <t>Static Area 1</t>
  </si>
  <si>
    <t>CRC32</t>
  </si>
  <si>
    <t>0x8F98A232</t>
  </si>
  <si>
    <t>Samsung INR21700 50W 5Ah, B1-Sample</t>
  </si>
  <si>
    <t>topology, number of serial cells/module</t>
  </si>
  <si>
    <t>Samsung INR21700 48X 4,8Ah</t>
  </si>
  <si>
    <t>topology, number of parallel cells/module</t>
  </si>
  <si>
    <t>PCB serial number</t>
  </si>
  <si>
    <t>0x0001030405060708</t>
  </si>
  <si>
    <t>IC type (major, Index/Revision)</t>
  </si>
  <si>
    <t>Major Incrementation = Incompatible or changed mechanical/electrical/thermal properties of the sample, OEM specific, different module type</t>
  </si>
  <si>
    <t>IC type (minor, Type)</t>
  </si>
  <si>
    <t>Minor Incrementation = same properties, but compatible changes in the module itself</t>
  </si>
  <si>
    <t>2nd Life ID (at the beginning it is the pack SN)</t>
  </si>
  <si>
    <t>0x0000000000000000</t>
  </si>
  <si>
    <t>Module Type</t>
  </si>
  <si>
    <t>Locking recognition</t>
  </si>
  <si>
    <t>0xc3</t>
  </si>
  <si>
    <t>unspecified prototype</t>
  </si>
  <si>
    <t>Reserved for further developments</t>
  </si>
  <si>
    <t>AKAMODULE_CYC_20S30P_B0_Volvo</t>
  </si>
  <si>
    <t>Static Area 2</t>
  </si>
  <si>
    <t>AKAMODULE_CYC_20S30P_B1_Volvo</t>
  </si>
  <si>
    <t>AKAMODULE_CYC_20S30P_B2_Volvo</t>
  </si>
  <si>
    <t>AKAMODULE_CYC_20S30P_B2_Evobus</t>
  </si>
  <si>
    <t>AKAMODULE_CYC_20S30P_C0_Volvo</t>
  </si>
  <si>
    <t>(50GA Cell)</t>
  </si>
  <si>
    <t>(48X Cell)</t>
  </si>
  <si>
    <t>2nd Life ID state</t>
  </si>
  <si>
    <t>AKAMODULE_CYC_20S30P_C0_Evobus</t>
  </si>
  <si>
    <t>AKAMODULE_CYC_20S30P_C1_Volvo</t>
  </si>
  <si>
    <t>Dynamic Area 1</t>
  </si>
  <si>
    <t>0x4E70B86B</t>
  </si>
  <si>
    <t>counter (for writing data)</t>
  </si>
  <si>
    <t>0x02020304</t>
  </si>
  <si>
    <t>Unique ID (battery pack SN)</t>
  </si>
  <si>
    <t>0x0102010405060708</t>
  </si>
  <si>
    <t>PCB Type</t>
  </si>
  <si>
    <t>Time integral of battery alive [h]</t>
  </si>
  <si>
    <t>0x00000000</t>
  </si>
  <si>
    <t>Lifetime Discharge Ah counter [Ah]</t>
  </si>
  <si>
    <t>1E020145_00_CSC-LTC-ISOSPI-2X10S</t>
  </si>
  <si>
    <t>Counter overvoltage 1 (4,25V)</t>
  </si>
  <si>
    <t>0x00</t>
  </si>
  <si>
    <t>1E010154_00_AKM CYC 20s30p CSC-U v1.1</t>
  </si>
  <si>
    <t>Counter overvoltage 2 (4,3V)</t>
  </si>
  <si>
    <t>Counter undervoltage 1 (2,8V)</t>
  </si>
  <si>
    <t>1E020154_00_AKM CYC 20s30p CSC-U v1.2</t>
  </si>
  <si>
    <t>Counter undervoltage 2 (1,8V)</t>
  </si>
  <si>
    <t>1E030154_00_AKM CYC 20s30p CSC-U v1.3</t>
  </si>
  <si>
    <t>Counter overtemperature 1 (70°C)</t>
  </si>
  <si>
    <t>Counter overtemperature 2 (80°C)</t>
  </si>
  <si>
    <t>topology number</t>
  </si>
  <si>
    <t>Is set according to the electrical wiring of the module</t>
  </si>
  <si>
    <t>Counter Overcurrent discharge 1 (-100A)</t>
  </si>
  <si>
    <t>0=unspecified prototype</t>
  </si>
  <si>
    <t>Counter Overcurrent discharge 2 (-400A)</t>
  </si>
  <si>
    <t xml:space="preserve">FFFFh = SNA   </t>
  </si>
  <si>
    <t>Bit</t>
  </si>
  <si>
    <t>Counter Overcurrent charge 1 (+100A)</t>
  </si>
  <si>
    <t>Counter Overcurrent charge 2 (+240A)</t>
  </si>
  <si>
    <t>Verschaltungstyp Modul, Übersetzungstabelle, EOL</t>
  </si>
  <si>
    <t>Project specific data (deratefac_cp [0.1%])</t>
  </si>
  <si>
    <t>0x0000</t>
  </si>
  <si>
    <t>Spannung Kalibrierung analog aktuellem Stand, Modulspannung messen, teilen auf Zellcluster durch serielle Anzahl</t>
  </si>
  <si>
    <t>Project specific data (deratefac_dcp [0.1%])</t>
  </si>
  <si>
    <t>Project specific data (SoH_modulelevel)</t>
  </si>
  <si>
    <t>IC type</t>
  </si>
  <si>
    <t>Dynamic Area 2</t>
  </si>
  <si>
    <t>LTC6811</t>
  </si>
  <si>
    <t>&lt;--- über PCB Type geregelt, welcher LTC die Strommessung macht</t>
  </si>
  <si>
    <t>LTC6812I-1, 3E050156</t>
  </si>
  <si>
    <t>LTC6813</t>
  </si>
  <si>
    <t>&lt;-- Wenn Strom gezogen wird</t>
  </si>
  <si>
    <t>FFFFh = SNA</t>
  </si>
  <si>
    <t>Wenn nur numerische Zahlen, wenn in ASCII, 8Bit pro Zeichen</t>
  </si>
  <si>
    <t>isoSPI Controller</t>
  </si>
  <si>
    <t>Locking recognition for 2nd life ID</t>
  </si>
  <si>
    <t>Number of LTCs per module</t>
  </si>
  <si>
    <t>Anzahl der Controller pro Modul</t>
  </si>
  <si>
    <t>0xFF</t>
  </si>
  <si>
    <t>Systems in the field before using the 2nd life area initialisation in OEL</t>
  </si>
  <si>
    <t>0xC3</t>
  </si>
  <si>
    <t>Pack SN was written in the 2nd life area at the end of the OEL test</t>
  </si>
  <si>
    <t>Temperature tbd</t>
  </si>
  <si>
    <t>32bit/ea</t>
  </si>
  <si>
    <t>&lt;--- Historisch bedingt und bewertet nur eine Offset Kalibrierung, Factor Kalibrierung wegentschieden, muss hier neu betrachtet werden</t>
  </si>
  <si>
    <t>0x99</t>
  </si>
  <si>
    <t>2nd life ID was written</t>
  </si>
  <si>
    <t>Rest</t>
  </si>
  <si>
    <t>Invalid</t>
  </si>
  <si>
    <t>Rest of storage, due to the requirement that areas should start with a multiple of 16</t>
  </si>
  <si>
    <t>Speicheraufteilung_BMU</t>
  </si>
  <si>
    <t>Logic
Sector</t>
  </si>
  <si>
    <t>Phys. Sub-Sector</t>
  </si>
  <si>
    <t>Size KB</t>
  </si>
  <si>
    <t>Total Size KB</t>
  </si>
  <si>
    <t>Write Permission</t>
  </si>
  <si>
    <t>S0</t>
  </si>
  <si>
    <t>PS0 (512 KB)</t>
  </si>
  <si>
    <r>
      <t>00'0000</t>
    </r>
    <r>
      <rPr>
        <vertAlign val="subscript"/>
        <sz val="11"/>
        <color rgb="FFFF0000"/>
        <rFont val="Calibri"/>
        <family val="2"/>
        <scheme val="minor"/>
      </rPr>
      <t>H</t>
    </r>
  </si>
  <si>
    <r>
      <t>A000'0000</t>
    </r>
    <r>
      <rPr>
        <vertAlign val="subscript"/>
        <sz val="11"/>
        <color theme="0"/>
        <rFont val="Calibri"/>
        <family val="2"/>
        <scheme val="minor"/>
      </rPr>
      <t>H</t>
    </r>
    <r>
      <rPr>
        <sz val="11"/>
        <color theme="0"/>
        <rFont val="Calibri"/>
        <family val="2"/>
        <scheme val="minor"/>
      </rPr>
      <t xml:space="preserve"> - A000'001F</t>
    </r>
    <r>
      <rPr>
        <vertAlign val="subscript"/>
        <sz val="11"/>
        <color theme="0"/>
        <rFont val="Calibri"/>
        <family val="2"/>
        <scheme val="minor"/>
      </rPr>
      <t>H</t>
    </r>
    <r>
      <rPr>
        <sz val="11"/>
        <color theme="0"/>
        <rFont val="Calibri"/>
        <family val="2"/>
        <scheme val="minor"/>
      </rPr>
      <t xml:space="preserve">
reserved by boot mode header</t>
    </r>
  </si>
  <si>
    <t xml:space="preserve">Offset address in red colour are address containing boot mode header  </t>
  </si>
  <si>
    <t>Area not accessible by Bootloader</t>
  </si>
  <si>
    <r>
      <t>Address Range PF0 (A000 0000</t>
    </r>
    <r>
      <rPr>
        <b/>
        <vertAlign val="subscript"/>
        <sz val="11"/>
        <color theme="1"/>
        <rFont val="Calibri"/>
        <family val="2"/>
        <scheme val="minor"/>
      </rPr>
      <t>H</t>
    </r>
    <r>
      <rPr>
        <b/>
        <sz val="11"/>
        <color theme="1"/>
        <rFont val="Calibri"/>
        <family val="2"/>
        <scheme val="minor"/>
      </rPr>
      <t>)</t>
    </r>
  </si>
  <si>
    <t xml:space="preserve">AkaBoot
bootloader </t>
  </si>
  <si>
    <t>S1</t>
  </si>
  <si>
    <r>
      <t>00'4000</t>
    </r>
    <r>
      <rPr>
        <vertAlign val="subscript"/>
        <sz val="11"/>
        <color theme="1"/>
        <rFont val="Calibri"/>
        <family val="2"/>
        <scheme val="minor"/>
      </rPr>
      <t>H</t>
    </r>
  </si>
  <si>
    <t>S2</t>
  </si>
  <si>
    <r>
      <t>00'8000</t>
    </r>
    <r>
      <rPr>
        <vertAlign val="subscript"/>
        <sz val="11"/>
        <color theme="1"/>
        <rFont val="Calibri"/>
        <family val="2"/>
        <scheme val="minor"/>
      </rPr>
      <t>H</t>
    </r>
  </si>
  <si>
    <t>S3</t>
  </si>
  <si>
    <r>
      <t>00'C000</t>
    </r>
    <r>
      <rPr>
        <vertAlign val="subscript"/>
        <sz val="11"/>
        <color theme="1"/>
        <rFont val="Calibri"/>
        <family val="2"/>
        <scheme val="minor"/>
      </rPr>
      <t>H</t>
    </r>
  </si>
  <si>
    <t>S4</t>
  </si>
  <si>
    <r>
      <t>01'0000</t>
    </r>
    <r>
      <rPr>
        <vertAlign val="subscript"/>
        <sz val="11"/>
        <color theme="1"/>
        <rFont val="Calibri"/>
        <family val="2"/>
        <scheme val="minor"/>
      </rPr>
      <t>H</t>
    </r>
  </si>
  <si>
    <t>S5</t>
  </si>
  <si>
    <r>
      <t>01'4000</t>
    </r>
    <r>
      <rPr>
        <vertAlign val="subscript"/>
        <sz val="11"/>
        <color theme="1"/>
        <rFont val="Calibri"/>
        <family val="2"/>
        <scheme val="minor"/>
      </rPr>
      <t>H</t>
    </r>
  </si>
  <si>
    <t xml:space="preserve">PIB bootloader </t>
  </si>
  <si>
    <t>S6</t>
  </si>
  <si>
    <r>
      <t>01'8000</t>
    </r>
    <r>
      <rPr>
        <vertAlign val="subscript"/>
        <sz val="11"/>
        <color theme="1"/>
        <rFont val="Calibri"/>
        <family val="2"/>
        <scheme val="minor"/>
      </rPr>
      <t>H</t>
    </r>
  </si>
  <si>
    <r>
      <t>A001'8000</t>
    </r>
    <r>
      <rPr>
        <vertAlign val="subscript"/>
        <sz val="11"/>
        <color theme="1"/>
        <rFont val="Calibri"/>
        <family val="2"/>
        <scheme val="minor"/>
      </rPr>
      <t>H</t>
    </r>
    <r>
      <rPr>
        <sz val="11"/>
        <color indexed="8"/>
        <rFont val="Calibri"/>
        <family val="2"/>
      </rPr>
      <t xml:space="preserve"> - A001'BFFF</t>
    </r>
    <r>
      <rPr>
        <vertAlign val="subscript"/>
        <sz val="11"/>
        <color theme="1"/>
        <rFont val="Calibri"/>
        <family val="2"/>
        <scheme val="minor"/>
      </rPr>
      <t>H</t>
    </r>
    <r>
      <rPr>
        <sz val="11"/>
        <color indexed="8"/>
        <rFont val="Calibri"/>
        <family val="2"/>
      </rPr>
      <t xml:space="preserve">
PIB of the
main application</t>
    </r>
  </si>
  <si>
    <t xml:space="preserve">The PIB is part of the main application hex file and will be flashed together with it </t>
  </si>
  <si>
    <t>Writable area by  bootloader</t>
  </si>
  <si>
    <t>S7</t>
  </si>
  <si>
    <r>
      <t>01'C000</t>
    </r>
    <r>
      <rPr>
        <vertAlign val="subscript"/>
        <sz val="11"/>
        <color theme="1"/>
        <rFont val="Calibri"/>
        <family val="2"/>
        <scheme val="minor"/>
      </rPr>
      <t>H</t>
    </r>
  </si>
  <si>
    <t>HIB BMU board with serial numbers</t>
  </si>
  <si>
    <t>Read-only area</t>
  </si>
  <si>
    <t>Only writable with special right</t>
  </si>
  <si>
    <t>S8</t>
  </si>
  <si>
    <r>
      <rPr>
        <sz val="11"/>
        <color rgb="FFFF0000"/>
        <rFont val="Calibri"/>
        <family val="2"/>
        <scheme val="minor"/>
      </rPr>
      <t>02'0000</t>
    </r>
    <r>
      <rPr>
        <vertAlign val="subscript"/>
        <sz val="11"/>
        <color rgb="FFFF0000"/>
        <rFont val="Calibri"/>
        <family val="2"/>
        <scheme val="minor"/>
      </rPr>
      <t>H</t>
    </r>
  </si>
  <si>
    <r>
      <t>A002'0000</t>
    </r>
    <r>
      <rPr>
        <vertAlign val="subscript"/>
        <sz val="11"/>
        <color theme="0"/>
        <rFont val="Calibri"/>
        <family val="2"/>
        <scheme val="minor"/>
      </rPr>
      <t>H</t>
    </r>
    <r>
      <rPr>
        <sz val="11"/>
        <color theme="0"/>
        <rFont val="Calibri"/>
        <family val="2"/>
        <scheme val="minor"/>
      </rPr>
      <t xml:space="preserve"> - A002'001F</t>
    </r>
    <r>
      <rPr>
        <vertAlign val="subscript"/>
        <sz val="11"/>
        <color theme="0"/>
        <rFont val="Calibri"/>
        <family val="2"/>
        <scheme val="minor"/>
      </rPr>
      <t>H</t>
    </r>
    <r>
      <rPr>
        <sz val="11"/>
        <color theme="0"/>
        <rFont val="Calibri"/>
        <family val="2"/>
        <scheme val="minor"/>
      </rPr>
      <t xml:space="preserve">
reserved by boot mode header</t>
    </r>
  </si>
  <si>
    <t>The boot mode header must be set to zero to prevent the application launch from this boot mode header.</t>
  </si>
  <si>
    <t>S9</t>
  </si>
  <si>
    <r>
      <t>02'8000</t>
    </r>
    <r>
      <rPr>
        <vertAlign val="subscript"/>
        <sz val="11"/>
        <color theme="1"/>
        <rFont val="Calibri"/>
        <family val="2"/>
        <scheme val="minor"/>
      </rPr>
      <t>H</t>
    </r>
  </si>
  <si>
    <t>A002'1000H - A01C'FFFFH
main
application</t>
  </si>
  <si>
    <t>Application withe
PXROS + Task Framework
and
SCU + BMS-Master</t>
  </si>
  <si>
    <t>S10</t>
  </si>
  <si>
    <r>
      <t>03'0000</t>
    </r>
    <r>
      <rPr>
        <vertAlign val="subscript"/>
        <sz val="11"/>
        <rFont val="Calibri"/>
        <family val="2"/>
        <scheme val="minor"/>
      </rPr>
      <t>H</t>
    </r>
  </si>
  <si>
    <t>S11</t>
  </si>
  <si>
    <r>
      <t>03'8000</t>
    </r>
    <r>
      <rPr>
        <vertAlign val="subscript"/>
        <sz val="11"/>
        <color theme="1"/>
        <rFont val="Calibri"/>
        <family val="2"/>
        <scheme val="minor"/>
      </rPr>
      <t>H</t>
    </r>
  </si>
  <si>
    <t>S12</t>
  </si>
  <si>
    <r>
      <t>04'0000</t>
    </r>
    <r>
      <rPr>
        <vertAlign val="subscript"/>
        <sz val="11"/>
        <color theme="1"/>
        <rFont val="Calibri"/>
        <family val="2"/>
        <scheme val="minor"/>
      </rPr>
      <t>H</t>
    </r>
  </si>
  <si>
    <t>S13</t>
  </si>
  <si>
    <r>
      <t>04'8000</t>
    </r>
    <r>
      <rPr>
        <vertAlign val="subscript"/>
        <sz val="11"/>
        <color theme="1"/>
        <rFont val="Calibri"/>
        <family val="2"/>
        <scheme val="minor"/>
      </rPr>
      <t>H</t>
    </r>
  </si>
  <si>
    <t>S14</t>
  </si>
  <si>
    <r>
      <t>05'0000</t>
    </r>
    <r>
      <rPr>
        <vertAlign val="subscript"/>
        <sz val="11"/>
        <color theme="1"/>
        <rFont val="Calibri"/>
        <family val="2"/>
        <scheme val="minor"/>
      </rPr>
      <t>H</t>
    </r>
  </si>
  <si>
    <t>S15</t>
  </si>
  <si>
    <r>
      <t>05'8000</t>
    </r>
    <r>
      <rPr>
        <vertAlign val="subscript"/>
        <sz val="11"/>
        <color theme="1"/>
        <rFont val="Calibri"/>
        <family val="2"/>
        <scheme val="minor"/>
      </rPr>
      <t>H</t>
    </r>
  </si>
  <si>
    <t>S16</t>
  </si>
  <si>
    <r>
      <t>06'0000</t>
    </r>
    <r>
      <rPr>
        <vertAlign val="subscript"/>
        <sz val="11"/>
        <color theme="1"/>
        <rFont val="Calibri"/>
        <family val="2"/>
        <scheme val="minor"/>
      </rPr>
      <t>H</t>
    </r>
  </si>
  <si>
    <t>S17</t>
  </si>
  <si>
    <r>
      <t>07'0000</t>
    </r>
    <r>
      <rPr>
        <vertAlign val="subscript"/>
        <sz val="11"/>
        <color theme="1"/>
        <rFont val="Calibri"/>
        <family val="2"/>
        <scheme val="minor"/>
      </rPr>
      <t>H</t>
    </r>
  </si>
  <si>
    <t>S18</t>
  </si>
  <si>
    <t>PS1 (512 KB)</t>
  </si>
  <si>
    <r>
      <t>08'0000</t>
    </r>
    <r>
      <rPr>
        <vertAlign val="subscript"/>
        <sz val="11"/>
        <color theme="1"/>
        <rFont val="Calibri"/>
        <family val="2"/>
        <scheme val="minor"/>
      </rPr>
      <t>H</t>
    </r>
  </si>
  <si>
    <t>S19</t>
  </si>
  <si>
    <r>
      <t>09'0000</t>
    </r>
    <r>
      <rPr>
        <vertAlign val="subscript"/>
        <sz val="11"/>
        <color theme="1"/>
        <rFont val="Calibri"/>
        <family val="2"/>
        <scheme val="minor"/>
      </rPr>
      <t>H</t>
    </r>
  </si>
  <si>
    <t>S20</t>
  </si>
  <si>
    <r>
      <t>0A'0000</t>
    </r>
    <r>
      <rPr>
        <vertAlign val="subscript"/>
        <sz val="11"/>
        <color theme="1"/>
        <rFont val="Calibri"/>
        <family val="2"/>
        <scheme val="minor"/>
      </rPr>
      <t>H</t>
    </r>
  </si>
  <si>
    <t>S21</t>
  </si>
  <si>
    <r>
      <t>0C'0000</t>
    </r>
    <r>
      <rPr>
        <vertAlign val="subscript"/>
        <sz val="11"/>
        <color theme="1"/>
        <rFont val="Calibri"/>
        <family val="2"/>
        <scheme val="minor"/>
      </rPr>
      <t>H</t>
    </r>
  </si>
  <si>
    <t>S22</t>
  </si>
  <si>
    <r>
      <t>0E'0000</t>
    </r>
    <r>
      <rPr>
        <vertAlign val="subscript"/>
        <sz val="11"/>
        <color theme="1"/>
        <rFont val="Calibri"/>
        <family val="2"/>
        <scheme val="minor"/>
      </rPr>
      <t>H</t>
    </r>
  </si>
  <si>
    <t>S23</t>
  </si>
  <si>
    <t>PS2 (512 KB)</t>
  </si>
  <si>
    <r>
      <t>10'0000</t>
    </r>
    <r>
      <rPr>
        <vertAlign val="subscript"/>
        <sz val="11"/>
        <color theme="1"/>
        <rFont val="Calibri"/>
        <family val="2"/>
        <scheme val="minor"/>
      </rPr>
      <t>H</t>
    </r>
  </si>
  <si>
    <t>S24</t>
  </si>
  <si>
    <r>
      <t>14'0000</t>
    </r>
    <r>
      <rPr>
        <vertAlign val="subscript"/>
        <sz val="11"/>
        <color theme="1"/>
        <rFont val="Calibri"/>
        <family val="2"/>
        <scheme val="minor"/>
      </rPr>
      <t>H</t>
    </r>
  </si>
  <si>
    <t>S25</t>
  </si>
  <si>
    <t>PS3 (512 KB)</t>
  </si>
  <si>
    <r>
      <t>18'0000</t>
    </r>
    <r>
      <rPr>
        <vertAlign val="subscript"/>
        <sz val="11"/>
        <color theme="1"/>
        <rFont val="Calibri"/>
        <family val="2"/>
        <scheme val="minor"/>
      </rPr>
      <t>H</t>
    </r>
  </si>
  <si>
    <t>S26</t>
  </si>
  <si>
    <r>
      <t>1C'0000</t>
    </r>
    <r>
      <rPr>
        <vertAlign val="subscript"/>
        <sz val="11"/>
        <color theme="1"/>
        <rFont val="Calibri"/>
        <family val="2"/>
        <scheme val="minor"/>
      </rPr>
      <t>H</t>
    </r>
  </si>
  <si>
    <r>
      <t>00'0000</t>
    </r>
    <r>
      <rPr>
        <vertAlign val="subscript"/>
        <sz val="11"/>
        <color theme="1"/>
        <rFont val="Calibri"/>
        <family val="2"/>
        <scheme val="minor"/>
      </rPr>
      <t>H</t>
    </r>
  </si>
  <si>
    <t>PIB configuration</t>
  </si>
  <si>
    <r>
      <t>Address Range PF1 (A020 0000</t>
    </r>
    <r>
      <rPr>
        <b/>
        <vertAlign val="subscript"/>
        <sz val="11"/>
        <color theme="1"/>
        <rFont val="Calibri"/>
        <family val="2"/>
        <scheme val="minor"/>
      </rPr>
      <t>H</t>
    </r>
    <r>
      <rPr>
        <b/>
        <sz val="11"/>
        <color theme="1"/>
        <rFont val="Calibri"/>
        <family val="2"/>
        <scheme val="minor"/>
      </rPr>
      <t>)</t>
    </r>
  </si>
  <si>
    <t>Configuration data</t>
  </si>
  <si>
    <t>free</t>
  </si>
  <si>
    <r>
      <t>02'0000</t>
    </r>
    <r>
      <rPr>
        <vertAlign val="subscript"/>
        <sz val="11"/>
        <color theme="1"/>
        <rFont val="Calibri"/>
        <family val="2"/>
        <scheme val="minor"/>
      </rPr>
      <t>H</t>
    </r>
  </si>
  <si>
    <t>isoSPI Error Flags</t>
  </si>
  <si>
    <t xml:space="preserve">  BMU_ISOSPI_Error_None</t>
  </si>
  <si>
    <t xml:space="preserve">  BMU_ISOSPI_Error_Bad_CRC</t>
  </si>
  <si>
    <t xml:space="preserve">  BMU_ISOSPI_Error_Timeout </t>
  </si>
  <si>
    <t xml:space="preserve">  BMU_ISOSPI_Error_Cv_Regs_Not_Cleared</t>
  </si>
  <si>
    <t xml:space="preserve">  BMU_ISOSPI_Error_Aux_Regs_Not_Cleared</t>
  </si>
  <si>
    <t xml:space="preserve">  BMU_ISOSPI_Error_Stat_Regs_Not_Cleared</t>
  </si>
  <si>
    <t xml:space="preserve">  BMU_ISOSPI_Error_Init_Fail</t>
  </si>
  <si>
    <t xml:space="preserve">  BMU_ISOSPI_Error_Cell_Regs_Check_Fail</t>
  </si>
  <si>
    <t xml:space="preserve">  BMU_ISOSPI_Error_Aux_Regs_Check_Fail</t>
  </si>
  <si>
    <t xml:space="preserve">  BMU_ISOSPI_Error_Stat_Regs_Check_Fail</t>
  </si>
  <si>
    <t xml:space="preserve">  BMU_ISOSPI_Error_Verify_Clear_Command_Fail</t>
  </si>
  <si>
    <t xml:space="preserve">  BMU_ISOSPI_Error_Digital_Redundancy_Fail</t>
  </si>
  <si>
    <t xml:space="preserve">  BMU_ISOSPI_I2C_Communication_Fail</t>
  </si>
  <si>
    <t xml:space="preserve">  BMU_ISOSPI_Error_Too_many_Modules</t>
  </si>
  <si>
    <t xml:space="preserve">  BMU_ISOSPI_Error_I_Sensor_Calibration</t>
  </si>
  <si>
    <t>name</t>
  </si>
  <si>
    <t>start bit</t>
  </si>
  <si>
    <t>function/is set when…</t>
  </si>
  <si>
    <t>consequence</t>
  </si>
  <si>
    <t>set</t>
  </si>
  <si>
    <t>reset</t>
  </si>
  <si>
    <t>badCRC_IC1</t>
  </si>
  <si>
    <t>CRC and data read from IC1 doesn't match</t>
  </si>
  <si>
    <t xml:space="preserve">erroneous data contains 0xFFEF </t>
  </si>
  <si>
    <t>x</t>
  </si>
  <si>
    <t>Beginn get Messwerte</t>
  </si>
  <si>
    <t>badCRC_IC2</t>
  </si>
  <si>
    <t>CRC and data read from IC2 doesn't match</t>
  </si>
  <si>
    <t>badCRC_IC3</t>
  </si>
  <si>
    <t>CRC and data read from IC3 doesn't match</t>
  </si>
  <si>
    <t>badCRC_IC4</t>
  </si>
  <si>
    <t>CRC and data read from IC4 doesn't match</t>
  </si>
  <si>
    <t>timeout</t>
  </si>
  <si>
    <t>ADC polling timeout</t>
  </si>
  <si>
    <t>no data or there might more module in chain than configured</t>
  </si>
  <si>
    <t>complSafAreaCRCErr</t>
  </si>
  <si>
    <t>both EEPROM safety area A and B contain a bad CRC</t>
  </si>
  <si>
    <t>ERROR, stop sending EEPROM write requests, EEPROM data  sent is corrupted</t>
  </si>
  <si>
    <t>retry initial EEPROM read</t>
  </si>
  <si>
    <t>complStatAreaCRCErr</t>
  </si>
  <si>
    <t>both EEPROM static A and B contain a bad CRC</t>
  </si>
  <si>
    <t>complDynAreaCRCErr</t>
  </si>
  <si>
    <t>both EEPROM dynamic area A and B contain a bad CRC</t>
  </si>
  <si>
    <t>ERROR, but limp-home possible, stop sending EEPROM write requests, EEPROM data  sent is corrupted</t>
  </si>
  <si>
    <t>initFail</t>
  </si>
  <si>
    <t>isoSPI module was not successfully initialised</t>
  </si>
  <si>
    <t>singleSafAreaCRCErr</t>
  </si>
  <si>
    <t>one of safety areas is corrupted</t>
  </si>
  <si>
    <t>WARNING</t>
  </si>
  <si>
    <t>singleStatAreaCRCErr</t>
  </si>
  <si>
    <t>one of static areas is corrupted</t>
  </si>
  <si>
    <t>singleDynAreaCRCErr</t>
  </si>
  <si>
    <t>one of dynamic areas is corrupted</t>
  </si>
  <si>
    <t>nach dem schreiben??
retry initial EEPROM read</t>
  </si>
  <si>
    <t>safAreaMismatch</t>
  </si>
  <si>
    <t>EEPROM (duplicated) safety area content doesn't match even though both have a correct CRC</t>
  </si>
  <si>
    <t xml:space="preserve">WARNING </t>
  </si>
  <si>
    <t>statAreaMismatch</t>
  </si>
  <si>
    <t>EEPROM (duplicated) static area content doesn't match even though both have a correct CRC</t>
  </si>
  <si>
    <t>EEPROM safety area A (ID page) is not locked</t>
  </si>
  <si>
    <t>wenn bei nächsten check gelockt
retry initial EEPROM read</t>
  </si>
  <si>
    <t>I2CCommunicationFail</t>
  </si>
  <si>
    <t>error in the I2C communication to the EEPROM (might occur in combination with badCRC-error)</t>
  </si>
  <si>
    <t>data was not read/written</t>
  </si>
  <si>
    <t>Beginn write Saf Area 
Beginn write Stat Area
Beginn write Dyn Area
retry initial EEPROM read</t>
  </si>
  <si>
    <t>EEPROMReadFail</t>
  </si>
  <si>
    <t>error occurs while reading the whole EEPROM for init</t>
  </si>
  <si>
    <t>ERROR, issue retry</t>
  </si>
  <si>
    <t>IDPageStatusReadFail</t>
  </si>
  <si>
    <t>error occurs while reading status of EEPROM ID page (locked/unlocked)</t>
  </si>
  <si>
    <t>ERROR, issue retry?</t>
  </si>
  <si>
    <t>Beginn read ID Page status</t>
  </si>
  <si>
    <t>SafAreaWriteFail</t>
  </si>
  <si>
    <t>error occures while writing safety area</t>
  </si>
  <si>
    <t>Beginn write Saf Area</t>
  </si>
  <si>
    <t>StatAreaWriteFail</t>
  </si>
  <si>
    <t>error occures while writing static area</t>
  </si>
  <si>
    <t>Beginn write Stat Area</t>
  </si>
  <si>
    <t>DynAreaWriteFail</t>
  </si>
  <si>
    <t>error occures while writing dynamic area</t>
  </si>
  <si>
    <t>Beginn write DynArea</t>
  </si>
  <si>
    <t>SafAreaReadFail</t>
  </si>
  <si>
    <t>error occures while reading safety area after writing safety area</t>
  </si>
  <si>
    <t>Beginn write Saf Area
retry initial EEPROM read</t>
  </si>
  <si>
    <t>StatAreaReadFail</t>
  </si>
  <si>
    <t>error occures while reading static area after writing static area</t>
  </si>
  <si>
    <t>DynAreaReadFail</t>
  </si>
  <si>
    <t>error occures while reading dynamic area after writing dynamic area</t>
  </si>
  <si>
    <t>VerifySafWriteFail</t>
  </si>
  <si>
    <t>data written to and afterwards read from safety areas doesn't match</t>
  </si>
  <si>
    <t>VerifyStatWriteFail</t>
  </si>
  <si>
    <t>data written to and afterwards read from static areas doesn't match</t>
  </si>
  <si>
    <t>VerifyDynWriteFail</t>
  </si>
  <si>
    <t>data written to and afterwards read from dynamic areas doesn't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</si>
</sst>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2]* #,##0.00_);_([$€-2]* \(#,##0.00\);_([$€-2]* &quot;-&quot;??_)"/>
    <numFmt numFmtId="165" formatCode="#,##0\ .0;\(#,##0.0\)"/>
    <numFmt numFmtId="166" formatCode="#,##0\ .00;\(#,##0.00\)"/>
    <numFmt numFmtId="167" formatCode="0.0%"/>
    <numFmt numFmtId="168" formatCode="_-* #,##0.00\ &quot;DM&quot;_-;\-* #,##0.00\ &quot;DM&quot;_-;_-* &quot;-&quot;??\ &quot;DM&quot;_-;_-@_-"/>
    <numFmt numFmtId="169" formatCode="0\ &quot;Bit&quot;"/>
  </numFmts>
  <fonts count="64">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0"/>
      <name val="Arial"/>
      <family val="2"/>
    </font>
    <font>
      <sz val="16"/>
      <name val="Arial Black"/>
      <family val="2"/>
    </font>
    <font>
      <b/>
      <sz val="16"/>
      <name val="Arial"/>
      <family val="2"/>
    </font>
    <font>
      <sz val="11"/>
      <color rgb="FF0F0498"/>
      <name val="Arial"/>
      <family val="2"/>
    </font>
    <font>
      <b/>
      <sz val="11"/>
      <name val="Arial"/>
      <family val="2"/>
    </font>
    <font>
      <sz val="9"/>
      <name val="Arial"/>
      <family val="2"/>
    </font>
    <font>
      <b/>
      <sz val="9"/>
      <name val="Arial"/>
      <family val="2"/>
    </font>
    <font>
      <sz val="9"/>
      <color indexed="8"/>
      <name val="Calibri"/>
      <family val="2"/>
    </font>
    <font>
      <b/>
      <sz val="10"/>
      <name val="Arial"/>
      <family val="2"/>
    </font>
    <font>
      <u/>
      <sz val="9.35"/>
      <color theme="10"/>
      <name val="Calibri"/>
      <family val="2"/>
    </font>
    <font>
      <sz val="12"/>
      <color indexed="8"/>
      <name val="Arial"/>
      <family val="2"/>
    </font>
    <font>
      <sz val="14"/>
      <color indexed="8"/>
      <name val="Arial"/>
      <family val="2"/>
    </font>
    <font>
      <b/>
      <sz val="12"/>
      <name val="Helv"/>
    </font>
    <font>
      <sz val="12"/>
      <name val="Helv"/>
    </font>
    <font>
      <sz val="8"/>
      <name val="Arial"/>
      <family val="2"/>
    </font>
    <font>
      <b/>
      <sz val="12"/>
      <name val="Arial"/>
      <family val="2"/>
    </font>
    <font>
      <u/>
      <sz val="11"/>
      <color theme="10"/>
      <name val="Calibri"/>
      <family val="2"/>
      <scheme val="minor"/>
    </font>
    <font>
      <sz val="10"/>
      <name val="Times New Roman"/>
      <family val="1"/>
    </font>
    <font>
      <sz val="12"/>
      <name val="Arial"/>
      <family val="2"/>
    </font>
    <font>
      <sz val="10"/>
      <color theme="1"/>
      <name val="Arial"/>
      <family val="2"/>
    </font>
    <font>
      <sz val="11"/>
      <name val="ＭＳ Ｐゴシック"/>
      <family val="3"/>
    </font>
    <font>
      <sz val="11"/>
      <color rgb="FF006100"/>
      <name val="Calibri"/>
      <family val="2"/>
      <scheme val="minor"/>
    </font>
    <font>
      <b/>
      <sz val="11"/>
      <color theme="0"/>
      <name val="Calibri"/>
      <family val="2"/>
      <scheme val="minor"/>
    </font>
    <font>
      <b/>
      <sz val="7"/>
      <name val="Arial"/>
      <family val="2"/>
    </font>
    <font>
      <strike/>
      <sz val="11"/>
      <color indexed="8"/>
      <name val="Calibri"/>
      <family val="2"/>
    </font>
    <font>
      <sz val="6"/>
      <name val="Arial"/>
      <family val="2"/>
    </font>
    <font>
      <sz val="10"/>
      <color indexed="8"/>
      <name val="Arial"/>
      <family val="2"/>
    </font>
    <font>
      <b/>
      <sz val="11"/>
      <color indexed="8"/>
      <name val="Calibri"/>
      <family val="2"/>
    </font>
    <font>
      <i/>
      <sz val="11"/>
      <name val="Arial"/>
      <family val="2"/>
    </font>
    <font>
      <sz val="11"/>
      <color rgb="FFFF0000"/>
      <name val="Calibri"/>
      <family val="2"/>
      <scheme val="minor"/>
    </font>
    <font>
      <b/>
      <sz val="11"/>
      <color theme="1"/>
      <name val="Calibri"/>
      <family val="2"/>
      <scheme val="minor"/>
    </font>
    <font>
      <sz val="11"/>
      <color theme="0"/>
      <name val="Calibri"/>
      <family val="2"/>
      <scheme val="minor"/>
    </font>
    <font>
      <sz val="11"/>
      <name val="Calibri"/>
      <family val="2"/>
      <scheme val="minor"/>
    </font>
    <font>
      <vertAlign val="subscript"/>
      <sz val="11"/>
      <color rgb="FFFF0000"/>
      <name val="Calibri"/>
      <family val="2"/>
      <scheme val="minor"/>
    </font>
    <font>
      <b/>
      <vertAlign val="subscript"/>
      <sz val="11"/>
      <color theme="1"/>
      <name val="Calibri"/>
      <family val="2"/>
      <scheme val="minor"/>
    </font>
    <font>
      <vertAlign val="subscript"/>
      <sz val="11"/>
      <color theme="1"/>
      <name val="Calibri"/>
      <family val="2"/>
      <scheme val="minor"/>
    </font>
    <font>
      <vertAlign val="subscript"/>
      <sz val="11"/>
      <color theme="0"/>
      <name val="Calibri"/>
      <family val="2"/>
      <scheme val="minor"/>
    </font>
    <font>
      <vertAlign val="subscript"/>
      <sz val="11"/>
      <name val="Calibri"/>
      <family val="2"/>
      <scheme val="minor"/>
    </font>
    <font>
      <sz val="10"/>
      <color rgb="FFFF0000"/>
      <name val="Arial"/>
      <family val="2"/>
    </font>
    <font>
      <sz val="8"/>
      <name val="Calibri"/>
      <family val="2"/>
    </font>
    <font>
      <u/>
      <sz val="10"/>
      <color theme="10"/>
      <name val="Arial"/>
      <family val="2"/>
    </font>
    <font>
      <b/>
      <sz val="14"/>
      <color indexed="8"/>
      <name val="Calibri"/>
      <family val="2"/>
    </font>
    <font>
      <i/>
      <sz val="10"/>
      <name val="Arial"/>
      <family val="2"/>
    </font>
    <font>
      <i/>
      <u/>
      <sz val="10"/>
      <color theme="10"/>
      <name val="Arial"/>
      <family val="2"/>
    </font>
    <font>
      <b/>
      <sz val="12"/>
      <color rgb="FF000000"/>
      <name val="Calibri"/>
      <family val="2"/>
    </font>
    <font>
      <b/>
      <sz val="11"/>
      <color rgb="FF000000"/>
      <name val="Calibri"/>
      <family val="2"/>
    </font>
    <font>
      <b/>
      <u/>
      <sz val="9.35"/>
      <color theme="10"/>
      <name val="Calibri"/>
      <family val="2"/>
    </font>
    <font>
      <strike/>
      <sz val="10"/>
      <name val="Arial"/>
      <family val="2"/>
    </font>
    <font>
      <strike/>
      <u/>
      <sz val="10"/>
      <color theme="10"/>
      <name val="Arial"/>
      <family val="2"/>
    </font>
    <font>
      <i/>
      <strike/>
      <u/>
      <sz val="10"/>
      <color theme="10"/>
      <name val="Arial"/>
      <family val="2"/>
    </font>
    <font>
      <vertAlign val="subscript"/>
      <sz val="10"/>
      <name val="Arial"/>
      <family val="2"/>
    </font>
    <font>
      <strike/>
      <vertAlign val="subscript"/>
      <sz val="10"/>
      <name val="Arial"/>
      <family val="2"/>
    </font>
    <font>
      <strike/>
      <sz val="10"/>
      <color rgb="FFFF0000"/>
      <name val="Arial"/>
      <family val="2"/>
    </font>
    <font>
      <strike/>
      <sz val="11"/>
      <color indexed="8"/>
      <name val="Cambria"/>
      <family val="1"/>
    </font>
    <font>
      <strike/>
      <sz val="10"/>
      <name val="Cambria"/>
      <family val="1"/>
    </font>
    <font>
      <strike/>
      <u/>
      <sz val="9.35"/>
      <color theme="10"/>
      <name val="Calibri"/>
      <family val="2"/>
    </font>
    <font>
      <strike/>
      <sz val="11"/>
      <color rgb="FF000000"/>
      <name val="Calibri"/>
      <family val="2"/>
    </font>
    <font>
      <i/>
      <strike/>
      <sz val="10"/>
      <name val="Arial"/>
      <family val="2"/>
    </font>
  </fonts>
  <fills count="2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6"/>
        <bgColor indexed="64"/>
      </patternFill>
    </fill>
    <fill>
      <patternFill patternType="solid">
        <fgColor rgb="FFC6EFCE"/>
      </patternFill>
    </fill>
    <fill>
      <patternFill patternType="solid">
        <fgColor rgb="FFA5A5A5"/>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bgColor indexed="64"/>
      </patternFill>
    </fill>
    <fill>
      <patternFill patternType="solid">
        <fgColor theme="6" tint="0.79998168889431442"/>
        <bgColor indexed="64"/>
      </patternFill>
    </fill>
    <fill>
      <patternFill patternType="solid">
        <fgColor theme="6" tint="-0.249977111117893"/>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rgb="FFD9D9D9"/>
        <bgColor rgb="FFD9D9D9"/>
      </patternFill>
    </fill>
    <fill>
      <patternFill patternType="solid">
        <fgColor rgb="FFDDEBF7"/>
        <bgColor rgb="FFDDEBF7"/>
      </patternFill>
    </fill>
    <fill>
      <patternFill patternType="solid">
        <fgColor theme="4"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0.249977111117893"/>
        <bgColor indexed="64"/>
      </patternFill>
    </fill>
  </fills>
  <borders count="5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dashed">
        <color indexed="64"/>
      </bottom>
      <diagonal/>
    </border>
    <border>
      <left/>
      <right/>
      <top/>
      <bottom style="thin">
        <color indexed="64"/>
      </bottom>
      <diagonal/>
    </border>
    <border>
      <left style="thin">
        <color indexed="64"/>
      </left>
      <right style="thin">
        <color indexed="64"/>
      </right>
      <top style="dashed">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bottom style="medium">
        <color indexed="64"/>
      </bottom>
      <diagonal/>
    </border>
    <border>
      <left/>
      <right/>
      <top style="medium">
        <color indexed="64"/>
      </top>
      <bottom/>
      <diagonal/>
    </border>
    <border>
      <left/>
      <right/>
      <top style="thin">
        <color indexed="64"/>
      </top>
      <bottom/>
      <diagonal/>
    </border>
    <border>
      <left/>
      <right style="thin">
        <color rgb="FF000000"/>
      </right>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1">
    <xf numFmtId="164" fontId="0" fillId="0" borderId="0"/>
    <xf numFmtId="164" fontId="6" fillId="0" borderId="0"/>
    <xf numFmtId="164" fontId="4" fillId="0" borderId="0"/>
    <xf numFmtId="0" fontId="15" fillId="0" borderId="0" applyNumberFormat="0" applyFill="0" applyBorder="0" applyAlignment="0" applyProtection="0">
      <alignment vertical="top"/>
      <protection locked="0"/>
    </xf>
    <xf numFmtId="3" fontId="16" fillId="0" borderId="0" applyNumberFormat="0" applyFill="0" applyBorder="0" applyAlignment="0" applyProtection="0"/>
    <xf numFmtId="3" fontId="17" fillId="0" borderId="0" applyNumberFormat="0" applyFill="0" applyBorder="0" applyAlignment="0" applyProtection="0"/>
    <xf numFmtId="164" fontId="18" fillId="0" borderId="0"/>
    <xf numFmtId="164" fontId="19" fillId="0" borderId="0"/>
    <xf numFmtId="164" fontId="19" fillId="0" borderId="0"/>
    <xf numFmtId="164" fontId="19" fillId="0" borderId="0"/>
    <xf numFmtId="164" fontId="19" fillId="0" borderId="0"/>
    <xf numFmtId="164" fontId="19" fillId="0" borderId="0"/>
    <xf numFmtId="164" fontId="19" fillId="0" borderId="0"/>
    <xf numFmtId="164" fontId="19" fillId="0" borderId="0"/>
    <xf numFmtId="165"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0" fontId="6" fillId="0" borderId="0"/>
    <xf numFmtId="38" fontId="20" fillId="5" borderId="0" applyNumberFormat="0" applyBorder="0" applyAlignment="0" applyProtection="0"/>
    <xf numFmtId="164" fontId="21" fillId="0" borderId="19" applyNumberFormat="0" applyAlignment="0" applyProtection="0">
      <alignment horizontal="left" vertical="center"/>
    </xf>
    <xf numFmtId="164" fontId="21" fillId="0" borderId="20">
      <alignment horizontal="left" vertical="center"/>
    </xf>
    <xf numFmtId="164" fontId="22" fillId="0" borderId="0" applyNumberFormat="0" applyFill="0" applyBorder="0" applyAlignment="0" applyProtection="0"/>
    <xf numFmtId="10" fontId="20" fillId="6" borderId="5" applyNumberFormat="0" applyBorder="0" applyAlignment="0" applyProtection="0"/>
    <xf numFmtId="164" fontId="23" fillId="0" borderId="0"/>
    <xf numFmtId="164" fontId="6" fillId="0" borderId="0"/>
    <xf numFmtId="0" fontId="6" fillId="0" borderId="0"/>
    <xf numFmtId="10" fontId="6" fillId="0" borderId="0" applyFont="0" applyFill="0" applyBorder="0" applyAlignment="0" applyProtection="0"/>
    <xf numFmtId="9" fontId="6" fillId="0" borderId="0" applyFont="0" applyFill="0" applyBorder="0" applyAlignment="0" applyProtection="0"/>
    <xf numFmtId="167" fontId="6" fillId="0" borderId="0" applyFont="0" applyFill="0" applyBorder="0" applyAlignment="0" applyProtection="0"/>
    <xf numFmtId="10" fontId="6" fillId="0" borderId="0" applyFont="0" applyFill="0" applyBorder="0" applyAlignment="0" applyProtection="0"/>
    <xf numFmtId="3" fontId="11" fillId="0" borderId="0" applyFill="0" applyBorder="0" applyAlignment="0" applyProtection="0"/>
    <xf numFmtId="3" fontId="24" fillId="0" borderId="0" applyFill="0" applyBorder="0" applyAlignment="0" applyProtection="0"/>
    <xf numFmtId="3" fontId="11" fillId="0" borderId="0" applyFill="0" applyBorder="0" applyAlignment="0" applyProtection="0"/>
    <xf numFmtId="164" fontId="6" fillId="0" borderId="0"/>
    <xf numFmtId="164" fontId="6" fillId="0" borderId="0"/>
    <xf numFmtId="164" fontId="4" fillId="0" borderId="0"/>
    <xf numFmtId="0" fontId="25" fillId="0" borderId="0"/>
    <xf numFmtId="0" fontId="4" fillId="0" borderId="0"/>
    <xf numFmtId="0" fontId="6" fillId="0" borderId="0"/>
    <xf numFmtId="168" fontId="6" fillId="0" borderId="0" applyFont="0" applyFill="0" applyBorder="0" applyAlignment="0" applyProtection="0"/>
    <xf numFmtId="164" fontId="26" fillId="0" borderId="0"/>
    <xf numFmtId="164" fontId="3" fillId="0" borderId="0"/>
    <xf numFmtId="0" fontId="27" fillId="7" borderId="0" applyNumberFormat="0" applyBorder="0" applyAlignment="0" applyProtection="0"/>
    <xf numFmtId="0" fontId="28" fillId="8" borderId="31" applyNumberFormat="0" applyAlignment="0" applyProtection="0"/>
    <xf numFmtId="0" fontId="2" fillId="0" borderId="0"/>
    <xf numFmtId="0" fontId="22" fillId="0" borderId="0" applyNumberFormat="0" applyFill="0" applyBorder="0" applyAlignment="0" applyProtection="0"/>
    <xf numFmtId="164" fontId="1" fillId="0" borderId="0"/>
    <xf numFmtId="164" fontId="1" fillId="0" borderId="0"/>
    <xf numFmtId="0" fontId="1" fillId="0" borderId="0"/>
    <xf numFmtId="164" fontId="1" fillId="0" borderId="0"/>
    <xf numFmtId="0" fontId="1" fillId="0" borderId="0"/>
  </cellStyleXfs>
  <cellXfs count="363">
    <xf numFmtId="164" fontId="0" fillId="0" borderId="0" xfId="0"/>
    <xf numFmtId="164" fontId="5" fillId="2" borderId="0" xfId="0" applyFont="1" applyFill="1"/>
    <xf numFmtId="164" fontId="10" fillId="3" borderId="7" xfId="1" applyFont="1" applyFill="1" applyBorder="1" applyAlignment="1" applyProtection="1">
      <alignment horizontal="center" vertical="center" wrapText="1"/>
      <protection locked="0"/>
    </xf>
    <xf numFmtId="164" fontId="10" fillId="3" borderId="8" xfId="1" applyFont="1" applyFill="1" applyBorder="1" applyAlignment="1" applyProtection="1">
      <alignment horizontal="right"/>
      <protection locked="0"/>
    </xf>
    <xf numFmtId="164" fontId="11" fillId="2" borderId="0" xfId="1" applyFont="1" applyFill="1" applyAlignment="1" applyProtection="1">
      <alignment horizontal="center"/>
      <protection locked="0"/>
    </xf>
    <xf numFmtId="164" fontId="12" fillId="2" borderId="0" xfId="1" applyFont="1" applyFill="1" applyAlignment="1" applyProtection="1">
      <alignment horizontal="center"/>
      <protection locked="0"/>
    </xf>
    <xf numFmtId="164" fontId="13" fillId="0" borderId="0" xfId="0" applyFont="1"/>
    <xf numFmtId="164" fontId="14" fillId="4" borderId="4" xfId="2" applyFont="1" applyFill="1" applyBorder="1" applyAlignment="1" applyProtection="1">
      <alignment horizontal="center" vertical="top" wrapText="1"/>
      <protection locked="0"/>
    </xf>
    <xf numFmtId="164" fontId="14" fillId="4" borderId="5" xfId="2" applyFont="1" applyFill="1" applyBorder="1" applyAlignment="1" applyProtection="1">
      <alignment horizontal="center" vertical="top" wrapText="1"/>
      <protection locked="0"/>
    </xf>
    <xf numFmtId="164" fontId="14" fillId="4" borderId="6" xfId="2" applyFont="1" applyFill="1" applyBorder="1" applyAlignment="1" applyProtection="1">
      <alignment horizontal="center" vertical="top" wrapText="1"/>
      <protection locked="0"/>
    </xf>
    <xf numFmtId="1" fontId="6" fillId="2" borderId="4" xfId="1" applyNumberFormat="1" applyFill="1" applyBorder="1" applyAlignment="1" applyProtection="1">
      <alignment horizontal="center" vertical="top" wrapText="1"/>
      <protection locked="0"/>
    </xf>
    <xf numFmtId="164" fontId="6" fillId="2" borderId="5" xfId="1" applyFill="1" applyBorder="1" applyAlignment="1" applyProtection="1">
      <alignment horizontal="center" vertical="top" wrapText="1"/>
      <protection locked="0"/>
    </xf>
    <xf numFmtId="14" fontId="6" fillId="2" borderId="6" xfId="1" applyNumberFormat="1" applyFill="1" applyBorder="1" applyAlignment="1" applyProtection="1">
      <alignment horizontal="center" vertical="top" wrapText="1"/>
      <protection locked="0"/>
    </xf>
    <xf numFmtId="49" fontId="6" fillId="2" borderId="4" xfId="1" applyNumberFormat="1" applyFill="1" applyBorder="1" applyAlignment="1" applyProtection="1">
      <alignment horizontal="center" vertical="top" wrapText="1"/>
      <protection locked="0"/>
    </xf>
    <xf numFmtId="49" fontId="6" fillId="2" borderId="7" xfId="1" applyNumberFormat="1" applyFill="1" applyBorder="1" applyAlignment="1" applyProtection="1">
      <alignment horizontal="center" vertical="top" wrapText="1"/>
      <protection locked="0"/>
    </xf>
    <xf numFmtId="14" fontId="6" fillId="2" borderId="9" xfId="1" applyNumberFormat="1" applyFill="1" applyBorder="1" applyAlignment="1" applyProtection="1">
      <alignment horizontal="center" vertical="top" wrapText="1"/>
      <protection locked="0"/>
    </xf>
    <xf numFmtId="164" fontId="11" fillId="2" borderId="0" xfId="1" applyFont="1" applyFill="1" applyProtection="1">
      <protection locked="0"/>
    </xf>
    <xf numFmtId="164" fontId="12" fillId="2" borderId="0" xfId="1" applyFont="1" applyFill="1" applyProtection="1">
      <protection locked="0"/>
    </xf>
    <xf numFmtId="164" fontId="14" fillId="3" borderId="16" xfId="1" applyFont="1" applyFill="1" applyBorder="1" applyAlignment="1" applyProtection="1">
      <alignment horizontal="right"/>
      <protection locked="0"/>
    </xf>
    <xf numFmtId="49" fontId="0" fillId="0" borderId="0" xfId="0" applyNumberFormat="1"/>
    <xf numFmtId="164" fontId="6" fillId="2" borderId="5" xfId="2" applyFont="1" applyFill="1" applyBorder="1" applyAlignment="1" applyProtection="1">
      <alignment horizontal="center" vertical="top" wrapText="1"/>
      <protection locked="0"/>
    </xf>
    <xf numFmtId="49" fontId="6" fillId="2" borderId="28" xfId="1" applyNumberFormat="1" applyFill="1" applyBorder="1" applyAlignment="1" applyProtection="1">
      <alignment horizontal="center" vertical="top" wrapText="1"/>
      <protection locked="0"/>
    </xf>
    <xf numFmtId="164" fontId="6" fillId="2" borderId="29" xfId="1" applyFill="1" applyBorder="1" applyAlignment="1" applyProtection="1">
      <alignment horizontal="center" vertical="top" wrapText="1"/>
      <protection locked="0"/>
    </xf>
    <xf numFmtId="14" fontId="6" fillId="2" borderId="30" xfId="1" applyNumberFormat="1" applyFill="1" applyBorder="1" applyAlignment="1" applyProtection="1">
      <alignment horizontal="center" vertical="top" wrapText="1"/>
      <protection locked="0"/>
    </xf>
    <xf numFmtId="164" fontId="6" fillId="2" borderId="8" xfId="2" applyFont="1" applyFill="1" applyBorder="1" applyAlignment="1" applyProtection="1">
      <alignment horizontal="center" vertical="top" wrapText="1"/>
      <protection locked="0"/>
    </xf>
    <xf numFmtId="49" fontId="6" fillId="2" borderId="4" xfId="1" applyNumberFormat="1" applyFill="1" applyBorder="1" applyAlignment="1" applyProtection="1">
      <alignment horizontal="center" vertical="center" wrapText="1"/>
      <protection locked="0"/>
    </xf>
    <xf numFmtId="14" fontId="6" fillId="2" borderId="6" xfId="1" applyNumberFormat="1" applyFill="1" applyBorder="1" applyAlignment="1" applyProtection="1">
      <alignment horizontal="center" vertical="center" wrapText="1"/>
      <protection locked="0"/>
    </xf>
    <xf numFmtId="49" fontId="6" fillId="2" borderId="7" xfId="1" applyNumberFormat="1" applyFill="1" applyBorder="1" applyAlignment="1" applyProtection="1">
      <alignment horizontal="center" vertical="center" wrapText="1"/>
      <protection locked="0"/>
    </xf>
    <xf numFmtId="14" fontId="6" fillId="2" borderId="9" xfId="1" applyNumberFormat="1" applyFill="1" applyBorder="1" applyAlignment="1" applyProtection="1">
      <alignment horizontal="center" vertical="center" wrapText="1"/>
      <protection locked="0"/>
    </xf>
    <xf numFmtId="49" fontId="6" fillId="2" borderId="21" xfId="1" applyNumberFormat="1" applyFill="1" applyBorder="1" applyAlignment="1" applyProtection="1">
      <alignment horizontal="center" vertical="center" wrapText="1"/>
      <protection locked="0"/>
    </xf>
    <xf numFmtId="14" fontId="6" fillId="2" borderId="23" xfId="1" applyNumberFormat="1" applyFill="1" applyBorder="1" applyAlignment="1" applyProtection="1">
      <alignment horizontal="center" vertical="center" wrapText="1"/>
      <protection locked="0"/>
    </xf>
    <xf numFmtId="49" fontId="6" fillId="2" borderId="5" xfId="1" applyNumberFormat="1" applyFill="1" applyBorder="1" applyAlignment="1" applyProtection="1">
      <alignment horizontal="center" vertical="center" wrapText="1"/>
      <protection locked="0"/>
    </xf>
    <xf numFmtId="49" fontId="6" fillId="2" borderId="22" xfId="1" applyNumberFormat="1" applyFill="1" applyBorder="1" applyAlignment="1" applyProtection="1">
      <alignment horizontal="center" vertical="center" wrapText="1"/>
      <protection locked="0"/>
    </xf>
    <xf numFmtId="49" fontId="6" fillId="2" borderId="8" xfId="1" applyNumberFormat="1" applyFill="1" applyBorder="1" applyAlignment="1" applyProtection="1">
      <alignment horizontal="center" vertical="center" wrapText="1"/>
      <protection locked="0"/>
    </xf>
    <xf numFmtId="164" fontId="14" fillId="4" borderId="5" xfId="41" applyFont="1" applyFill="1" applyBorder="1" applyAlignment="1" applyProtection="1">
      <alignment horizontal="center" vertical="top" wrapText="1"/>
      <protection locked="0"/>
    </xf>
    <xf numFmtId="164" fontId="14" fillId="4" borderId="6" xfId="41" applyFont="1" applyFill="1" applyBorder="1" applyAlignment="1" applyProtection="1">
      <alignment horizontal="center" vertical="top" wrapText="1"/>
      <protection locked="0"/>
    </xf>
    <xf numFmtId="164" fontId="28" fillId="8" borderId="31" xfId="43" applyNumberFormat="1"/>
    <xf numFmtId="164" fontId="27" fillId="7" borderId="31" xfId="42" applyNumberFormat="1" applyBorder="1"/>
    <xf numFmtId="164" fontId="14" fillId="4" borderId="32" xfId="2" applyFont="1" applyFill="1" applyBorder="1" applyAlignment="1" applyProtection="1">
      <alignment horizontal="center" vertical="top" wrapText="1"/>
      <protection locked="0"/>
    </xf>
    <xf numFmtId="164" fontId="0" fillId="0" borderId="0" xfId="0" applyAlignment="1">
      <alignment wrapText="1"/>
    </xf>
    <xf numFmtId="164" fontId="0" fillId="0" borderId="33" xfId="0" applyBorder="1"/>
    <xf numFmtId="164" fontId="0" fillId="10" borderId="33" xfId="0" applyFill="1" applyBorder="1"/>
    <xf numFmtId="164" fontId="0" fillId="11" borderId="33" xfId="0" applyFill="1" applyBorder="1"/>
    <xf numFmtId="164" fontId="30" fillId="3" borderId="33" xfId="0" applyFont="1" applyFill="1" applyBorder="1"/>
    <xf numFmtId="164" fontId="12" fillId="4" borderId="32" xfId="2" applyFont="1" applyFill="1" applyBorder="1" applyAlignment="1" applyProtection="1">
      <alignment horizontal="center" vertical="top" wrapText="1"/>
      <protection locked="0"/>
    </xf>
    <xf numFmtId="164" fontId="0" fillId="9" borderId="33" xfId="0" applyFill="1" applyBorder="1"/>
    <xf numFmtId="1" fontId="6" fillId="2" borderId="1" xfId="1" applyNumberFormat="1" applyFill="1" applyBorder="1" applyAlignment="1" applyProtection="1">
      <alignment horizontal="center" vertical="top" wrapText="1"/>
      <protection locked="0"/>
    </xf>
    <xf numFmtId="164" fontId="14" fillId="4" borderId="0" xfId="2" applyFont="1" applyFill="1" applyAlignment="1" applyProtection="1">
      <alignment horizontal="center" vertical="top" wrapText="1"/>
      <protection locked="0"/>
    </xf>
    <xf numFmtId="49" fontId="6" fillId="2" borderId="2" xfId="1" applyNumberFormat="1" applyFill="1" applyBorder="1" applyAlignment="1" applyProtection="1">
      <alignment horizontal="center" vertical="top" wrapText="1"/>
      <protection locked="0"/>
    </xf>
    <xf numFmtId="49" fontId="29" fillId="2" borderId="2" xfId="1" applyNumberFormat="1" applyFont="1" applyFill="1" applyBorder="1" applyAlignment="1" applyProtection="1">
      <alignment horizontal="center" vertical="top" wrapText="1"/>
      <protection locked="0"/>
    </xf>
    <xf numFmtId="1" fontId="6" fillId="2" borderId="2" xfId="1" applyNumberFormat="1" applyFill="1" applyBorder="1" applyAlignment="1" applyProtection="1">
      <alignment horizontal="center" vertical="top" wrapText="1"/>
      <protection locked="0"/>
    </xf>
    <xf numFmtId="14" fontId="6" fillId="2" borderId="2" xfId="1" applyNumberFormat="1" applyFill="1" applyBorder="1" applyAlignment="1" applyProtection="1">
      <alignment horizontal="center" vertical="top" wrapText="1"/>
      <protection locked="0"/>
    </xf>
    <xf numFmtId="164" fontId="0" fillId="0" borderId="4" xfId="0" applyBorder="1"/>
    <xf numFmtId="164" fontId="0" fillId="0" borderId="3" xfId="0" applyBorder="1" applyAlignment="1">
      <alignment horizontal="center" vertical="top" wrapText="1"/>
    </xf>
    <xf numFmtId="164" fontId="14" fillId="3" borderId="5" xfId="2" applyFont="1" applyFill="1" applyBorder="1" applyAlignment="1" applyProtection="1">
      <alignment horizontal="center" vertical="center"/>
      <protection locked="0"/>
    </xf>
    <xf numFmtId="14" fontId="34" fillId="3" borderId="8" xfId="1" applyNumberFormat="1" applyFont="1" applyFill="1" applyBorder="1" applyAlignment="1" applyProtection="1">
      <alignment horizontal="center"/>
      <protection locked="0"/>
    </xf>
    <xf numFmtId="164" fontId="0" fillId="0" borderId="0" xfId="0" applyAlignment="1">
      <alignment vertical="center"/>
    </xf>
    <xf numFmtId="164" fontId="12" fillId="4" borderId="32" xfId="2" applyFont="1" applyFill="1" applyBorder="1" applyAlignment="1" applyProtection="1">
      <alignment horizontal="center" vertical="center" wrapText="1"/>
      <protection locked="0"/>
    </xf>
    <xf numFmtId="164" fontId="14" fillId="4" borderId="32" xfId="2" applyFont="1" applyFill="1" applyBorder="1" applyAlignment="1" applyProtection="1">
      <alignment horizontal="center" vertical="center" wrapText="1"/>
      <protection locked="0"/>
    </xf>
    <xf numFmtId="49" fontId="31" fillId="2" borderId="1" xfId="1" applyNumberFormat="1" applyFont="1" applyFill="1" applyBorder="1" applyAlignment="1" applyProtection="1">
      <alignment horizontal="center" vertical="center" wrapText="1"/>
      <protection locked="0"/>
    </xf>
    <xf numFmtId="1" fontId="6" fillId="2" borderId="2" xfId="1" applyNumberFormat="1" applyFill="1" applyBorder="1" applyAlignment="1" applyProtection="1">
      <alignment horizontal="center" vertical="center" wrapText="1"/>
      <protection locked="0"/>
    </xf>
    <xf numFmtId="49" fontId="6" fillId="2" borderId="2" xfId="1" applyNumberFormat="1" applyFill="1" applyBorder="1" applyAlignment="1" applyProtection="1">
      <alignment horizontal="center" vertical="center" wrapText="1"/>
      <protection locked="0"/>
    </xf>
    <xf numFmtId="49" fontId="29" fillId="2" borderId="2" xfId="1" applyNumberFormat="1" applyFont="1" applyFill="1" applyBorder="1" applyAlignment="1" applyProtection="1">
      <alignment horizontal="center" vertical="center" wrapText="1"/>
      <protection locked="0"/>
    </xf>
    <xf numFmtId="14" fontId="6" fillId="2" borderId="2" xfId="1" applyNumberFormat="1" applyFill="1" applyBorder="1" applyAlignment="1" applyProtection="1">
      <alignment horizontal="center" vertical="center" wrapText="1"/>
      <protection locked="0"/>
    </xf>
    <xf numFmtId="164" fontId="0" fillId="0" borderId="36" xfId="0" applyBorder="1" applyAlignment="1">
      <alignment horizontal="center" vertical="center" wrapText="1"/>
    </xf>
    <xf numFmtId="49" fontId="0" fillId="0" borderId="4" xfId="0" applyNumberFormat="1" applyBorder="1" applyAlignment="1">
      <alignment horizontal="left" vertical="center"/>
    </xf>
    <xf numFmtId="1" fontId="6" fillId="2" borderId="35" xfId="1" applyNumberFormat="1" applyFill="1" applyBorder="1" applyAlignment="1" applyProtection="1">
      <alignment horizontal="left" vertical="center" wrapText="1"/>
      <protection locked="0"/>
    </xf>
    <xf numFmtId="164" fontId="0" fillId="0" borderId="24" xfId="0" applyBorder="1" applyAlignment="1">
      <alignment horizontal="left" vertical="center"/>
    </xf>
    <xf numFmtId="164" fontId="0" fillId="0" borderId="5" xfId="0" applyBorder="1" applyAlignment="1">
      <alignment horizontal="left" vertical="center"/>
    </xf>
    <xf numFmtId="0" fontId="0" fillId="0" borderId="5" xfId="0" applyNumberFormat="1" applyBorder="1" applyAlignment="1">
      <alignment vertical="center"/>
    </xf>
    <xf numFmtId="164" fontId="0" fillId="0" borderId="5" xfId="0" applyBorder="1" applyAlignment="1">
      <alignment vertical="center"/>
    </xf>
    <xf numFmtId="1" fontId="6" fillId="0" borderId="5" xfId="1" applyNumberFormat="1" applyBorder="1" applyAlignment="1" applyProtection="1">
      <alignment horizontal="left" vertical="center" wrapText="1"/>
      <protection locked="0"/>
    </xf>
    <xf numFmtId="164" fontId="0" fillId="0" borderId="5" xfId="0" quotePrefix="1" applyBorder="1" applyAlignment="1">
      <alignment horizontal="left" vertical="center" wrapText="1"/>
    </xf>
    <xf numFmtId="1" fontId="6" fillId="0" borderId="35" xfId="1" applyNumberFormat="1" applyBorder="1" applyAlignment="1" applyProtection="1">
      <alignment horizontal="left" vertical="center" wrapText="1"/>
      <protection locked="0"/>
    </xf>
    <xf numFmtId="49" fontId="6" fillId="0" borderId="35" xfId="1" applyNumberFormat="1" applyBorder="1" applyAlignment="1" applyProtection="1">
      <alignment horizontal="left" vertical="center" wrapText="1"/>
      <protection locked="0"/>
    </xf>
    <xf numFmtId="164" fontId="0" fillId="0" borderId="5" xfId="0" applyBorder="1" applyAlignment="1">
      <alignment vertical="center" wrapText="1"/>
    </xf>
    <xf numFmtId="164" fontId="13" fillId="0" borderId="5" xfId="0" applyFont="1" applyBorder="1" applyAlignment="1">
      <alignment vertical="center"/>
    </xf>
    <xf numFmtId="49" fontId="0" fillId="0" borderId="0" xfId="0" applyNumberFormat="1" applyAlignment="1">
      <alignment vertical="center"/>
    </xf>
    <xf numFmtId="164" fontId="32" fillId="0" borderId="0" xfId="0" applyFont="1" applyAlignment="1">
      <alignment vertical="center"/>
    </xf>
    <xf numFmtId="164" fontId="13" fillId="0" borderId="0" xfId="0" applyFont="1" applyAlignment="1">
      <alignment vertical="center"/>
    </xf>
    <xf numFmtId="164" fontId="36" fillId="4" borderId="5" xfId="0" applyFont="1" applyFill="1" applyBorder="1" applyAlignment="1">
      <alignment horizontal="center" vertical="center" wrapText="1"/>
    </xf>
    <xf numFmtId="164" fontId="0" fillId="11" borderId="5" xfId="0" applyFill="1" applyBorder="1" applyAlignment="1">
      <alignment horizontal="center" vertical="center"/>
    </xf>
    <xf numFmtId="164" fontId="0" fillId="4" borderId="5" xfId="0" applyFill="1" applyBorder="1" applyAlignment="1">
      <alignment horizontal="center" vertical="center"/>
    </xf>
    <xf numFmtId="164" fontId="0" fillId="15" borderId="5" xfId="0" applyFill="1" applyBorder="1" applyAlignment="1">
      <alignment horizontal="center" vertical="center"/>
    </xf>
    <xf numFmtId="164" fontId="0" fillId="15" borderId="5" xfId="0" applyFill="1" applyBorder="1" applyAlignment="1">
      <alignment horizontal="center" vertical="center" wrapText="1"/>
    </xf>
    <xf numFmtId="164" fontId="37" fillId="17" borderId="38" xfId="0" applyFont="1" applyFill="1" applyBorder="1" applyAlignment="1">
      <alignment horizontal="center" vertical="center" wrapText="1"/>
    </xf>
    <xf numFmtId="164" fontId="0" fillId="16" borderId="5" xfId="0" applyFill="1" applyBorder="1" applyAlignment="1">
      <alignment horizontal="center" vertical="center"/>
    </xf>
    <xf numFmtId="164" fontId="32" fillId="0" borderId="5" xfId="0" applyFont="1" applyBorder="1" applyAlignment="1">
      <alignment vertical="center" wrapText="1"/>
    </xf>
    <xf numFmtId="1" fontId="6" fillId="2" borderId="5" xfId="1" applyNumberFormat="1" applyFill="1" applyBorder="1" applyAlignment="1" applyProtection="1">
      <alignment horizontal="left" vertical="center" wrapText="1"/>
      <protection locked="0"/>
    </xf>
    <xf numFmtId="164" fontId="0" fillId="16" borderId="22" xfId="0" applyFill="1" applyBorder="1" applyAlignment="1">
      <alignment horizontal="center" vertical="center"/>
    </xf>
    <xf numFmtId="164" fontId="0" fillId="11" borderId="35" xfId="0" applyFill="1" applyBorder="1" applyAlignment="1">
      <alignment vertical="center" wrapText="1"/>
    </xf>
    <xf numFmtId="164" fontId="0" fillId="18" borderId="41" xfId="0" applyFill="1" applyBorder="1" applyAlignment="1">
      <alignment horizontal="center" vertical="center" wrapText="1"/>
    </xf>
    <xf numFmtId="164" fontId="37" fillId="14" borderId="5" xfId="0" applyFont="1" applyFill="1" applyBorder="1" applyAlignment="1">
      <alignment horizontal="center" vertical="center" wrapText="1"/>
    </xf>
    <xf numFmtId="164" fontId="28" fillId="12" borderId="5" xfId="0" applyFont="1" applyFill="1" applyBorder="1" applyAlignment="1">
      <alignment horizontal="center" vertical="center" wrapText="1"/>
    </xf>
    <xf numFmtId="164" fontId="35" fillId="17" borderId="38" xfId="0" applyFont="1" applyFill="1" applyBorder="1" applyAlignment="1">
      <alignment horizontal="center" vertical="center" wrapText="1"/>
    </xf>
    <xf numFmtId="164" fontId="0" fillId="19" borderId="37" xfId="0" applyFill="1" applyBorder="1" applyAlignment="1">
      <alignment horizontal="center" vertical="center" wrapText="1"/>
    </xf>
    <xf numFmtId="164" fontId="0" fillId="20" borderId="5" xfId="0" applyFill="1" applyBorder="1" applyAlignment="1">
      <alignment horizontal="center" vertical="center"/>
    </xf>
    <xf numFmtId="164" fontId="0" fillId="20" borderId="5" xfId="0" applyFill="1" applyBorder="1" applyAlignment="1">
      <alignment horizontal="center" vertical="center" wrapText="1"/>
    </xf>
    <xf numFmtId="49" fontId="0" fillId="0" borderId="0" xfId="0" applyNumberFormat="1" applyAlignment="1">
      <alignment wrapText="1"/>
    </xf>
    <xf numFmtId="1" fontId="6" fillId="0" borderId="5" xfId="3" applyNumberFormat="1" applyFont="1" applyFill="1" applyBorder="1" applyAlignment="1" applyProtection="1">
      <alignment horizontal="left" vertical="center" wrapText="1"/>
      <protection locked="0"/>
    </xf>
    <xf numFmtId="164" fontId="6" fillId="0" borderId="5" xfId="0" quotePrefix="1" applyFont="1" applyBorder="1" applyAlignment="1">
      <alignment horizontal="left" vertical="center" wrapText="1"/>
    </xf>
    <xf numFmtId="164" fontId="6" fillId="0" borderId="5" xfId="3" quotePrefix="1" applyNumberFormat="1" applyFont="1" applyFill="1" applyBorder="1" applyAlignment="1" applyProtection="1">
      <alignment horizontal="left" vertical="center" wrapText="1"/>
    </xf>
    <xf numFmtId="1" fontId="6" fillId="0" borderId="35" xfId="3" applyNumberFormat="1" applyFont="1" applyFill="1" applyBorder="1" applyAlignment="1" applyProtection="1">
      <alignment horizontal="left" vertical="center" wrapText="1"/>
      <protection locked="0"/>
    </xf>
    <xf numFmtId="1" fontId="6" fillId="2" borderId="35" xfId="3" applyNumberFormat="1" applyFont="1" applyFill="1" applyBorder="1" applyAlignment="1" applyProtection="1">
      <alignment horizontal="left" vertical="center" wrapText="1"/>
      <protection locked="0"/>
    </xf>
    <xf numFmtId="49" fontId="0" fillId="9" borderId="4" xfId="0" applyNumberFormat="1" applyFill="1" applyBorder="1" applyAlignment="1">
      <alignment horizontal="left" vertical="center"/>
    </xf>
    <xf numFmtId="1" fontId="6" fillId="9" borderId="5" xfId="1" applyNumberFormat="1" applyFill="1" applyBorder="1" applyAlignment="1" applyProtection="1">
      <alignment horizontal="left" vertical="center" wrapText="1"/>
      <protection locked="0"/>
    </xf>
    <xf numFmtId="1" fontId="6" fillId="9" borderId="35" xfId="1" applyNumberFormat="1" applyFill="1" applyBorder="1" applyAlignment="1" applyProtection="1">
      <alignment horizontal="left" vertical="center" wrapText="1"/>
      <protection locked="0"/>
    </xf>
    <xf numFmtId="164" fontId="14" fillId="4" borderId="14" xfId="2" applyFont="1" applyFill="1" applyBorder="1" applyAlignment="1" applyProtection="1">
      <alignment horizontal="center" vertical="center" wrapText="1"/>
      <protection locked="0"/>
    </xf>
    <xf numFmtId="164" fontId="14" fillId="4" borderId="8" xfId="2" applyFont="1" applyFill="1" applyBorder="1" applyAlignment="1" applyProtection="1">
      <alignment horizontal="center" vertical="center" wrapText="1"/>
      <protection locked="0"/>
    </xf>
    <xf numFmtId="164" fontId="0" fillId="0" borderId="35" xfId="0" applyBorder="1" applyAlignment="1">
      <alignment horizontal="center" vertical="center" wrapText="1"/>
    </xf>
    <xf numFmtId="164" fontId="0" fillId="0" borderId="35" xfId="0" applyBorder="1" applyAlignment="1">
      <alignment vertical="center" wrapText="1"/>
    </xf>
    <xf numFmtId="1" fontId="6" fillId="2" borderId="35" xfId="1" applyNumberFormat="1" applyFill="1" applyBorder="1" applyAlignment="1" applyProtection="1">
      <alignment horizontal="center" vertical="center" wrapText="1"/>
      <protection locked="0"/>
    </xf>
    <xf numFmtId="1" fontId="6" fillId="9" borderId="35" xfId="1" applyNumberFormat="1" applyFill="1" applyBorder="1" applyAlignment="1" applyProtection="1">
      <alignment horizontal="center" vertical="center" wrapText="1"/>
      <protection locked="0"/>
    </xf>
    <xf numFmtId="1" fontId="6" fillId="0" borderId="35" xfId="1" applyNumberFormat="1" applyBorder="1" applyAlignment="1" applyProtection="1">
      <alignment horizontal="center" vertical="center" wrapText="1"/>
      <protection locked="0"/>
    </xf>
    <xf numFmtId="164" fontId="32" fillId="0" borderId="0" xfId="0" applyFont="1" applyAlignment="1">
      <alignment horizontal="center" vertical="center"/>
    </xf>
    <xf numFmtId="49" fontId="0" fillId="0" borderId="5" xfId="0" applyNumberFormat="1" applyBorder="1" applyAlignment="1">
      <alignment horizontal="left" vertical="center"/>
    </xf>
    <xf numFmtId="49" fontId="0" fillId="0" borderId="25" xfId="0" applyNumberFormat="1" applyBorder="1" applyAlignment="1">
      <alignment horizontal="left" vertical="center"/>
    </xf>
    <xf numFmtId="1" fontId="6" fillId="2" borderId="5" xfId="1" applyNumberFormat="1" applyFill="1" applyBorder="1" applyAlignment="1" applyProtection="1">
      <alignment horizontal="center" vertical="center" wrapText="1"/>
      <protection locked="0"/>
    </xf>
    <xf numFmtId="1" fontId="46" fillId="0" borderId="35" xfId="3" applyNumberFormat="1" applyFont="1" applyFill="1" applyBorder="1" applyAlignment="1" applyProtection="1">
      <alignment horizontal="left" vertical="center" wrapText="1"/>
      <protection locked="0"/>
    </xf>
    <xf numFmtId="164" fontId="6" fillId="0" borderId="5" xfId="3" applyNumberFormat="1" applyFont="1" applyFill="1" applyBorder="1" applyAlignment="1" applyProtection="1">
      <alignment vertical="center" wrapText="1"/>
    </xf>
    <xf numFmtId="164" fontId="46" fillId="0" borderId="5" xfId="3" applyNumberFormat="1" applyFont="1" applyBorder="1" applyAlignment="1" applyProtection="1">
      <alignment horizontal="center" vertical="center"/>
    </xf>
    <xf numFmtId="1" fontId="36" fillId="4" borderId="5" xfId="0" applyNumberFormat="1" applyFont="1" applyFill="1" applyBorder="1" applyAlignment="1">
      <alignment horizontal="center" vertical="center" wrapText="1"/>
    </xf>
    <xf numFmtId="1" fontId="0" fillId="11" borderId="5" xfId="0" applyNumberFormat="1" applyFill="1" applyBorder="1" applyAlignment="1">
      <alignment horizontal="center" vertical="center"/>
    </xf>
    <xf numFmtId="1" fontId="0" fillId="18" borderId="41" xfId="0" applyNumberFormat="1" applyFill="1" applyBorder="1" applyAlignment="1">
      <alignment horizontal="center" vertical="center" wrapText="1"/>
    </xf>
    <xf numFmtId="1" fontId="0" fillId="15" borderId="5" xfId="0" applyNumberFormat="1" applyFill="1" applyBorder="1" applyAlignment="1">
      <alignment horizontal="center" vertical="center"/>
    </xf>
    <xf numFmtId="1" fontId="37" fillId="17" borderId="38" xfId="0" applyNumberFormat="1" applyFont="1" applyFill="1" applyBorder="1" applyAlignment="1">
      <alignment horizontal="center" vertical="center" wrapText="1"/>
    </xf>
    <xf numFmtId="1" fontId="0" fillId="16" borderId="5" xfId="0" applyNumberFormat="1" applyFill="1" applyBorder="1" applyAlignment="1">
      <alignment horizontal="center" vertical="center"/>
    </xf>
    <xf numFmtId="1" fontId="0" fillId="16" borderId="22" xfId="0" applyNumberFormat="1" applyFill="1" applyBorder="1" applyAlignment="1">
      <alignment horizontal="center" vertical="center"/>
    </xf>
    <xf numFmtId="1" fontId="0" fillId="19" borderId="37" xfId="0" applyNumberFormat="1" applyFill="1" applyBorder="1" applyAlignment="1">
      <alignment horizontal="center" vertical="center" wrapText="1"/>
    </xf>
    <xf numFmtId="1" fontId="0" fillId="20" borderId="5" xfId="0" applyNumberFormat="1" applyFill="1" applyBorder="1" applyAlignment="1">
      <alignment horizontal="center" vertical="center"/>
    </xf>
    <xf numFmtId="1" fontId="0" fillId="4" borderId="5" xfId="0" applyNumberFormat="1" applyFill="1" applyBorder="1" applyAlignment="1">
      <alignment horizontal="center" vertical="center"/>
    </xf>
    <xf numFmtId="1" fontId="0" fillId="0" borderId="0" xfId="0" applyNumberFormat="1"/>
    <xf numFmtId="3" fontId="36" fillId="4" borderId="5" xfId="0" applyNumberFormat="1" applyFont="1" applyFill="1" applyBorder="1" applyAlignment="1">
      <alignment horizontal="center" vertical="center" wrapText="1"/>
    </xf>
    <xf numFmtId="3" fontId="0" fillId="11" borderId="5" xfId="0" applyNumberFormat="1" applyFill="1" applyBorder="1" applyAlignment="1">
      <alignment horizontal="center" vertical="center"/>
    </xf>
    <xf numFmtId="3" fontId="0" fillId="18" borderId="41" xfId="0" applyNumberFormat="1" applyFill="1" applyBorder="1" applyAlignment="1">
      <alignment horizontal="center" vertical="center" wrapText="1"/>
    </xf>
    <xf numFmtId="3" fontId="0" fillId="15" borderId="5" xfId="0" applyNumberFormat="1" applyFill="1" applyBorder="1" applyAlignment="1">
      <alignment horizontal="center" vertical="center"/>
    </xf>
    <xf numFmtId="3" fontId="37" fillId="17" borderId="38" xfId="0" applyNumberFormat="1" applyFont="1" applyFill="1" applyBorder="1" applyAlignment="1">
      <alignment horizontal="center" vertical="center" wrapText="1"/>
    </xf>
    <xf numFmtId="3" fontId="0" fillId="19" borderId="37" xfId="0" applyNumberFormat="1" applyFill="1" applyBorder="1" applyAlignment="1">
      <alignment horizontal="center" vertical="center" wrapText="1"/>
    </xf>
    <xf numFmtId="3" fontId="0" fillId="20" borderId="5" xfId="0" applyNumberFormat="1" applyFill="1" applyBorder="1" applyAlignment="1">
      <alignment horizontal="center" vertical="center"/>
    </xf>
    <xf numFmtId="3" fontId="0" fillId="0" borderId="0" xfId="0" applyNumberFormat="1"/>
    <xf numFmtId="164" fontId="47" fillId="0" borderId="0" xfId="0" applyFont="1"/>
    <xf numFmtId="164" fontId="46" fillId="0" borderId="0" xfId="3" applyNumberFormat="1" applyFont="1" applyFill="1" applyAlignment="1" applyProtection="1">
      <alignment wrapText="1"/>
    </xf>
    <xf numFmtId="1" fontId="15" fillId="2" borderId="35" xfId="3" applyNumberFormat="1" applyFill="1" applyBorder="1" applyAlignment="1" applyProtection="1">
      <alignment horizontal="left" vertical="center" wrapText="1"/>
      <protection locked="0"/>
    </xf>
    <xf numFmtId="49" fontId="0" fillId="0" borderId="43" xfId="0" applyNumberFormat="1" applyBorder="1" applyAlignment="1">
      <alignment horizontal="left" vertical="center"/>
    </xf>
    <xf numFmtId="164" fontId="51" fillId="21" borderId="47" xfId="0" applyFont="1" applyFill="1" applyBorder="1" applyAlignment="1">
      <alignment horizontal="center" vertical="center" wrapText="1"/>
    </xf>
    <xf numFmtId="164" fontId="51" fillId="21" borderId="47" xfId="0" applyFont="1" applyFill="1" applyBorder="1" applyAlignment="1">
      <alignment vertical="center" wrapText="1"/>
    </xf>
    <xf numFmtId="164" fontId="51" fillId="21" borderId="48" xfId="0" applyFont="1" applyFill="1" applyBorder="1" applyAlignment="1">
      <alignment horizontal="center" vertical="center" wrapText="1"/>
    </xf>
    <xf numFmtId="164" fontId="0" fillId="18" borderId="0" xfId="0" applyFill="1"/>
    <xf numFmtId="164" fontId="0" fillId="18" borderId="49" xfId="0" applyFill="1" applyBorder="1"/>
    <xf numFmtId="164" fontId="0" fillId="0" borderId="39" xfId="0" applyBorder="1"/>
    <xf numFmtId="164" fontId="0" fillId="0" borderId="51" xfId="0" applyBorder="1" applyAlignment="1">
      <alignment wrapText="1"/>
    </xf>
    <xf numFmtId="164" fontId="0" fillId="0" borderId="50" xfId="0" applyBorder="1" applyAlignment="1">
      <alignment wrapText="1"/>
    </xf>
    <xf numFmtId="164" fontId="0" fillId="0" borderId="39" xfId="0" applyBorder="1" applyAlignment="1">
      <alignment wrapText="1"/>
    </xf>
    <xf numFmtId="164" fontId="0" fillId="0" borderId="39" xfId="0" applyBorder="1" applyAlignment="1">
      <alignment horizontal="center" vertical="center"/>
    </xf>
    <xf numFmtId="0" fontId="0" fillId="0" borderId="0" xfId="0" applyNumberFormat="1"/>
    <xf numFmtId="0" fontId="0" fillId="0" borderId="49" xfId="0" applyNumberFormat="1" applyBorder="1"/>
    <xf numFmtId="0" fontId="0" fillId="0" borderId="50" xfId="0" applyNumberFormat="1" applyBorder="1"/>
    <xf numFmtId="0" fontId="0" fillId="0" borderId="0" xfId="0" applyNumberFormat="1" applyAlignment="1">
      <alignment horizontal="right"/>
    </xf>
    <xf numFmtId="0" fontId="0" fillId="0" borderId="39" xfId="0" applyNumberFormat="1" applyBorder="1"/>
    <xf numFmtId="0" fontId="0" fillId="0" borderId="51" xfId="0" applyNumberFormat="1" applyBorder="1"/>
    <xf numFmtId="0" fontId="0" fillId="0" borderId="50" xfId="0" applyNumberFormat="1" applyBorder="1" applyAlignment="1">
      <alignment horizontal="right"/>
    </xf>
    <xf numFmtId="164" fontId="0" fillId="0" borderId="0" xfId="0" quotePrefix="1"/>
    <xf numFmtId="164" fontId="51" fillId="0" borderId="0" xfId="0" applyFont="1"/>
    <xf numFmtId="11" fontId="0" fillId="0" borderId="0" xfId="0" applyNumberFormat="1"/>
    <xf numFmtId="169" fontId="0" fillId="0" borderId="0" xfId="0" applyNumberFormat="1"/>
    <xf numFmtId="1" fontId="15" fillId="0" borderId="35" xfId="3" applyNumberFormat="1" applyFill="1" applyBorder="1" applyAlignment="1" applyProtection="1">
      <alignment horizontal="left" vertical="center" wrapText="1"/>
      <protection locked="0"/>
    </xf>
    <xf numFmtId="164" fontId="51" fillId="22" borderId="47" xfId="0" applyFont="1" applyFill="1" applyBorder="1"/>
    <xf numFmtId="164" fontId="51" fillId="22" borderId="52" xfId="0" applyFont="1" applyFill="1" applyBorder="1"/>
    <xf numFmtId="1" fontId="44" fillId="0" borderId="35" xfId="1" applyNumberFormat="1" applyFont="1" applyBorder="1" applyAlignment="1" applyProtection="1">
      <alignment horizontal="left" vertical="center" wrapText="1"/>
      <protection locked="0"/>
    </xf>
    <xf numFmtId="164" fontId="0" fillId="0" borderId="24" xfId="0" applyBorder="1"/>
    <xf numFmtId="164" fontId="0" fillId="0" borderId="5" xfId="0" applyBorder="1"/>
    <xf numFmtId="164" fontId="0" fillId="0" borderId="25" xfId="0" applyBorder="1"/>
    <xf numFmtId="164" fontId="51" fillId="0" borderId="53" xfId="0" applyFont="1" applyBorder="1"/>
    <xf numFmtId="164" fontId="0" fillId="0" borderId="53" xfId="0" applyBorder="1"/>
    <xf numFmtId="164" fontId="0" fillId="0" borderId="37" xfId="0" applyBorder="1"/>
    <xf numFmtId="164" fontId="0" fillId="0" borderId="37" xfId="0" quotePrefix="1" applyBorder="1"/>
    <xf numFmtId="164" fontId="0" fillId="0" borderId="22" xfId="0" quotePrefix="1" applyBorder="1"/>
    <xf numFmtId="164" fontId="0" fillId="0" borderId="34" xfId="0" quotePrefix="1" applyBorder="1"/>
    <xf numFmtId="164" fontId="51" fillId="0" borderId="54" xfId="0" applyFont="1" applyBorder="1"/>
    <xf numFmtId="164" fontId="0" fillId="0" borderId="54" xfId="0" applyBorder="1"/>
    <xf numFmtId="164" fontId="0" fillId="0" borderId="35" xfId="0" applyBorder="1"/>
    <xf numFmtId="164" fontId="5" fillId="0" borderId="35" xfId="0" quotePrefix="1" applyFont="1" applyBorder="1"/>
    <xf numFmtId="164" fontId="0" fillId="0" borderId="55" xfId="0" applyBorder="1"/>
    <xf numFmtId="1" fontId="15" fillId="0" borderId="5" xfId="3" applyNumberFormat="1" applyFill="1" applyBorder="1" applyAlignment="1" applyProtection="1">
      <alignment horizontal="left" vertical="center" wrapText="1"/>
      <protection locked="0"/>
    </xf>
    <xf numFmtId="1" fontId="53" fillId="2" borderId="35" xfId="3" applyNumberFormat="1" applyFont="1" applyFill="1" applyBorder="1" applyAlignment="1" applyProtection="1">
      <alignment horizontal="left" vertical="center" wrapText="1"/>
      <protection locked="0"/>
    </xf>
    <xf numFmtId="1" fontId="53" fillId="0" borderId="5" xfId="1" applyNumberFormat="1" applyFont="1" applyBorder="1" applyAlignment="1" applyProtection="1">
      <alignment horizontal="left" vertical="center" wrapText="1"/>
      <protection locked="0"/>
    </xf>
    <xf numFmtId="164" fontId="53" fillId="0" borderId="5" xfId="3" applyNumberFormat="1" applyFont="1" applyFill="1" applyBorder="1" applyAlignment="1" applyProtection="1">
      <alignment vertical="center" wrapText="1"/>
    </xf>
    <xf numFmtId="1" fontId="15" fillId="2" borderId="35" xfId="3" applyNumberFormat="1" applyFill="1" applyBorder="1" applyAlignment="1" applyProtection="1">
      <alignment horizontal="center" vertical="center" wrapText="1"/>
      <protection locked="0"/>
    </xf>
    <xf numFmtId="1" fontId="54" fillId="0" borderId="35" xfId="3" applyNumberFormat="1" applyFont="1" applyFill="1" applyBorder="1" applyAlignment="1" applyProtection="1">
      <alignment horizontal="left" vertical="center" wrapText="1"/>
      <protection locked="0"/>
    </xf>
    <xf numFmtId="1" fontId="53" fillId="2" borderId="35" xfId="1" applyNumberFormat="1" applyFont="1" applyFill="1" applyBorder="1" applyAlignment="1" applyProtection="1">
      <alignment horizontal="left" vertical="center" wrapText="1"/>
      <protection locked="0"/>
    </xf>
    <xf numFmtId="0" fontId="0" fillId="0" borderId="0" xfId="0" quotePrefix="1" applyNumberFormat="1"/>
    <xf numFmtId="1" fontId="6" fillId="0" borderId="35" xfId="1" applyNumberFormat="1" applyBorder="1" applyAlignment="1" applyProtection="1">
      <alignment horizontal="left" vertical="top" wrapText="1"/>
      <protection locked="0"/>
    </xf>
    <xf numFmtId="164" fontId="0" fillId="0" borderId="6" xfId="0" applyBorder="1" applyAlignment="1">
      <alignment horizontal="center" vertical="top"/>
    </xf>
    <xf numFmtId="1" fontId="6" fillId="9" borderId="35" xfId="1" applyNumberFormat="1" applyFill="1" applyBorder="1" applyAlignment="1" applyProtection="1">
      <alignment horizontal="left" vertical="top" wrapText="1"/>
      <protection locked="0"/>
    </xf>
    <xf numFmtId="1" fontId="6" fillId="2" borderId="35" xfId="1" applyNumberFormat="1" applyFill="1" applyBorder="1" applyAlignment="1" applyProtection="1">
      <alignment horizontal="left" vertical="top" wrapText="1"/>
      <protection locked="0"/>
    </xf>
    <xf numFmtId="14" fontId="6" fillId="2" borderId="23" xfId="1" applyNumberFormat="1" applyFill="1" applyBorder="1" applyAlignment="1" applyProtection="1">
      <alignment horizontal="center" vertical="top" wrapText="1"/>
      <protection locked="0"/>
    </xf>
    <xf numFmtId="1" fontId="53" fillId="9" borderId="35" xfId="1" applyNumberFormat="1" applyFont="1" applyFill="1" applyBorder="1" applyAlignment="1" applyProtection="1">
      <alignment horizontal="left" vertical="top" wrapText="1"/>
      <protection locked="0"/>
    </xf>
    <xf numFmtId="1" fontId="6" fillId="0" borderId="35" xfId="1" quotePrefix="1" applyNumberFormat="1" applyBorder="1" applyAlignment="1" applyProtection="1">
      <alignment horizontal="left" vertical="center" wrapText="1"/>
      <protection locked="0"/>
    </xf>
    <xf numFmtId="1" fontId="53" fillId="2" borderId="35" xfId="1" applyNumberFormat="1" applyFont="1" applyFill="1" applyBorder="1" applyAlignment="1" applyProtection="1">
      <alignment horizontal="left" vertical="top" wrapText="1"/>
      <protection locked="0"/>
    </xf>
    <xf numFmtId="1" fontId="53" fillId="0" borderId="35" xfId="1" applyNumberFormat="1" applyFont="1" applyBorder="1" applyAlignment="1" applyProtection="1">
      <alignment horizontal="left" vertical="top" wrapText="1"/>
      <protection locked="0"/>
    </xf>
    <xf numFmtId="164" fontId="30" fillId="0" borderId="6" xfId="0" applyFont="1" applyBorder="1" applyAlignment="1">
      <alignment horizontal="center" vertical="top"/>
    </xf>
    <xf numFmtId="49" fontId="59" fillId="0" borderId="4" xfId="0" applyNumberFormat="1" applyFont="1" applyBorder="1" applyAlignment="1">
      <alignment horizontal="left" vertical="center"/>
    </xf>
    <xf numFmtId="1" fontId="60" fillId="0" borderId="5" xfId="1" applyNumberFormat="1" applyFont="1" applyBorder="1" applyAlignment="1" applyProtection="1">
      <alignment horizontal="left" vertical="center" wrapText="1"/>
      <protection locked="0"/>
    </xf>
    <xf numFmtId="1" fontId="60" fillId="2" borderId="35" xfId="1" applyNumberFormat="1" applyFont="1" applyFill="1" applyBorder="1" applyAlignment="1" applyProtection="1">
      <alignment horizontal="left" vertical="center" wrapText="1"/>
      <protection locked="0"/>
    </xf>
    <xf numFmtId="1" fontId="60" fillId="2" borderId="35" xfId="1" applyNumberFormat="1" applyFont="1" applyFill="1" applyBorder="1" applyAlignment="1" applyProtection="1">
      <alignment horizontal="center" vertical="center" wrapText="1"/>
      <protection locked="0"/>
    </xf>
    <xf numFmtId="164" fontId="59" fillId="0" borderId="24" xfId="0" applyFont="1" applyBorder="1" applyAlignment="1">
      <alignment horizontal="left" vertical="center"/>
    </xf>
    <xf numFmtId="164" fontId="59" fillId="0" borderId="5" xfId="0" applyFont="1" applyBorder="1" applyAlignment="1">
      <alignment horizontal="left" vertical="center"/>
    </xf>
    <xf numFmtId="0" fontId="59" fillId="0" borderId="5" xfId="0" applyNumberFormat="1" applyFont="1" applyBorder="1" applyAlignment="1">
      <alignment vertical="center"/>
    </xf>
    <xf numFmtId="164" fontId="53" fillId="0" borderId="37" xfId="0" quotePrefix="1" applyFont="1" applyBorder="1" applyAlignment="1">
      <alignment wrapText="1"/>
    </xf>
    <xf numFmtId="1" fontId="53" fillId="0" borderId="35" xfId="1" applyNumberFormat="1" applyFont="1" applyBorder="1" applyAlignment="1" applyProtection="1">
      <alignment horizontal="left" vertical="center" wrapText="1"/>
      <protection locked="0"/>
    </xf>
    <xf numFmtId="164" fontId="0" fillId="23" borderId="0" xfId="0" applyFill="1"/>
    <xf numFmtId="0" fontId="0" fillId="23" borderId="0" xfId="0" applyNumberFormat="1" applyFill="1"/>
    <xf numFmtId="0" fontId="0" fillId="13" borderId="0" xfId="0" applyNumberFormat="1" applyFill="1"/>
    <xf numFmtId="0" fontId="0" fillId="24" borderId="0" xfId="0" applyNumberFormat="1" applyFill="1"/>
    <xf numFmtId="11" fontId="0" fillId="24" borderId="0" xfId="0" applyNumberFormat="1" applyFill="1"/>
    <xf numFmtId="0" fontId="0" fillId="25" borderId="0" xfId="0" applyNumberFormat="1" applyFill="1"/>
    <xf numFmtId="164" fontId="0" fillId="25" borderId="0" xfId="0" quotePrefix="1" applyFill="1"/>
    <xf numFmtId="164" fontId="0" fillId="18" borderId="39" xfId="0" applyFill="1" applyBorder="1"/>
    <xf numFmtId="0" fontId="0" fillId="24" borderId="39" xfId="0" applyNumberFormat="1" applyFill="1" applyBorder="1"/>
    <xf numFmtId="0" fontId="0" fillId="26" borderId="0" xfId="0" applyNumberFormat="1" applyFill="1"/>
    <xf numFmtId="0" fontId="0" fillId="0" borderId="11" xfId="0" applyNumberFormat="1" applyBorder="1"/>
    <xf numFmtId="1" fontId="0" fillId="0" borderId="0" xfId="0" applyNumberFormat="1" applyAlignment="1">
      <alignment horizontal="center" vertical="center" wrapText="1"/>
    </xf>
    <xf numFmtId="1" fontId="0" fillId="0" borderId="0" xfId="0" applyNumberFormat="1" applyAlignment="1">
      <alignment horizontal="center" vertical="center"/>
    </xf>
    <xf numFmtId="1" fontId="0" fillId="0" borderId="39" xfId="0" applyNumberFormat="1" applyBorder="1" applyAlignment="1">
      <alignment horizontal="center" vertical="center"/>
    </xf>
    <xf numFmtId="0" fontId="0" fillId="13" borderId="49" xfId="0" applyNumberFormat="1" applyFill="1" applyBorder="1"/>
    <xf numFmtId="164" fontId="0" fillId="13" borderId="49" xfId="0" applyFill="1" applyBorder="1" applyAlignment="1">
      <alignment wrapText="1"/>
    </xf>
    <xf numFmtId="0" fontId="0" fillId="13" borderId="39" xfId="0" applyNumberFormat="1" applyFill="1" applyBorder="1"/>
    <xf numFmtId="164" fontId="0" fillId="13" borderId="39" xfId="0" applyFill="1" applyBorder="1" applyAlignment="1">
      <alignment wrapText="1"/>
    </xf>
    <xf numFmtId="164" fontId="0" fillId="0" borderId="0" xfId="0" applyAlignment="1">
      <alignment vertical="center" wrapText="1"/>
    </xf>
    <xf numFmtId="0" fontId="0" fillId="0" borderId="39" xfId="0" applyNumberFormat="1" applyBorder="1" applyAlignment="1">
      <alignment vertical="center"/>
    </xf>
    <xf numFmtId="164" fontId="0" fillId="13" borderId="0" xfId="0" applyFill="1" applyAlignment="1">
      <alignment vertical="center" wrapText="1"/>
    </xf>
    <xf numFmtId="0" fontId="0" fillId="13" borderId="39" xfId="0" applyNumberFormat="1" applyFill="1" applyBorder="1" applyAlignment="1">
      <alignment vertical="center"/>
    </xf>
    <xf numFmtId="0" fontId="0" fillId="13" borderId="0" xfId="0" applyNumberFormat="1" applyFill="1" applyAlignment="1">
      <alignment vertical="center"/>
    </xf>
    <xf numFmtId="0" fontId="0" fillId="13" borderId="49" xfId="0" applyNumberFormat="1" applyFill="1" applyBorder="1" applyAlignment="1">
      <alignment vertical="center"/>
    </xf>
    <xf numFmtId="0" fontId="0" fillId="24" borderId="49" xfId="0" applyNumberFormat="1" applyFill="1" applyBorder="1"/>
    <xf numFmtId="164" fontId="51" fillId="0" borderId="0" xfId="0" applyFont="1" applyAlignment="1">
      <alignment horizontal="center" vertical="center" wrapText="1"/>
    </xf>
    <xf numFmtId="1" fontId="0" fillId="0" borderId="0" xfId="0" applyNumberFormat="1" applyAlignment="1">
      <alignment horizontal="center"/>
    </xf>
    <xf numFmtId="1" fontId="0" fillId="0" borderId="39" xfId="0" applyNumberFormat="1" applyBorder="1" applyAlignment="1">
      <alignment vertical="center"/>
    </xf>
    <xf numFmtId="0" fontId="0" fillId="0" borderId="11" xfId="0" applyNumberFormat="1" applyBorder="1" applyAlignment="1">
      <alignment vertical="center"/>
    </xf>
    <xf numFmtId="49" fontId="6" fillId="2" borderId="5" xfId="1" applyNumberFormat="1" applyFill="1" applyBorder="1" applyAlignment="1" applyProtection="1">
      <alignment horizontal="left" vertical="top" wrapText="1"/>
      <protection locked="0"/>
    </xf>
    <xf numFmtId="49" fontId="6" fillId="2" borderId="29" xfId="1" applyNumberFormat="1" applyFill="1" applyBorder="1" applyAlignment="1" applyProtection="1">
      <alignment horizontal="left" vertical="top" wrapText="1"/>
      <protection locked="0"/>
    </xf>
    <xf numFmtId="164" fontId="14" fillId="3" borderId="1" xfId="2" applyFont="1" applyFill="1" applyBorder="1" applyAlignment="1" applyProtection="1">
      <alignment horizontal="center"/>
      <protection locked="0"/>
    </xf>
    <xf numFmtId="164" fontId="14" fillId="3" borderId="2" xfId="2" applyFont="1" applyFill="1" applyBorder="1" applyAlignment="1" applyProtection="1">
      <alignment horizontal="center"/>
      <protection locked="0"/>
    </xf>
    <xf numFmtId="164" fontId="14" fillId="3" borderId="3" xfId="2" applyFont="1" applyFill="1" applyBorder="1" applyAlignment="1" applyProtection="1">
      <alignment horizontal="center"/>
      <protection locked="0"/>
    </xf>
    <xf numFmtId="164" fontId="14" fillId="4" borderId="5" xfId="41" applyFont="1" applyFill="1" applyBorder="1" applyAlignment="1" applyProtection="1">
      <alignment horizontal="center" vertical="top" wrapText="1"/>
      <protection locked="0"/>
    </xf>
    <xf numFmtId="164" fontId="7" fillId="2" borderId="1" xfId="1" applyFont="1" applyFill="1" applyBorder="1" applyAlignment="1" applyProtection="1">
      <alignment horizontal="center" vertical="center"/>
      <protection locked="0"/>
    </xf>
    <xf numFmtId="164" fontId="7" fillId="2" borderId="4" xfId="1" applyFont="1" applyFill="1" applyBorder="1" applyAlignment="1" applyProtection="1">
      <alignment horizontal="center" vertical="center"/>
      <protection locked="0"/>
    </xf>
    <xf numFmtId="164" fontId="8" fillId="2" borderId="2" xfId="1" applyFont="1" applyFill="1" applyBorder="1" applyAlignment="1" applyProtection="1">
      <alignment horizontal="center" vertical="center" wrapText="1"/>
      <protection locked="0"/>
    </xf>
    <xf numFmtId="164" fontId="8" fillId="2" borderId="5" xfId="1" applyFont="1" applyFill="1" applyBorder="1" applyAlignment="1" applyProtection="1">
      <alignment horizontal="center" vertical="center" wrapText="1"/>
      <protection locked="0"/>
    </xf>
    <xf numFmtId="164" fontId="9" fillId="2" borderId="2" xfId="1" applyFont="1" applyFill="1" applyBorder="1" applyAlignment="1" applyProtection="1">
      <alignment horizontal="center" vertical="center"/>
      <protection locked="0"/>
    </xf>
    <xf numFmtId="164" fontId="9" fillId="2" borderId="3" xfId="1" applyFont="1" applyFill="1" applyBorder="1" applyAlignment="1" applyProtection="1">
      <alignment horizontal="center" vertical="center"/>
      <protection locked="0"/>
    </xf>
    <xf numFmtId="164" fontId="9" fillId="2" borderId="5" xfId="1" applyFont="1" applyFill="1" applyBorder="1" applyAlignment="1" applyProtection="1">
      <alignment horizontal="center" vertical="center"/>
      <protection locked="0"/>
    </xf>
    <xf numFmtId="164" fontId="9" fillId="2" borderId="6" xfId="1" applyFont="1" applyFill="1" applyBorder="1" applyAlignment="1" applyProtection="1">
      <alignment horizontal="center" vertical="center"/>
      <protection locked="0"/>
    </xf>
    <xf numFmtId="164" fontId="34" fillId="3" borderId="8" xfId="1" applyFont="1" applyFill="1" applyBorder="1" applyAlignment="1" applyProtection="1">
      <alignment horizontal="left"/>
      <protection locked="0"/>
    </xf>
    <xf numFmtId="164" fontId="10" fillId="3" borderId="8" xfId="1" applyFont="1" applyFill="1" applyBorder="1" applyAlignment="1" applyProtection="1">
      <alignment horizontal="center"/>
      <protection locked="0"/>
    </xf>
    <xf numFmtId="164" fontId="10" fillId="3" borderId="9" xfId="1" applyFont="1" applyFill="1" applyBorder="1" applyAlignment="1" applyProtection="1">
      <alignment horizontal="center"/>
      <protection locked="0"/>
    </xf>
    <xf numFmtId="164" fontId="14" fillId="3" borderId="10" xfId="41" applyFont="1" applyFill="1" applyBorder="1" applyAlignment="1" applyProtection="1">
      <alignment horizontal="center"/>
      <protection locked="0"/>
    </xf>
    <xf numFmtId="164" fontId="14" fillId="3" borderId="11" xfId="41" applyFont="1" applyFill="1" applyBorder="1" applyAlignment="1" applyProtection="1">
      <alignment horizontal="center"/>
      <protection locked="0"/>
    </xf>
    <xf numFmtId="164" fontId="14" fillId="3" borderId="12" xfId="41" applyFont="1" applyFill="1" applyBorder="1" applyAlignment="1" applyProtection="1">
      <alignment horizontal="center"/>
      <protection locked="0"/>
    </xf>
    <xf numFmtId="164" fontId="6" fillId="2" borderId="13" xfId="1" quotePrefix="1" applyFill="1" applyBorder="1" applyAlignment="1" applyProtection="1">
      <alignment horizontal="left" vertical="top" wrapText="1"/>
      <protection locked="0"/>
    </xf>
    <xf numFmtId="164" fontId="6" fillId="2" borderId="14" xfId="1" applyFill="1" applyBorder="1" applyAlignment="1" applyProtection="1">
      <alignment horizontal="left" vertical="top" wrapText="1"/>
      <protection locked="0"/>
    </xf>
    <xf numFmtId="164" fontId="6" fillId="2" borderId="15" xfId="1" applyFill="1" applyBorder="1" applyAlignment="1" applyProtection="1">
      <alignment horizontal="left" vertical="top" wrapText="1"/>
      <protection locked="0"/>
    </xf>
    <xf numFmtId="49" fontId="6" fillId="2" borderId="24" xfId="1" applyNumberFormat="1" applyFill="1" applyBorder="1" applyAlignment="1" applyProtection="1">
      <alignment horizontal="left" vertical="top" wrapText="1"/>
      <protection locked="0"/>
    </xf>
    <xf numFmtId="49" fontId="6" fillId="2" borderId="20" xfId="1" applyNumberFormat="1" applyFill="1" applyBorder="1" applyAlignment="1" applyProtection="1">
      <alignment horizontal="left" vertical="top" wrapText="1"/>
      <protection locked="0"/>
    </xf>
    <xf numFmtId="49" fontId="6" fillId="2" borderId="25" xfId="1" applyNumberFormat="1" applyFill="1" applyBorder="1" applyAlignment="1" applyProtection="1">
      <alignment horizontal="left" vertical="top" wrapText="1"/>
      <protection locked="0"/>
    </xf>
    <xf numFmtId="49" fontId="6" fillId="2" borderId="26" xfId="1" applyNumberFormat="1" applyFill="1" applyBorder="1" applyAlignment="1" applyProtection="1">
      <alignment horizontal="left" vertical="top" wrapText="1"/>
      <protection locked="0"/>
    </xf>
    <xf numFmtId="49" fontId="6" fillId="2" borderId="14" xfId="1" applyNumberFormat="1" applyFill="1" applyBorder="1" applyAlignment="1" applyProtection="1">
      <alignment horizontal="left" vertical="top" wrapText="1"/>
      <protection locked="0"/>
    </xf>
    <xf numFmtId="49" fontId="6" fillId="2" borderId="27" xfId="1" applyNumberFormat="1" applyFill="1" applyBorder="1" applyAlignment="1" applyProtection="1">
      <alignment horizontal="left" vertical="top" wrapText="1"/>
      <protection locked="0"/>
    </xf>
    <xf numFmtId="164" fontId="14" fillId="3" borderId="1" xfId="41" applyFont="1" applyFill="1" applyBorder="1" applyAlignment="1" applyProtection="1">
      <alignment horizontal="center"/>
      <protection locked="0"/>
    </xf>
    <xf numFmtId="164" fontId="14" fillId="3" borderId="2" xfId="41" applyFont="1" applyFill="1" applyBorder="1" applyAlignment="1" applyProtection="1">
      <alignment horizontal="center"/>
      <protection locked="0"/>
    </xf>
    <xf numFmtId="164" fontId="14" fillId="3" borderId="3" xfId="41" applyFont="1" applyFill="1" applyBorder="1" applyAlignment="1" applyProtection="1">
      <alignment horizontal="center"/>
      <protection locked="0"/>
    </xf>
    <xf numFmtId="164" fontId="6" fillId="2" borderId="13" xfId="1" applyFill="1" applyBorder="1" applyAlignment="1" applyProtection="1">
      <alignment horizontal="left" vertical="top" wrapText="1"/>
      <protection locked="0"/>
    </xf>
    <xf numFmtId="164" fontId="15" fillId="2" borderId="17" xfId="3" applyNumberFormat="1" applyFill="1" applyBorder="1" applyAlignment="1" applyProtection="1">
      <alignment horizontal="left"/>
    </xf>
    <xf numFmtId="164" fontId="11" fillId="2" borderId="17" xfId="1" applyFont="1" applyFill="1" applyBorder="1" applyAlignment="1">
      <alignment horizontal="left"/>
    </xf>
    <xf numFmtId="164" fontId="11" fillId="2" borderId="18" xfId="1" applyFont="1" applyFill="1" applyBorder="1" applyAlignment="1">
      <alignment horizontal="left"/>
    </xf>
    <xf numFmtId="164" fontId="14" fillId="4" borderId="24" xfId="2" applyFont="1" applyFill="1" applyBorder="1" applyAlignment="1" applyProtection="1">
      <alignment horizontal="center" vertical="top" wrapText="1"/>
      <protection locked="0"/>
    </xf>
    <xf numFmtId="164" fontId="14" fillId="4" borderId="20" xfId="2" applyFont="1" applyFill="1" applyBorder="1" applyAlignment="1" applyProtection="1">
      <alignment horizontal="center" vertical="top" wrapText="1"/>
      <protection locked="0"/>
    </xf>
    <xf numFmtId="164" fontId="14" fillId="4" borderId="25" xfId="2" applyFont="1" applyFill="1" applyBorder="1" applyAlignment="1" applyProtection="1">
      <alignment horizontal="center" vertical="top" wrapText="1"/>
      <protection locked="0"/>
    </xf>
    <xf numFmtId="164" fontId="6" fillId="2" borderId="24" xfId="2" applyFont="1" applyFill="1" applyBorder="1" applyAlignment="1" applyProtection="1">
      <alignment horizontal="center" vertical="center" wrapText="1"/>
      <protection locked="0"/>
    </xf>
    <xf numFmtId="164" fontId="6" fillId="2" borderId="20" xfId="2" applyFont="1" applyFill="1" applyBorder="1" applyAlignment="1" applyProtection="1">
      <alignment horizontal="center" vertical="center" wrapText="1"/>
      <protection locked="0"/>
    </xf>
    <xf numFmtId="164" fontId="6" fillId="2" borderId="25" xfId="2" applyFont="1" applyFill="1" applyBorder="1" applyAlignment="1" applyProtection="1">
      <alignment horizontal="center" vertical="center" wrapText="1"/>
      <protection locked="0"/>
    </xf>
    <xf numFmtId="49" fontId="6" fillId="2" borderId="26" xfId="1" applyNumberFormat="1" applyFill="1" applyBorder="1" applyAlignment="1" applyProtection="1">
      <alignment horizontal="center" vertical="center" wrapText="1"/>
      <protection locked="0"/>
    </xf>
    <xf numFmtId="49" fontId="6" fillId="2" borderId="14" xfId="1" applyNumberFormat="1" applyFill="1" applyBorder="1" applyAlignment="1" applyProtection="1">
      <alignment horizontal="center" vertical="center" wrapText="1"/>
      <protection locked="0"/>
    </xf>
    <xf numFmtId="49" fontId="6" fillId="2" borderId="27" xfId="1" applyNumberFormat="1" applyFill="1" applyBorder="1" applyAlignment="1" applyProtection="1">
      <alignment horizontal="center" vertical="center" wrapText="1"/>
      <protection locked="0"/>
    </xf>
    <xf numFmtId="49" fontId="6" fillId="2" borderId="24" xfId="1" applyNumberFormat="1" applyFill="1" applyBorder="1" applyAlignment="1" applyProtection="1">
      <alignment horizontal="center" vertical="center" wrapText="1"/>
      <protection locked="0"/>
    </xf>
    <xf numFmtId="49" fontId="6" fillId="2" borderId="20" xfId="1" applyNumberFormat="1" applyFill="1" applyBorder="1" applyAlignment="1" applyProtection="1">
      <alignment horizontal="center" vertical="center" wrapText="1"/>
      <protection locked="0"/>
    </xf>
    <xf numFmtId="49" fontId="6" fillId="2" borderId="25" xfId="1" applyNumberFormat="1" applyFill="1" applyBorder="1" applyAlignment="1" applyProtection="1">
      <alignment horizontal="center" vertical="center" wrapText="1"/>
      <protection locked="0"/>
    </xf>
    <xf numFmtId="164" fontId="14" fillId="3" borderId="10" xfId="2" applyFont="1" applyFill="1" applyBorder="1" applyAlignment="1" applyProtection="1">
      <alignment horizontal="center"/>
      <protection locked="0"/>
    </xf>
    <xf numFmtId="164" fontId="14" fillId="3" borderId="11" xfId="2" applyFont="1" applyFill="1" applyBorder="1" applyAlignment="1" applyProtection="1">
      <alignment horizontal="center"/>
      <protection locked="0"/>
    </xf>
    <xf numFmtId="164" fontId="14" fillId="3" borderId="12" xfId="2" applyFont="1" applyFill="1" applyBorder="1" applyAlignment="1" applyProtection="1">
      <alignment horizontal="center"/>
      <protection locked="0"/>
    </xf>
    <xf numFmtId="1" fontId="10" fillId="0" borderId="42" xfId="1" applyNumberFormat="1" applyFont="1" applyBorder="1" applyAlignment="1" applyProtection="1">
      <alignment horizontal="left" vertical="center" wrapText="1"/>
      <protection locked="0"/>
    </xf>
    <xf numFmtId="1" fontId="10" fillId="0" borderId="20" xfId="1" applyNumberFormat="1" applyFont="1" applyBorder="1" applyAlignment="1" applyProtection="1">
      <alignment horizontal="left" vertical="center" wrapText="1"/>
      <protection locked="0"/>
    </xf>
    <xf numFmtId="1" fontId="10" fillId="0" borderId="25" xfId="1" applyNumberFormat="1" applyFont="1" applyBorder="1" applyAlignment="1" applyProtection="1">
      <alignment horizontal="left" vertical="center" wrapText="1"/>
      <protection locked="0"/>
    </xf>
    <xf numFmtId="1" fontId="14" fillId="0" borderId="42" xfId="1" applyNumberFormat="1" applyFont="1" applyBorder="1" applyAlignment="1" applyProtection="1">
      <alignment horizontal="left" vertical="center" wrapText="1"/>
      <protection locked="0"/>
    </xf>
    <xf numFmtId="1" fontId="14" fillId="0" borderId="20" xfId="1" applyNumberFormat="1" applyFont="1" applyBorder="1" applyAlignment="1" applyProtection="1">
      <alignment horizontal="left" vertical="center" wrapText="1"/>
      <protection locked="0"/>
    </xf>
    <xf numFmtId="1" fontId="14" fillId="0" borderId="25" xfId="1" applyNumberFormat="1" applyFont="1" applyBorder="1" applyAlignment="1" applyProtection="1">
      <alignment horizontal="left" vertical="center" wrapText="1"/>
      <protection locked="0"/>
    </xf>
    <xf numFmtId="164" fontId="14" fillId="4" borderId="14" xfId="2" applyFont="1" applyFill="1" applyBorder="1" applyAlignment="1" applyProtection="1">
      <alignment horizontal="center" vertical="center" wrapText="1"/>
      <protection locked="0"/>
    </xf>
    <xf numFmtId="164" fontId="14" fillId="4" borderId="27" xfId="2" applyFont="1" applyFill="1" applyBorder="1" applyAlignment="1" applyProtection="1">
      <alignment horizontal="center" vertical="center" wrapText="1"/>
      <protection locked="0"/>
    </xf>
    <xf numFmtId="164" fontId="14" fillId="3" borderId="0" xfId="2" applyFont="1" applyFill="1" applyAlignment="1" applyProtection="1">
      <alignment horizontal="center" vertical="center"/>
      <protection locked="0"/>
    </xf>
    <xf numFmtId="1" fontId="10" fillId="2" borderId="42" xfId="1" applyNumberFormat="1" applyFont="1" applyFill="1" applyBorder="1" applyAlignment="1" applyProtection="1">
      <alignment horizontal="left" vertical="center" wrapText="1"/>
      <protection locked="0"/>
    </xf>
    <xf numFmtId="1" fontId="10" fillId="2" borderId="20" xfId="1" applyNumberFormat="1" applyFont="1" applyFill="1" applyBorder="1" applyAlignment="1" applyProtection="1">
      <alignment horizontal="left" vertical="center" wrapText="1"/>
      <protection locked="0"/>
    </xf>
    <xf numFmtId="1" fontId="10" fillId="2" borderId="25" xfId="1" applyNumberFormat="1" applyFont="1" applyFill="1" applyBorder="1" applyAlignment="1" applyProtection="1">
      <alignment horizontal="left" vertical="center" wrapText="1"/>
      <protection locked="0"/>
    </xf>
    <xf numFmtId="1" fontId="10" fillId="0" borderId="42" xfId="1" applyNumberFormat="1" applyFont="1" applyBorder="1" applyAlignment="1" applyProtection="1">
      <alignment horizontal="left" vertical="top" wrapText="1"/>
      <protection locked="0"/>
    </xf>
    <xf numFmtId="1" fontId="10" fillId="0" borderId="20" xfId="1" applyNumberFormat="1" applyFont="1" applyBorder="1" applyAlignment="1" applyProtection="1">
      <alignment horizontal="left" vertical="top" wrapText="1"/>
      <protection locked="0"/>
    </xf>
    <xf numFmtId="1" fontId="10" fillId="0" borderId="25" xfId="1" applyNumberFormat="1" applyFont="1" applyBorder="1" applyAlignment="1" applyProtection="1">
      <alignment horizontal="left" vertical="top" wrapText="1"/>
      <protection locked="0"/>
    </xf>
    <xf numFmtId="164" fontId="14" fillId="4" borderId="0" xfId="2" applyFont="1" applyFill="1" applyAlignment="1" applyProtection="1">
      <alignment horizontal="center" vertical="top" wrapText="1"/>
      <protection locked="0"/>
    </xf>
    <xf numFmtId="164" fontId="14" fillId="4" borderId="34" xfId="2" applyFont="1" applyFill="1" applyBorder="1" applyAlignment="1" applyProtection="1">
      <alignment horizontal="center" vertical="top" wrapText="1"/>
      <protection locked="0"/>
    </xf>
    <xf numFmtId="164" fontId="51" fillId="0" borderId="24" xfId="0" applyFont="1" applyBorder="1" applyAlignment="1">
      <alignment horizontal="center"/>
    </xf>
    <xf numFmtId="164" fontId="51" fillId="0" borderId="25" xfId="0" applyFont="1" applyBorder="1" applyAlignment="1">
      <alignment horizontal="center"/>
    </xf>
    <xf numFmtId="164" fontId="51" fillId="0" borderId="22" xfId="0" applyFont="1" applyBorder="1" applyAlignment="1">
      <alignment horizontal="center" vertical="center"/>
    </xf>
    <xf numFmtId="164" fontId="51" fillId="0" borderId="35" xfId="0" applyFont="1" applyBorder="1" applyAlignment="1">
      <alignment horizontal="center" vertical="center"/>
    </xf>
    <xf numFmtId="1" fontId="0" fillId="0" borderId="0" xfId="0" applyNumberFormat="1" applyAlignment="1">
      <alignment horizontal="center" vertical="center"/>
    </xf>
    <xf numFmtId="1" fontId="0" fillId="0" borderId="39" xfId="0" applyNumberFormat="1" applyBorder="1" applyAlignment="1">
      <alignment horizontal="center" vertical="center"/>
    </xf>
    <xf numFmtId="164" fontId="0" fillId="0" borderId="0" xfId="0" applyAlignment="1">
      <alignment horizontal="center" vertical="center" wrapText="1"/>
    </xf>
    <xf numFmtId="164" fontId="0" fillId="0" borderId="49" xfId="0" applyBorder="1" applyAlignment="1">
      <alignment horizontal="center" vertical="center" wrapText="1"/>
    </xf>
    <xf numFmtId="1" fontId="0" fillId="0" borderId="51" xfId="0" applyNumberFormat="1" applyBorder="1" applyAlignment="1">
      <alignment horizontal="center" vertical="center"/>
    </xf>
    <xf numFmtId="1" fontId="0" fillId="0" borderId="49" xfId="0" applyNumberFormat="1" applyBorder="1" applyAlignment="1">
      <alignment horizontal="center" vertical="center"/>
    </xf>
    <xf numFmtId="164" fontId="50" fillId="0" borderId="44" xfId="0" applyFont="1" applyBorder="1" applyAlignment="1">
      <alignment horizontal="center" vertical="center"/>
    </xf>
    <xf numFmtId="164" fontId="50" fillId="0" borderId="45" xfId="0" applyFont="1" applyBorder="1" applyAlignment="1">
      <alignment horizontal="center" vertical="center"/>
    </xf>
    <xf numFmtId="164" fontId="50" fillId="0" borderId="46" xfId="0" applyFont="1" applyBorder="1" applyAlignment="1">
      <alignment horizontal="center" vertical="center"/>
    </xf>
    <xf numFmtId="164" fontId="0" fillId="0" borderId="39" xfId="0" applyBorder="1" applyAlignment="1">
      <alignment horizontal="center" vertical="center" wrapText="1"/>
    </xf>
    <xf numFmtId="164" fontId="0" fillId="0" borderId="50" xfId="0" applyBorder="1" applyAlignment="1">
      <alignment horizontal="center" vertical="center" wrapText="1"/>
    </xf>
    <xf numFmtId="164" fontId="0" fillId="0" borderId="51" xfId="0" applyBorder="1" applyAlignment="1">
      <alignment horizontal="center" vertical="center" wrapText="1"/>
    </xf>
    <xf numFmtId="1" fontId="0" fillId="0" borderId="51" xfId="0" applyNumberFormat="1" applyBorder="1" applyAlignment="1">
      <alignment horizontal="center" vertical="center" wrapText="1"/>
    </xf>
    <xf numFmtId="1" fontId="0" fillId="0" borderId="0" xfId="0" applyNumberFormat="1" applyAlignment="1">
      <alignment horizontal="center" vertical="center" wrapText="1"/>
    </xf>
    <xf numFmtId="1" fontId="0" fillId="0" borderId="50" xfId="0" applyNumberFormat="1" applyBorder="1" applyAlignment="1">
      <alignment horizontal="center" vertical="center" wrapText="1"/>
    </xf>
    <xf numFmtId="1" fontId="0" fillId="0" borderId="39" xfId="0" applyNumberFormat="1" applyBorder="1" applyAlignment="1">
      <alignment horizontal="center" vertical="center" wrapText="1"/>
    </xf>
    <xf numFmtId="1" fontId="0" fillId="0" borderId="49" xfId="0" applyNumberFormat="1" applyBorder="1" applyAlignment="1">
      <alignment horizontal="center" vertical="center" wrapText="1"/>
    </xf>
    <xf numFmtId="164" fontId="33" fillId="0" borderId="0" xfId="0" applyFont="1" applyAlignment="1">
      <alignment horizontal="center" wrapText="1"/>
    </xf>
    <xf numFmtId="164" fontId="0" fillId="0" borderId="39" xfId="0" applyBorder="1" applyAlignment="1">
      <alignment horizontal="center"/>
    </xf>
    <xf numFmtId="164" fontId="0" fillId="0" borderId="22" xfId="0" applyBorder="1" applyAlignment="1">
      <alignment horizontal="center" vertical="center"/>
    </xf>
    <xf numFmtId="164" fontId="0" fillId="0" borderId="35" xfId="0" applyBorder="1" applyAlignment="1">
      <alignment horizontal="center" vertical="center"/>
    </xf>
    <xf numFmtId="164" fontId="0" fillId="0" borderId="37" xfId="0" applyBorder="1" applyAlignment="1">
      <alignment horizontal="center" vertical="center"/>
    </xf>
    <xf numFmtId="164" fontId="36" fillId="13" borderId="5" xfId="0" applyFont="1" applyFill="1" applyBorder="1" applyAlignment="1">
      <alignment horizontal="center" vertical="center" textRotation="90" wrapText="1"/>
    </xf>
    <xf numFmtId="3" fontId="0" fillId="4" borderId="22" xfId="0" applyNumberFormat="1" applyFill="1" applyBorder="1" applyAlignment="1">
      <alignment horizontal="center" vertical="center"/>
    </xf>
    <xf numFmtId="3" fontId="0" fillId="4" borderId="37" xfId="0" applyNumberFormat="1" applyFill="1" applyBorder="1" applyAlignment="1">
      <alignment horizontal="center" vertical="center"/>
    </xf>
    <xf numFmtId="3" fontId="0" fillId="4" borderId="35" xfId="0" applyNumberFormat="1" applyFill="1" applyBorder="1" applyAlignment="1">
      <alignment horizontal="center" vertical="center"/>
    </xf>
    <xf numFmtId="164" fontId="0" fillId="4" borderId="22" xfId="0" applyFill="1" applyBorder="1" applyAlignment="1">
      <alignment horizontal="center" vertical="center"/>
    </xf>
    <xf numFmtId="164" fontId="0" fillId="4" borderId="37" xfId="0" applyFill="1" applyBorder="1" applyAlignment="1">
      <alignment horizontal="center" vertical="center"/>
    </xf>
    <xf numFmtId="164" fontId="0" fillId="4" borderId="35" xfId="0" applyFill="1" applyBorder="1" applyAlignment="1">
      <alignment horizontal="center" vertical="center"/>
    </xf>
    <xf numFmtId="164" fontId="36" fillId="4" borderId="24" xfId="0" applyFont="1" applyFill="1" applyBorder="1" applyAlignment="1">
      <alignment horizontal="center" vertical="center" wrapText="1"/>
    </xf>
    <xf numFmtId="164" fontId="36" fillId="4" borderId="25" xfId="0" applyFont="1" applyFill="1" applyBorder="1" applyAlignment="1">
      <alignment horizontal="center" vertical="center" wrapText="1"/>
    </xf>
    <xf numFmtId="164" fontId="38" fillId="11" borderId="22" xfId="0" applyFont="1" applyFill="1" applyBorder="1" applyAlignment="1">
      <alignment horizontal="center" vertical="center"/>
    </xf>
    <xf numFmtId="164" fontId="38" fillId="11" borderId="35" xfId="0" applyFont="1" applyFill="1" applyBorder="1" applyAlignment="1">
      <alignment horizontal="center" vertical="center"/>
    </xf>
    <xf numFmtId="1" fontId="38" fillId="11" borderId="22" xfId="0" applyNumberFormat="1" applyFont="1" applyFill="1" applyBorder="1" applyAlignment="1">
      <alignment horizontal="center" vertical="center"/>
    </xf>
    <xf numFmtId="1" fontId="38" fillId="11" borderId="35" xfId="0" applyNumberFormat="1" applyFont="1" applyFill="1" applyBorder="1" applyAlignment="1">
      <alignment horizontal="center" vertical="center"/>
    </xf>
    <xf numFmtId="164" fontId="28" fillId="12" borderId="22" xfId="0" applyFont="1" applyFill="1" applyBorder="1" applyAlignment="1">
      <alignment horizontal="center" vertical="center" wrapText="1"/>
    </xf>
    <xf numFmtId="164" fontId="28" fillId="12" borderId="37" xfId="0" applyFont="1" applyFill="1" applyBorder="1" applyAlignment="1">
      <alignment horizontal="center" vertical="center" wrapText="1"/>
    </xf>
    <xf numFmtId="164" fontId="28" fillId="12" borderId="35" xfId="0" applyFont="1" applyFill="1" applyBorder="1" applyAlignment="1">
      <alignment horizontal="center" vertical="center" wrapText="1"/>
    </xf>
    <xf numFmtId="164" fontId="0" fillId="11" borderId="40" xfId="0" applyFill="1" applyBorder="1" applyAlignment="1">
      <alignment horizontal="center" vertical="center" wrapText="1"/>
    </xf>
    <xf numFmtId="164" fontId="0" fillId="11" borderId="37" xfId="0" applyFill="1" applyBorder="1" applyAlignment="1">
      <alignment horizontal="center" vertical="center" wrapText="1"/>
    </xf>
    <xf numFmtId="164" fontId="0" fillId="11" borderId="35" xfId="0" applyFill="1" applyBorder="1" applyAlignment="1">
      <alignment horizontal="center" vertical="center" wrapText="1"/>
    </xf>
    <xf numFmtId="164" fontId="37" fillId="14" borderId="22" xfId="0" applyFont="1" applyFill="1" applyBorder="1" applyAlignment="1">
      <alignment horizontal="center" vertical="center" wrapText="1"/>
    </xf>
    <xf numFmtId="164" fontId="37" fillId="14" borderId="37" xfId="0" applyFont="1" applyFill="1" applyBorder="1" applyAlignment="1">
      <alignment horizontal="center" vertical="center" wrapText="1"/>
    </xf>
    <xf numFmtId="164" fontId="37" fillId="14" borderId="35" xfId="0" applyFont="1" applyFill="1" applyBorder="1" applyAlignment="1">
      <alignment horizontal="center" vertical="center" wrapText="1"/>
    </xf>
    <xf numFmtId="3" fontId="0" fillId="16" borderId="37" xfId="0" applyNumberFormat="1" applyFill="1" applyBorder="1" applyAlignment="1">
      <alignment horizontal="center" vertical="center"/>
    </xf>
    <xf numFmtId="3" fontId="0" fillId="16" borderId="35" xfId="0" applyNumberFormat="1" applyFill="1" applyBorder="1" applyAlignment="1">
      <alignment horizontal="center" vertical="center"/>
    </xf>
    <xf numFmtId="164" fontId="0" fillId="16" borderId="40" xfId="0" applyFill="1" applyBorder="1" applyAlignment="1">
      <alignment horizontal="center" vertical="center" wrapText="1"/>
    </xf>
    <xf numFmtId="164" fontId="0" fillId="16" borderId="37" xfId="0" applyFill="1" applyBorder="1" applyAlignment="1">
      <alignment horizontal="center" vertical="center" wrapText="1"/>
    </xf>
    <xf numFmtId="164" fontId="0" fillId="16" borderId="35" xfId="0" applyFill="1" applyBorder="1" applyAlignment="1">
      <alignment horizontal="center" vertical="center" wrapText="1"/>
    </xf>
    <xf numFmtId="164" fontId="35" fillId="11" borderId="22" xfId="0" applyFont="1" applyFill="1" applyBorder="1" applyAlignment="1">
      <alignment horizontal="center" vertical="center"/>
    </xf>
    <xf numFmtId="164" fontId="35" fillId="11" borderId="35" xfId="0" applyFont="1" applyFill="1" applyBorder="1" applyAlignment="1">
      <alignment horizontal="center" vertical="center"/>
    </xf>
    <xf numFmtId="3" fontId="0" fillId="11" borderId="5" xfId="0" applyNumberFormat="1" applyFill="1" applyBorder="1" applyAlignment="1">
      <alignment horizontal="center" vertical="center" wrapText="1"/>
    </xf>
  </cellXfs>
  <cellStyles count="51">
    <cellStyle name="arial12" xfId="4" xr:uid="{00000000-0005-0000-0000-000000000000}"/>
    <cellStyle name="arial14" xfId="5" xr:uid="{00000000-0005-0000-0000-000001000000}"/>
    <cellStyle name="Check Cell" xfId="43" builtinId="23"/>
    <cellStyle name="Comma  - Style1" xfId="6" xr:uid="{00000000-0005-0000-0000-000002000000}"/>
    <cellStyle name="Comma  - Style2" xfId="7" xr:uid="{00000000-0005-0000-0000-000003000000}"/>
    <cellStyle name="Comma  - Style3" xfId="8" xr:uid="{00000000-0005-0000-0000-000004000000}"/>
    <cellStyle name="Comma  - Style4" xfId="9" xr:uid="{00000000-0005-0000-0000-000005000000}"/>
    <cellStyle name="Comma  - Style5" xfId="10" xr:uid="{00000000-0005-0000-0000-000006000000}"/>
    <cellStyle name="Comma  - Style6" xfId="11" xr:uid="{00000000-0005-0000-0000-000007000000}"/>
    <cellStyle name="Comma  - Style7" xfId="12" xr:uid="{00000000-0005-0000-0000-000008000000}"/>
    <cellStyle name="Comma  - Style8" xfId="13" xr:uid="{00000000-0005-0000-0000-000009000000}"/>
    <cellStyle name="Dezimal [1]" xfId="14" xr:uid="{00000000-0005-0000-0000-00000A000000}"/>
    <cellStyle name="Dezimal [2]" xfId="15" xr:uid="{00000000-0005-0000-0000-00000B000000}"/>
    <cellStyle name="Euro" xfId="16" xr:uid="{00000000-0005-0000-0000-00000C000000}"/>
    <cellStyle name="Excel Built-in Normal" xfId="17" xr:uid="{00000000-0005-0000-0000-00000D000000}"/>
    <cellStyle name="Good" xfId="42" builtinId="26"/>
    <cellStyle name="Grey" xfId="18" xr:uid="{00000000-0005-0000-0000-00000E000000}"/>
    <cellStyle name="Header1" xfId="19" xr:uid="{00000000-0005-0000-0000-000010000000}"/>
    <cellStyle name="Header2" xfId="20" xr:uid="{00000000-0005-0000-0000-000011000000}"/>
    <cellStyle name="Hyperlink" xfId="3" builtinId="8"/>
    <cellStyle name="Hyperlink 2" xfId="21" xr:uid="{00000000-0005-0000-0000-000013000000}"/>
    <cellStyle name="Hyperlink 3" xfId="45" xr:uid="{00000000-0005-0000-0000-000014000000}"/>
    <cellStyle name="Input [yellow]" xfId="22" xr:uid="{00000000-0005-0000-0000-000015000000}"/>
    <cellStyle name="Nor}al_laroux_2_pldt" xfId="23" xr:uid="{00000000-0005-0000-0000-000017000000}"/>
    <cellStyle name="Normal" xfId="0" builtinId="0"/>
    <cellStyle name="Normal - Style1" xfId="24" xr:uid="{00000000-0005-0000-0000-000018000000}"/>
    <cellStyle name="Normal 2" xfId="25" xr:uid="{00000000-0005-0000-0000-000019000000}"/>
    <cellStyle name="Percent [2]" xfId="26" xr:uid="{00000000-0005-0000-0000-00001A000000}"/>
    <cellStyle name="Prozent [0]" xfId="27" xr:uid="{00000000-0005-0000-0000-00001B000000}"/>
    <cellStyle name="Prozent [1]" xfId="28" xr:uid="{00000000-0005-0000-0000-00001C000000}"/>
    <cellStyle name="Prozent [2]" xfId="29" xr:uid="{00000000-0005-0000-0000-00001D000000}"/>
    <cellStyle name="RAMEY" xfId="30" xr:uid="{00000000-0005-0000-0000-00001E000000}"/>
    <cellStyle name="Ramey $k" xfId="31" xr:uid="{00000000-0005-0000-0000-00001F000000}"/>
    <cellStyle name="RAMEY_P&amp;O BKUP" xfId="32" xr:uid="{00000000-0005-0000-0000-000020000000}"/>
    <cellStyle name="Standard 2" xfId="33" xr:uid="{00000000-0005-0000-0000-000022000000}"/>
    <cellStyle name="Standard 2 2" xfId="34" xr:uid="{00000000-0005-0000-0000-000023000000}"/>
    <cellStyle name="Standard 3" xfId="35" xr:uid="{00000000-0005-0000-0000-000024000000}"/>
    <cellStyle name="Standard 3 2" xfId="47" xr:uid="{CB67D45D-61F0-4EB9-BFC5-37EB5EC957FD}"/>
    <cellStyle name="Standard 4" xfId="2" xr:uid="{00000000-0005-0000-0000-000025000000}"/>
    <cellStyle name="Standard 4 2" xfId="41" xr:uid="{00000000-0005-0000-0000-000026000000}"/>
    <cellStyle name="Standard 4 2 2" xfId="49" xr:uid="{6B17A81E-9584-4499-B6C6-E402580FA2C3}"/>
    <cellStyle name="Standard 4 3" xfId="46" xr:uid="{7FE9AA57-A50F-4E0E-9BBC-D482BEB35F20}"/>
    <cellStyle name="Standard 5" xfId="36" xr:uid="{00000000-0005-0000-0000-000027000000}"/>
    <cellStyle name="Standard 6" xfId="37" xr:uid="{00000000-0005-0000-0000-000028000000}"/>
    <cellStyle name="Standard 6 2" xfId="48" xr:uid="{F8416393-5908-4C9B-B5ED-4DC65E8F1D09}"/>
    <cellStyle name="Standard 7" xfId="44" xr:uid="{00000000-0005-0000-0000-000029000000}"/>
    <cellStyle name="Standard 7 2" xfId="50" xr:uid="{6260265C-2810-40F7-918C-A56C9B6D6D0B}"/>
    <cellStyle name="Standard_ProjectNumber_ListOfPotentialSuppliers" xfId="1" xr:uid="{00000000-0005-0000-0000-00002A000000}"/>
    <cellStyle name="Stil 1" xfId="38" xr:uid="{00000000-0005-0000-0000-00002B000000}"/>
    <cellStyle name="Währung [2]" xfId="39" xr:uid="{00000000-0005-0000-0000-00002C000000}"/>
    <cellStyle name="표준_635N Prodn Release Timing_Compressor" xfId="40" xr:uid="{00000000-0005-0000-0000-00002E000000}"/>
  </cellStyles>
  <dxfs count="94">
    <dxf>
      <font>
        <b/>
        <i val="0"/>
      </font>
      <fill>
        <patternFill>
          <bgColor rgb="FFFF0000"/>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ill>
        <patternFill>
          <bgColor theme="7" tint="0.59996337778862885"/>
        </patternFill>
      </fill>
    </dxf>
    <dxf>
      <font>
        <color rgb="FF9C0006"/>
      </font>
      <fill>
        <patternFill>
          <bgColor rgb="FFFFC7CE"/>
        </patternFill>
      </fill>
    </dxf>
    <dxf>
      <font>
        <color rgb="FF9C0006"/>
      </font>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theme="7"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ont>
        <color rgb="FF9C0006"/>
      </font>
      <fill>
        <patternFill>
          <bgColor rgb="FFFFC7CE"/>
        </patternFill>
      </fill>
    </dxf>
    <dxf>
      <fill>
        <patternFill>
          <bgColor theme="7" tint="0.59996337778862885"/>
        </patternFill>
      </fill>
    </dxf>
    <dxf>
      <font>
        <color rgb="FF9C0006"/>
      </font>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theme="9" tint="0.79998168889431442"/>
        </patternFill>
      </fill>
    </dxf>
    <dxf>
      <fill>
        <patternFill>
          <bgColor theme="1" tint="0.499984740745262"/>
        </patternFill>
      </fill>
    </dxf>
    <dxf>
      <font>
        <color rgb="FF9C0006"/>
      </font>
      <fill>
        <patternFill>
          <bgColor rgb="FFFFC7CE"/>
        </patternFill>
      </fill>
    </dxf>
    <dxf>
      <fill>
        <patternFill>
          <bgColor theme="7" tint="0.59996337778862885"/>
        </patternFill>
      </fill>
    </dxf>
    <dxf>
      <fill>
        <patternFill>
          <bgColor rgb="FFFFC000"/>
        </patternFill>
      </fill>
    </dxf>
    <dxf>
      <fill>
        <patternFill>
          <bgColor theme="6"/>
        </patternFill>
      </fill>
    </dxf>
    <dxf>
      <fill>
        <patternFill>
          <bgColor theme="8"/>
        </patternFill>
      </fill>
    </dxf>
    <dxf>
      <font>
        <color rgb="FF9C0006"/>
      </font>
      <fill>
        <patternFill>
          <bgColor rgb="FFFFC7CE"/>
        </patternFill>
      </fill>
    </dxf>
    <dxf>
      <fill>
        <patternFill>
          <bgColor rgb="FFFFC000"/>
        </patternFill>
      </fill>
    </dxf>
    <dxf>
      <fill>
        <patternFill>
          <bgColor theme="7" tint="0.59996337778862885"/>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theme="6"/>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rgb="FFFFC000"/>
        </patternFill>
      </fill>
    </dxf>
    <dxf>
      <fill>
        <patternFill>
          <bgColor theme="7" tint="0.59996337778862885"/>
        </patternFill>
      </fill>
    </dxf>
    <dxf>
      <fill>
        <patternFill>
          <bgColor rgb="FFFFC000"/>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theme="7" tint="0.59996337778862885"/>
        </patternFill>
      </fill>
    </dxf>
    <dxf>
      <font>
        <color rgb="FF9C0006"/>
      </font>
      <fill>
        <patternFill>
          <bgColor theme="9" tint="0.79998168889431442"/>
        </patternFill>
      </fill>
    </dxf>
    <dxf>
      <fill>
        <patternFill>
          <bgColor theme="7" tint="0.59996337778862885"/>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ill>
        <patternFill>
          <bgColor theme="7" tint="0.59996337778862885"/>
        </patternFill>
      </fill>
    </dxf>
    <dxf>
      <font>
        <color rgb="FF9C0006"/>
      </font>
      <fill>
        <patternFill>
          <bgColor theme="9" tint="0.79998168889431442"/>
        </patternFill>
      </fill>
    </dxf>
    <dxf>
      <fill>
        <patternFill>
          <bgColor theme="8"/>
        </patternFill>
      </fill>
    </dxf>
    <dxf>
      <fill>
        <patternFill>
          <bgColor theme="1" tint="0.499984740745262"/>
        </patternFill>
      </fill>
    </dxf>
    <dxf>
      <fill>
        <patternFill>
          <bgColor theme="6"/>
        </patternFill>
      </fill>
    </dxf>
    <dxf>
      <fill>
        <patternFill>
          <bgColor rgb="FFFFC000"/>
        </patternFill>
      </fill>
    </dxf>
    <dxf>
      <fill>
        <patternFill>
          <bgColor theme="7" tint="0.59996337778862885"/>
        </patternFill>
      </fill>
    </dxf>
    <dxf>
      <fill>
        <patternFill>
          <bgColor theme="7" tint="0.59996337778862885"/>
        </patternFill>
      </fill>
    </dxf>
    <dxf>
      <fill>
        <patternFill>
          <bgColor rgb="FFFFC000"/>
        </patternFill>
      </fill>
    </dxf>
    <dxf>
      <fill>
        <patternFill>
          <bgColor theme="6"/>
        </patternFill>
      </fill>
    </dxf>
    <dxf>
      <fill>
        <patternFill>
          <bgColor theme="1" tint="0.499984740745262"/>
        </patternFill>
      </fill>
    </dxf>
    <dxf>
      <fill>
        <patternFill>
          <bgColor theme="8"/>
        </patternFill>
      </fill>
    </dxf>
    <dxf>
      <font>
        <color rgb="FF9C0006"/>
      </font>
      <fill>
        <patternFill>
          <bgColor theme="9" tint="0.79998168889431442"/>
        </patternFill>
      </fill>
    </dxf>
    <dxf>
      <fill>
        <patternFill>
          <bgColor theme="7" tint="0.59996337778862885"/>
        </patternFill>
      </fill>
    </dxf>
    <dxf>
      <fill>
        <patternFill>
          <bgColor rgb="FFFFC000"/>
        </patternFill>
      </fill>
    </dxf>
    <dxf>
      <fill>
        <patternFill>
          <bgColor theme="6"/>
        </patternFill>
      </fill>
    </dxf>
    <dxf>
      <fill>
        <patternFill>
          <bgColor theme="8"/>
        </patternFill>
      </fill>
    </dxf>
    <dxf>
      <font>
        <color rgb="FF9C0006"/>
      </font>
      <fill>
        <patternFill>
          <bgColor theme="9" tint="0.79998168889431442"/>
        </patternFill>
      </fill>
    </dxf>
    <dxf>
      <fill>
        <patternFill>
          <bgColor theme="1" tint="0.499984740745262"/>
        </patternFill>
      </fill>
    </dxf>
    <dxf>
      <font>
        <color rgb="FF9C0006"/>
      </font>
      <fill>
        <patternFill>
          <bgColor theme="9" tint="0.79998168889431442"/>
        </patternFill>
      </fill>
    </dxf>
    <dxf>
      <fill>
        <patternFill>
          <bgColor theme="6"/>
        </patternFill>
      </fill>
    </dxf>
    <dxf>
      <fill>
        <patternFill>
          <bgColor theme="8"/>
        </patternFill>
      </fill>
    </dxf>
    <dxf>
      <fill>
        <patternFill>
          <bgColor theme="7" tint="0.59996337778862885"/>
        </patternFill>
      </fill>
    </dxf>
    <dxf>
      <fill>
        <patternFill>
          <bgColor rgb="FFFFC000"/>
        </patternFill>
      </fill>
    </dxf>
    <dxf>
      <fill>
        <patternFill>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18</xdr:col>
      <xdr:colOff>135177</xdr:colOff>
      <xdr:row>36</xdr:row>
      <xdr:rowOff>124746</xdr:rowOff>
    </xdr:to>
    <xdr:pic>
      <xdr:nvPicPr>
        <xdr:cNvPr id="2" name="Grafik 1">
          <a:extLst>
            <a:ext uri="{FF2B5EF4-FFF2-40B4-BE49-F238E27FC236}">
              <a16:creationId xmlns:a16="http://schemas.microsoft.com/office/drawing/2014/main" id="{8F454056-D5F6-4427-AD69-C195CF651D60}"/>
            </a:ext>
          </a:extLst>
        </xdr:cNvPr>
        <xdr:cNvPicPr>
          <a:picLocks noChangeAspect="1"/>
        </xdr:cNvPicPr>
      </xdr:nvPicPr>
      <xdr:blipFill>
        <a:blip xmlns:r="http://schemas.openxmlformats.org/officeDocument/2006/relationships" r:embed="rId1"/>
        <a:stretch>
          <a:fillRect/>
        </a:stretch>
      </xdr:blipFill>
      <xdr:spPr>
        <a:xfrm>
          <a:off x="762000" y="381000"/>
          <a:ext cx="13089177" cy="6601746"/>
        </a:xfrm>
        <a:prstGeom prst="rect">
          <a:avLst/>
        </a:prstGeom>
      </xdr:spPr>
    </xdr:pic>
    <xdr:clientData/>
  </xdr:twoCellAnchor>
  <xdr:twoCellAnchor>
    <xdr:from>
      <xdr:col>5</xdr:col>
      <xdr:colOff>342899</xdr:colOff>
      <xdr:row>29</xdr:row>
      <xdr:rowOff>66676</xdr:rowOff>
    </xdr:from>
    <xdr:to>
      <xdr:col>13</xdr:col>
      <xdr:colOff>581024</xdr:colOff>
      <xdr:row>36</xdr:row>
      <xdr:rowOff>180976</xdr:rowOff>
    </xdr:to>
    <xdr:sp macro="" textlink="">
      <xdr:nvSpPr>
        <xdr:cNvPr id="3" name="Rechteck 2">
          <a:extLst>
            <a:ext uri="{FF2B5EF4-FFF2-40B4-BE49-F238E27FC236}">
              <a16:creationId xmlns:a16="http://schemas.microsoft.com/office/drawing/2014/main" id="{613C8D5C-A188-48F3-8BEF-A402FB6C65B9}"/>
            </a:ext>
          </a:extLst>
        </xdr:cNvPr>
        <xdr:cNvSpPr/>
      </xdr:nvSpPr>
      <xdr:spPr>
        <a:xfrm>
          <a:off x="4152899" y="5591176"/>
          <a:ext cx="6334125" cy="1447800"/>
        </a:xfrm>
        <a:prstGeom prst="rect">
          <a:avLst/>
        </a:prstGeom>
        <a:solidFill>
          <a:sysClr val="window" lastClr="FFFFFF"/>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xdr:col>
      <xdr:colOff>657225</xdr:colOff>
      <xdr:row>24</xdr:row>
      <xdr:rowOff>123825</xdr:rowOff>
    </xdr:from>
    <xdr:to>
      <xdr:col>18</xdr:col>
      <xdr:colOff>542925</xdr:colOff>
      <xdr:row>37</xdr:row>
      <xdr:rowOff>133350</xdr:rowOff>
    </xdr:to>
    <xdr:sp macro="" textlink="">
      <xdr:nvSpPr>
        <xdr:cNvPr id="4" name="Rechteck 3">
          <a:extLst>
            <a:ext uri="{FF2B5EF4-FFF2-40B4-BE49-F238E27FC236}">
              <a16:creationId xmlns:a16="http://schemas.microsoft.com/office/drawing/2014/main" id="{DDF85580-A7D6-7A95-6935-B7083BA676EE}"/>
            </a:ext>
          </a:extLst>
        </xdr:cNvPr>
        <xdr:cNvSpPr/>
      </xdr:nvSpPr>
      <xdr:spPr>
        <a:xfrm>
          <a:off x="4467225" y="4695825"/>
          <a:ext cx="9791700"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438150</xdr:colOff>
      <xdr:row>24</xdr:row>
      <xdr:rowOff>85726</xdr:rowOff>
    </xdr:from>
    <xdr:to>
      <xdr:col>15</xdr:col>
      <xdr:colOff>285750</xdr:colOff>
      <xdr:row>25</xdr:row>
      <xdr:rowOff>161926</xdr:rowOff>
    </xdr:to>
    <xdr:sp macro="" textlink="">
      <xdr:nvSpPr>
        <xdr:cNvPr id="5" name="Rechteck 4">
          <a:extLst>
            <a:ext uri="{FF2B5EF4-FFF2-40B4-BE49-F238E27FC236}">
              <a16:creationId xmlns:a16="http://schemas.microsoft.com/office/drawing/2014/main" id="{E509779F-781B-48C1-3552-75C4517CF75E}"/>
            </a:ext>
          </a:extLst>
        </xdr:cNvPr>
        <xdr:cNvSpPr/>
      </xdr:nvSpPr>
      <xdr:spPr>
        <a:xfrm>
          <a:off x="11106150" y="4657726"/>
          <a:ext cx="609600" cy="266700"/>
        </a:xfrm>
        <a:prstGeom prst="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t"/>
        <a:lstStyle/>
        <a:p>
          <a:pPr algn="l"/>
          <a:r>
            <a:rPr lang="de-DE" sz="1100"/>
            <a:t>success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18</xdr:col>
      <xdr:colOff>1808</xdr:colOff>
      <xdr:row>28</xdr:row>
      <xdr:rowOff>124507</xdr:rowOff>
    </xdr:to>
    <xdr:pic>
      <xdr:nvPicPr>
        <xdr:cNvPr id="2" name="Grafik 1">
          <a:extLst>
            <a:ext uri="{FF2B5EF4-FFF2-40B4-BE49-F238E27FC236}">
              <a16:creationId xmlns:a16="http://schemas.microsoft.com/office/drawing/2014/main" id="{39D47D2D-BB7C-4C43-92DE-18CE0AA936D7}"/>
            </a:ext>
          </a:extLst>
        </xdr:cNvPr>
        <xdr:cNvPicPr>
          <a:picLocks noChangeAspect="1"/>
        </xdr:cNvPicPr>
      </xdr:nvPicPr>
      <xdr:blipFill>
        <a:blip xmlns:r="http://schemas.openxmlformats.org/officeDocument/2006/relationships" r:embed="rId1"/>
        <a:stretch>
          <a:fillRect/>
        </a:stretch>
      </xdr:blipFill>
      <xdr:spPr>
        <a:xfrm>
          <a:off x="762000" y="571500"/>
          <a:ext cx="12955808" cy="48870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5</xdr:row>
      <xdr:rowOff>0</xdr:rowOff>
    </xdr:from>
    <xdr:to>
      <xdr:col>2</xdr:col>
      <xdr:colOff>304800</xdr:colOff>
      <xdr:row>6</xdr:row>
      <xdr:rowOff>114300</xdr:rowOff>
    </xdr:to>
    <xdr:sp macro="" textlink="">
      <xdr:nvSpPr>
        <xdr:cNvPr id="1025" name="cp-img" descr="Zelltemperaturzuordnung.png">
          <a:extLst>
            <a:ext uri="{FF2B5EF4-FFF2-40B4-BE49-F238E27FC236}">
              <a16:creationId xmlns:a16="http://schemas.microsoft.com/office/drawing/2014/main" id="{653F83F9-2F11-4F8B-BBB3-22DB498A8B03}"/>
            </a:ext>
          </a:extLst>
        </xdr:cNvPr>
        <xdr:cNvSpPr>
          <a:spLocks noChangeAspect="1" noChangeArrowheads="1"/>
        </xdr:cNvSpPr>
      </xdr:nvSpPr>
      <xdr:spPr bwMode="auto">
        <a:xfrm>
          <a:off x="1524000" y="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5</xdr:row>
      <xdr:rowOff>0</xdr:rowOff>
    </xdr:from>
    <xdr:to>
      <xdr:col>2</xdr:col>
      <xdr:colOff>304800</xdr:colOff>
      <xdr:row>6</xdr:row>
      <xdr:rowOff>114300</xdr:rowOff>
    </xdr:to>
    <xdr:sp macro="" textlink="">
      <xdr:nvSpPr>
        <xdr:cNvPr id="1026" name="cp-img" descr="Zelltemperaturzuordnung.png">
          <a:extLst>
            <a:ext uri="{FF2B5EF4-FFF2-40B4-BE49-F238E27FC236}">
              <a16:creationId xmlns:a16="http://schemas.microsoft.com/office/drawing/2014/main" id="{795C62DD-F71A-4301-A215-8CEBDE904438}"/>
            </a:ext>
          </a:extLst>
        </xdr:cNvPr>
        <xdr:cNvSpPr>
          <a:spLocks noChangeAspect="1" noChangeArrowheads="1"/>
        </xdr:cNvSpPr>
      </xdr:nvSpPr>
      <xdr:spPr bwMode="auto">
        <a:xfrm>
          <a:off x="1524000" y="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2</xdr:row>
      <xdr:rowOff>0</xdr:rowOff>
    </xdr:from>
    <xdr:to>
      <xdr:col>18</xdr:col>
      <xdr:colOff>665047</xdr:colOff>
      <xdr:row>35</xdr:row>
      <xdr:rowOff>113500</xdr:rowOff>
    </xdr:to>
    <xdr:pic>
      <xdr:nvPicPr>
        <xdr:cNvPr id="4" name="Grafik 3">
          <a:extLst>
            <a:ext uri="{FF2B5EF4-FFF2-40B4-BE49-F238E27FC236}">
              <a16:creationId xmlns:a16="http://schemas.microsoft.com/office/drawing/2014/main" id="{A92D9D2D-0032-4678-8622-852BA11C0EBF}"/>
            </a:ext>
          </a:extLst>
        </xdr:cNvPr>
        <xdr:cNvPicPr>
          <a:picLocks noChangeAspect="1"/>
        </xdr:cNvPicPr>
      </xdr:nvPicPr>
      <xdr:blipFill>
        <a:blip xmlns:r="http://schemas.openxmlformats.org/officeDocument/2006/relationships" r:embed="rId1"/>
        <a:stretch>
          <a:fillRect/>
        </a:stretch>
      </xdr:blipFill>
      <xdr:spPr>
        <a:xfrm>
          <a:off x="762000" y="381000"/>
          <a:ext cx="13619047" cy="6400000"/>
        </a:xfrm>
        <a:prstGeom prst="rect">
          <a:avLst/>
        </a:prstGeom>
      </xdr:spPr>
    </xdr:pic>
    <xdr:clientData/>
  </xdr:twoCellAnchor>
  <xdr:twoCellAnchor>
    <xdr:from>
      <xdr:col>3</xdr:col>
      <xdr:colOff>609600</xdr:colOff>
      <xdr:row>25</xdr:row>
      <xdr:rowOff>76200</xdr:rowOff>
    </xdr:from>
    <xdr:to>
      <xdr:col>4</xdr:col>
      <xdr:colOff>361950</xdr:colOff>
      <xdr:row>32</xdr:row>
      <xdr:rowOff>152400</xdr:rowOff>
    </xdr:to>
    <xdr:sp macro="" textlink="">
      <xdr:nvSpPr>
        <xdr:cNvPr id="5" name="Textfeld 4">
          <a:extLst>
            <a:ext uri="{FF2B5EF4-FFF2-40B4-BE49-F238E27FC236}">
              <a16:creationId xmlns:a16="http://schemas.microsoft.com/office/drawing/2014/main" id="{82BC3C62-AAB0-443B-97D7-EA4985367C47}"/>
            </a:ext>
          </a:extLst>
        </xdr:cNvPr>
        <xdr:cNvSpPr txBox="1"/>
      </xdr:nvSpPr>
      <xdr:spPr>
        <a:xfrm rot="16200000">
          <a:off x="2447925" y="5286375"/>
          <a:ext cx="14097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 &amp; 2</a:t>
          </a:r>
        </a:p>
      </xdr:txBody>
    </xdr:sp>
    <xdr:clientData/>
  </xdr:twoCellAnchor>
  <xdr:twoCellAnchor>
    <xdr:from>
      <xdr:col>5</xdr:col>
      <xdr:colOff>200025</xdr:colOff>
      <xdr:row>25</xdr:row>
      <xdr:rowOff>161925</xdr:rowOff>
    </xdr:from>
    <xdr:to>
      <xdr:col>5</xdr:col>
      <xdr:colOff>714375</xdr:colOff>
      <xdr:row>33</xdr:row>
      <xdr:rowOff>47625</xdr:rowOff>
    </xdr:to>
    <xdr:sp macro="" textlink="">
      <xdr:nvSpPr>
        <xdr:cNvPr id="10" name="Textfeld 9">
          <a:extLst>
            <a:ext uri="{FF2B5EF4-FFF2-40B4-BE49-F238E27FC236}">
              <a16:creationId xmlns:a16="http://schemas.microsoft.com/office/drawing/2014/main" id="{76C3674E-39EE-490C-B802-45B17A3E1159}"/>
            </a:ext>
          </a:extLst>
        </xdr:cNvPr>
        <xdr:cNvSpPr txBox="1"/>
      </xdr:nvSpPr>
      <xdr:spPr>
        <a:xfrm rot="16200000">
          <a:off x="3562350" y="5372100"/>
          <a:ext cx="14097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3 &amp; 4</a:t>
          </a:r>
        </a:p>
      </xdr:txBody>
    </xdr:sp>
    <xdr:clientData/>
  </xdr:twoCellAnchor>
  <xdr:twoCellAnchor>
    <xdr:from>
      <xdr:col>6</xdr:col>
      <xdr:colOff>504825</xdr:colOff>
      <xdr:row>26</xdr:row>
      <xdr:rowOff>95250</xdr:rowOff>
    </xdr:from>
    <xdr:to>
      <xdr:col>7</xdr:col>
      <xdr:colOff>257175</xdr:colOff>
      <xdr:row>33</xdr:row>
      <xdr:rowOff>171450</xdr:rowOff>
    </xdr:to>
    <xdr:sp macro="" textlink="">
      <xdr:nvSpPr>
        <xdr:cNvPr id="15" name="Textfeld 14">
          <a:extLst>
            <a:ext uri="{FF2B5EF4-FFF2-40B4-BE49-F238E27FC236}">
              <a16:creationId xmlns:a16="http://schemas.microsoft.com/office/drawing/2014/main" id="{D3FEA789-1230-4F1D-A56E-B0450F578DA8}"/>
            </a:ext>
          </a:extLst>
        </xdr:cNvPr>
        <xdr:cNvSpPr txBox="1"/>
      </xdr:nvSpPr>
      <xdr:spPr>
        <a:xfrm rot="16200000">
          <a:off x="4629150" y="5495925"/>
          <a:ext cx="14097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5 &amp; 6</a:t>
          </a:r>
        </a:p>
      </xdr:txBody>
    </xdr:sp>
    <xdr:clientData/>
  </xdr:twoCellAnchor>
  <xdr:twoCellAnchor>
    <xdr:from>
      <xdr:col>7</xdr:col>
      <xdr:colOff>714375</xdr:colOff>
      <xdr:row>26</xdr:row>
      <xdr:rowOff>123825</xdr:rowOff>
    </xdr:from>
    <xdr:to>
      <xdr:col>8</xdr:col>
      <xdr:colOff>466725</xdr:colOff>
      <xdr:row>34</xdr:row>
      <xdr:rowOff>9525</xdr:rowOff>
    </xdr:to>
    <xdr:sp macro="" textlink="">
      <xdr:nvSpPr>
        <xdr:cNvPr id="16" name="Textfeld 15">
          <a:extLst>
            <a:ext uri="{FF2B5EF4-FFF2-40B4-BE49-F238E27FC236}">
              <a16:creationId xmlns:a16="http://schemas.microsoft.com/office/drawing/2014/main" id="{83099608-A352-4FC5-8570-BAD3D3DB7202}"/>
            </a:ext>
          </a:extLst>
        </xdr:cNvPr>
        <xdr:cNvSpPr txBox="1"/>
      </xdr:nvSpPr>
      <xdr:spPr>
        <a:xfrm rot="16200000">
          <a:off x="5600700" y="5524500"/>
          <a:ext cx="14097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7 &amp; 8</a:t>
          </a:r>
        </a:p>
      </xdr:txBody>
    </xdr:sp>
    <xdr:clientData/>
  </xdr:twoCellAnchor>
  <xdr:twoCellAnchor>
    <xdr:from>
      <xdr:col>9</xdr:col>
      <xdr:colOff>361950</xdr:colOff>
      <xdr:row>26</xdr:row>
      <xdr:rowOff>95250</xdr:rowOff>
    </xdr:from>
    <xdr:to>
      <xdr:col>10</xdr:col>
      <xdr:colOff>114300</xdr:colOff>
      <xdr:row>34</xdr:row>
      <xdr:rowOff>104775</xdr:rowOff>
    </xdr:to>
    <xdr:sp macro="" textlink="">
      <xdr:nvSpPr>
        <xdr:cNvPr id="17" name="Textfeld 16">
          <a:extLst>
            <a:ext uri="{FF2B5EF4-FFF2-40B4-BE49-F238E27FC236}">
              <a16:creationId xmlns:a16="http://schemas.microsoft.com/office/drawing/2014/main" id="{37A6C491-1E6A-48A9-8CA7-447D03B8DECE}"/>
            </a:ext>
          </a:extLst>
        </xdr:cNvPr>
        <xdr:cNvSpPr txBox="1"/>
      </xdr:nvSpPr>
      <xdr:spPr>
        <a:xfrm rot="16200000">
          <a:off x="6710362" y="5557838"/>
          <a:ext cx="1533525"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9 &amp; 10</a:t>
          </a:r>
        </a:p>
      </xdr:txBody>
    </xdr:sp>
    <xdr:clientData/>
  </xdr:twoCellAnchor>
  <xdr:twoCellAnchor>
    <xdr:from>
      <xdr:col>15</xdr:col>
      <xdr:colOff>133350</xdr:colOff>
      <xdr:row>25</xdr:row>
      <xdr:rowOff>142875</xdr:rowOff>
    </xdr:from>
    <xdr:to>
      <xdr:col>15</xdr:col>
      <xdr:colOff>647700</xdr:colOff>
      <xdr:row>34</xdr:row>
      <xdr:rowOff>123825</xdr:rowOff>
    </xdr:to>
    <xdr:sp macro="" textlink="">
      <xdr:nvSpPr>
        <xdr:cNvPr id="18" name="Textfeld 17">
          <a:extLst>
            <a:ext uri="{FF2B5EF4-FFF2-40B4-BE49-F238E27FC236}">
              <a16:creationId xmlns:a16="http://schemas.microsoft.com/office/drawing/2014/main" id="{BE380F91-196D-467F-BE54-7B733540AC0B}"/>
            </a:ext>
          </a:extLst>
        </xdr:cNvPr>
        <xdr:cNvSpPr txBox="1"/>
      </xdr:nvSpPr>
      <xdr:spPr>
        <a:xfrm rot="16200000">
          <a:off x="10972800" y="5495925"/>
          <a:ext cx="16954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17 &amp; 18</a:t>
          </a:r>
        </a:p>
      </xdr:txBody>
    </xdr:sp>
    <xdr:clientData/>
  </xdr:twoCellAnchor>
  <xdr:twoCellAnchor>
    <xdr:from>
      <xdr:col>16</xdr:col>
      <xdr:colOff>314325</xdr:colOff>
      <xdr:row>25</xdr:row>
      <xdr:rowOff>142875</xdr:rowOff>
    </xdr:from>
    <xdr:to>
      <xdr:col>17</xdr:col>
      <xdr:colOff>66675</xdr:colOff>
      <xdr:row>34</xdr:row>
      <xdr:rowOff>180975</xdr:rowOff>
    </xdr:to>
    <xdr:sp macro="" textlink="">
      <xdr:nvSpPr>
        <xdr:cNvPr id="19" name="Textfeld 18">
          <a:extLst>
            <a:ext uri="{FF2B5EF4-FFF2-40B4-BE49-F238E27FC236}">
              <a16:creationId xmlns:a16="http://schemas.microsoft.com/office/drawing/2014/main" id="{B60EF9BD-D435-4A99-8B5E-A9ACFE77DAD2}"/>
            </a:ext>
          </a:extLst>
        </xdr:cNvPr>
        <xdr:cNvSpPr txBox="1"/>
      </xdr:nvSpPr>
      <xdr:spPr>
        <a:xfrm rot="16200000">
          <a:off x="11887200" y="5524500"/>
          <a:ext cx="17526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19 &amp; 20</a:t>
          </a:r>
        </a:p>
      </xdr:txBody>
    </xdr:sp>
    <xdr:clientData/>
  </xdr:twoCellAnchor>
  <xdr:twoCellAnchor>
    <xdr:from>
      <xdr:col>11</xdr:col>
      <xdr:colOff>95250</xdr:colOff>
      <xdr:row>26</xdr:row>
      <xdr:rowOff>38100</xdr:rowOff>
    </xdr:from>
    <xdr:to>
      <xdr:col>11</xdr:col>
      <xdr:colOff>609600</xdr:colOff>
      <xdr:row>35</xdr:row>
      <xdr:rowOff>19050</xdr:rowOff>
    </xdr:to>
    <xdr:sp macro="" textlink="">
      <xdr:nvSpPr>
        <xdr:cNvPr id="20" name="Textfeld 19">
          <a:extLst>
            <a:ext uri="{FF2B5EF4-FFF2-40B4-BE49-F238E27FC236}">
              <a16:creationId xmlns:a16="http://schemas.microsoft.com/office/drawing/2014/main" id="{52B1AE95-F48B-42F4-B3C7-F2117EC8D910}"/>
            </a:ext>
          </a:extLst>
        </xdr:cNvPr>
        <xdr:cNvSpPr txBox="1"/>
      </xdr:nvSpPr>
      <xdr:spPr>
        <a:xfrm rot="16200000">
          <a:off x="7886700" y="5581650"/>
          <a:ext cx="16954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11 &amp; 12</a:t>
          </a:r>
        </a:p>
      </xdr:txBody>
    </xdr:sp>
    <xdr:clientData/>
  </xdr:twoCellAnchor>
  <xdr:twoCellAnchor>
    <xdr:from>
      <xdr:col>12</xdr:col>
      <xdr:colOff>419100</xdr:colOff>
      <xdr:row>26</xdr:row>
      <xdr:rowOff>66675</xdr:rowOff>
    </xdr:from>
    <xdr:to>
      <xdr:col>13</xdr:col>
      <xdr:colOff>171450</xdr:colOff>
      <xdr:row>35</xdr:row>
      <xdr:rowOff>47625</xdr:rowOff>
    </xdr:to>
    <xdr:sp macro="" textlink="">
      <xdr:nvSpPr>
        <xdr:cNvPr id="21" name="Textfeld 20">
          <a:extLst>
            <a:ext uri="{FF2B5EF4-FFF2-40B4-BE49-F238E27FC236}">
              <a16:creationId xmlns:a16="http://schemas.microsoft.com/office/drawing/2014/main" id="{70104053-B674-4528-A4F1-22D8F3FDE16F}"/>
            </a:ext>
          </a:extLst>
        </xdr:cNvPr>
        <xdr:cNvSpPr txBox="1"/>
      </xdr:nvSpPr>
      <xdr:spPr>
        <a:xfrm rot="16200000">
          <a:off x="8972550" y="5610225"/>
          <a:ext cx="16954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13 &amp; 14</a:t>
          </a:r>
        </a:p>
      </xdr:txBody>
    </xdr:sp>
    <xdr:clientData/>
  </xdr:twoCellAnchor>
  <xdr:twoCellAnchor>
    <xdr:from>
      <xdr:col>13</xdr:col>
      <xdr:colOff>695325</xdr:colOff>
      <xdr:row>25</xdr:row>
      <xdr:rowOff>161925</xdr:rowOff>
    </xdr:from>
    <xdr:to>
      <xdr:col>14</xdr:col>
      <xdr:colOff>447675</xdr:colOff>
      <xdr:row>34</xdr:row>
      <xdr:rowOff>142875</xdr:rowOff>
    </xdr:to>
    <xdr:sp macro="" textlink="">
      <xdr:nvSpPr>
        <xdr:cNvPr id="22" name="Textfeld 21">
          <a:extLst>
            <a:ext uri="{FF2B5EF4-FFF2-40B4-BE49-F238E27FC236}">
              <a16:creationId xmlns:a16="http://schemas.microsoft.com/office/drawing/2014/main" id="{70A93CAC-A455-4034-B0F1-204B096487CA}"/>
            </a:ext>
          </a:extLst>
        </xdr:cNvPr>
        <xdr:cNvSpPr txBox="1"/>
      </xdr:nvSpPr>
      <xdr:spPr>
        <a:xfrm rot="16200000">
          <a:off x="10010775" y="5514975"/>
          <a:ext cx="16954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2400"/>
            <a:t>Zell 15 &amp; 16</a:t>
          </a:r>
        </a:p>
      </xdr:txBody>
    </xdr:sp>
    <xdr:clientData/>
  </xdr:twoCellAnchor>
  <xdr:twoCellAnchor editAs="oneCell">
    <xdr:from>
      <xdr:col>1</xdr:col>
      <xdr:colOff>0</xdr:colOff>
      <xdr:row>37</xdr:row>
      <xdr:rowOff>0</xdr:rowOff>
    </xdr:from>
    <xdr:to>
      <xdr:col>7</xdr:col>
      <xdr:colOff>66675</xdr:colOff>
      <xdr:row>47</xdr:row>
      <xdr:rowOff>104775</xdr:rowOff>
    </xdr:to>
    <xdr:pic>
      <xdr:nvPicPr>
        <xdr:cNvPr id="23" name="Grafik 22" descr="Image preview">
          <a:extLst>
            <a:ext uri="{FF2B5EF4-FFF2-40B4-BE49-F238E27FC236}">
              <a16:creationId xmlns:a16="http://schemas.microsoft.com/office/drawing/2014/main" id="{616102AC-E09B-4277-A609-ACE4CC5482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2000" y="7048500"/>
          <a:ext cx="4638675" cy="2009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390525</xdr:colOff>
      <xdr:row>2</xdr:row>
      <xdr:rowOff>9525</xdr:rowOff>
    </xdr:from>
    <xdr:to>
      <xdr:col>8</xdr:col>
      <xdr:colOff>350875</xdr:colOff>
      <xdr:row>17</xdr:row>
      <xdr:rowOff>20191</xdr:rowOff>
    </xdr:to>
    <xdr:pic>
      <xdr:nvPicPr>
        <xdr:cNvPr id="71" name="Grafik 70">
          <a:extLst>
            <a:ext uri="{FF2B5EF4-FFF2-40B4-BE49-F238E27FC236}">
              <a16:creationId xmlns:a16="http://schemas.microsoft.com/office/drawing/2014/main" id="{A4409821-593C-4110-9219-054369BFCBC4}"/>
            </a:ext>
          </a:extLst>
        </xdr:cNvPr>
        <xdr:cNvPicPr>
          <a:picLocks noChangeAspect="1"/>
        </xdr:cNvPicPr>
      </xdr:nvPicPr>
      <xdr:blipFill>
        <a:blip xmlns:r="http://schemas.openxmlformats.org/officeDocument/2006/relationships" r:embed="rId1"/>
        <a:stretch>
          <a:fillRect/>
        </a:stretch>
      </xdr:blipFill>
      <xdr:spPr>
        <a:xfrm>
          <a:off x="390525" y="390525"/>
          <a:ext cx="6056350" cy="286816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orgwarner-my.sharepoint.com/Users/PHILIP~1.SCH/AppData/Local/Temp/1M001539_00_AKAMODULE_CYC_20S30P_B0_LG50L.xlsx-revHEAD.svn000.tm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UECKLISTE ZUSAMMENGEFASST"/>
      <sheetName val="STUECKLISTE"/>
      <sheetName val="EINGABE NX STUECKLISTE"/>
    </sheetNames>
    <sheetDataSet>
      <sheetData sheetId="0" refreshError="1"/>
      <sheetData sheetId="1"/>
      <sheetData sheetId="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jira.akasol:8080/browse/AKATOOL-163" TargetMode="External"/><Relationship Id="rId13" Type="http://schemas.openxmlformats.org/officeDocument/2006/relationships/hyperlink" Target="http://jira.akasol:8080/browse/AKATOOL-163" TargetMode="External"/><Relationship Id="rId18" Type="http://schemas.openxmlformats.org/officeDocument/2006/relationships/hyperlink" Target="http://jira.akasol:8080/browse/AKATOOL-162" TargetMode="External"/><Relationship Id="rId3" Type="http://schemas.openxmlformats.org/officeDocument/2006/relationships/hyperlink" Target="http://jira.akasol:8080/browse/AKATOOL-156" TargetMode="External"/><Relationship Id="rId21" Type="http://schemas.openxmlformats.org/officeDocument/2006/relationships/printerSettings" Target="../printerSettings/printerSettings2.bin"/><Relationship Id="rId7" Type="http://schemas.openxmlformats.org/officeDocument/2006/relationships/hyperlink" Target="http://jira.akasol:8080/browse/AKATOOL-163" TargetMode="External"/><Relationship Id="rId12" Type="http://schemas.openxmlformats.org/officeDocument/2006/relationships/hyperlink" Target="http://jira.akasol:8080/browse/AKATOOL-163" TargetMode="External"/><Relationship Id="rId17" Type="http://schemas.openxmlformats.org/officeDocument/2006/relationships/hyperlink" Target="http://jira.akasol:8080/browse/AKATOOL-162" TargetMode="External"/><Relationship Id="rId2" Type="http://schemas.openxmlformats.org/officeDocument/2006/relationships/hyperlink" Target="http://jira.akasol:8080/browse/AKATOOL-156" TargetMode="External"/><Relationship Id="rId16" Type="http://schemas.openxmlformats.org/officeDocument/2006/relationships/hyperlink" Target="http://jira.akasol:8080/browse/AKATOOL-162" TargetMode="External"/><Relationship Id="rId20" Type="http://schemas.openxmlformats.org/officeDocument/2006/relationships/hyperlink" Target="http://jira.akasol:8080/browse/AKATOOL-163" TargetMode="External"/><Relationship Id="rId1" Type="http://schemas.openxmlformats.org/officeDocument/2006/relationships/hyperlink" Target="http://jira.akasol:8080/browse/AKATOOL-156" TargetMode="External"/><Relationship Id="rId6" Type="http://schemas.openxmlformats.org/officeDocument/2006/relationships/hyperlink" Target="svn://sambada.akasol/daten/subversion/Software_Entwicklung_Allgemein/CAN/akaCAN/Matrix/trunk/AkaCAN_Matrix_BMU_UHE.xlsx" TargetMode="External"/><Relationship Id="rId11" Type="http://schemas.openxmlformats.org/officeDocument/2006/relationships/hyperlink" Target="http://jira.akasol:8080/browse/AKATOOL-163" TargetMode="External"/><Relationship Id="rId5" Type="http://schemas.openxmlformats.org/officeDocument/2006/relationships/hyperlink" Target="http://jira.akasol:8080/browse/AKATOOL-156" TargetMode="External"/><Relationship Id="rId15" Type="http://schemas.openxmlformats.org/officeDocument/2006/relationships/hyperlink" Target="http://jira.akasol:8080/browse/AKATOOL-163" TargetMode="External"/><Relationship Id="rId10" Type="http://schemas.openxmlformats.org/officeDocument/2006/relationships/hyperlink" Target="http://jira.akasol:8080/browse/AKATOOL-163" TargetMode="External"/><Relationship Id="rId19" Type="http://schemas.openxmlformats.org/officeDocument/2006/relationships/hyperlink" Target="http://jira.akasol:8080/browse/AKATOOL-163" TargetMode="External"/><Relationship Id="rId4" Type="http://schemas.openxmlformats.org/officeDocument/2006/relationships/hyperlink" Target="http://jira.akasol:8080/browse/AKATOOL-156" TargetMode="External"/><Relationship Id="rId9" Type="http://schemas.openxmlformats.org/officeDocument/2006/relationships/hyperlink" Target="http://jira.akasol:8080/browse/AKATOOL-163" TargetMode="External"/><Relationship Id="rId14" Type="http://schemas.openxmlformats.org/officeDocument/2006/relationships/hyperlink" Target="http://jira.akasol:8080/browse/AKATOOL-163"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45"/>
  <sheetViews>
    <sheetView view="pageLayout" zoomScaleNormal="100" workbookViewId="0">
      <selection activeCell="G25" sqref="G25"/>
    </sheetView>
  </sheetViews>
  <sheetFormatPr defaultColWidth="11.42578125" defaultRowHeight="15"/>
  <cols>
    <col min="1" max="1" width="1.42578125" customWidth="1"/>
    <col min="2" max="2" width="19" style="1" customWidth="1"/>
    <col min="3" max="3" width="25.7109375" style="1" bestFit="1" customWidth="1"/>
    <col min="4" max="4" width="11.42578125" style="1"/>
    <col min="5" max="5" width="7.42578125" style="1" bestFit="1" customWidth="1"/>
    <col min="6" max="6" width="16.42578125" style="1" customWidth="1"/>
    <col min="7" max="8" width="11.42578125" style="1"/>
    <col min="9" max="9" width="1.42578125" customWidth="1"/>
  </cols>
  <sheetData>
    <row r="1" spans="2:9" ht="15.75" thickBot="1"/>
    <row r="2" spans="2:9" ht="18" customHeight="1">
      <c r="B2" s="245"/>
      <c r="C2" s="247" t="s">
        <v>0</v>
      </c>
      <c r="D2" s="247"/>
      <c r="E2" s="247"/>
      <c r="F2" s="247"/>
      <c r="G2" s="249"/>
      <c r="H2" s="250"/>
    </row>
    <row r="3" spans="2:9" ht="18" customHeight="1">
      <c r="B3" s="246"/>
      <c r="C3" s="248"/>
      <c r="D3" s="248"/>
      <c r="E3" s="248"/>
      <c r="F3" s="248"/>
      <c r="G3" s="251"/>
      <c r="H3" s="252"/>
    </row>
    <row r="4" spans="2:9" ht="18" customHeight="1">
      <c r="B4" s="246"/>
      <c r="C4" s="248"/>
      <c r="D4" s="248"/>
      <c r="E4" s="248"/>
      <c r="F4" s="248"/>
      <c r="G4" s="251"/>
      <c r="H4" s="252"/>
    </row>
    <row r="5" spans="2:9" ht="15.75" thickBot="1">
      <c r="B5" s="2" t="s">
        <v>1</v>
      </c>
      <c r="C5" s="253" t="s">
        <v>2</v>
      </c>
      <c r="D5" s="253"/>
      <c r="E5" s="3" t="s">
        <v>3</v>
      </c>
      <c r="F5" s="55">
        <v>43964</v>
      </c>
      <c r="G5" s="254"/>
      <c r="H5" s="255"/>
    </row>
    <row r="6" spans="2:9" s="6" customFormat="1" ht="12.75" thickBot="1">
      <c r="B6" s="4"/>
      <c r="C6" s="4"/>
      <c r="D6" s="4"/>
      <c r="E6" s="4"/>
      <c r="F6" s="5"/>
      <c r="G6" s="5"/>
      <c r="H6" s="5"/>
    </row>
    <row r="7" spans="2:9">
      <c r="B7" s="241" t="s">
        <v>4</v>
      </c>
      <c r="C7" s="242"/>
      <c r="D7" s="242"/>
      <c r="E7" s="242"/>
      <c r="F7" s="242"/>
      <c r="G7" s="242"/>
      <c r="H7" s="243"/>
      <c r="I7">
        <v>0</v>
      </c>
    </row>
    <row r="8" spans="2:9">
      <c r="B8" s="7" t="s">
        <v>5</v>
      </c>
      <c r="C8" s="244" t="s">
        <v>6</v>
      </c>
      <c r="D8" s="244"/>
      <c r="E8" s="244"/>
      <c r="F8" s="8" t="s">
        <v>7</v>
      </c>
      <c r="G8" s="8" t="s">
        <v>8</v>
      </c>
      <c r="H8" s="9" t="s">
        <v>3</v>
      </c>
    </row>
    <row r="9" spans="2:9">
      <c r="B9" s="10" t="s">
        <v>9</v>
      </c>
      <c r="C9" s="239" t="s">
        <v>10</v>
      </c>
      <c r="D9" s="239"/>
      <c r="E9" s="239"/>
      <c r="F9" s="11" t="s">
        <v>11</v>
      </c>
      <c r="G9" s="11" t="s">
        <v>12</v>
      </c>
      <c r="H9" s="12">
        <v>43780</v>
      </c>
    </row>
    <row r="10" spans="2:9" ht="43.5" customHeight="1">
      <c r="B10" s="10" t="s">
        <v>13</v>
      </c>
      <c r="C10" s="239" t="s">
        <v>14</v>
      </c>
      <c r="D10" s="239"/>
      <c r="E10" s="239"/>
      <c r="F10" s="11"/>
      <c r="G10" s="11"/>
      <c r="H10" s="12"/>
    </row>
    <row r="11" spans="2:9" ht="32.450000000000003" customHeight="1">
      <c r="B11" s="13" t="s">
        <v>15</v>
      </c>
      <c r="C11" s="239" t="s">
        <v>16</v>
      </c>
      <c r="D11" s="239"/>
      <c r="E11" s="239"/>
      <c r="F11" s="11" t="s">
        <v>11</v>
      </c>
      <c r="G11" s="11" t="s">
        <v>17</v>
      </c>
      <c r="H11" s="12">
        <v>43964</v>
      </c>
    </row>
    <row r="12" spans="2:9" ht="27.75" customHeight="1">
      <c r="B12" s="13" t="s">
        <v>18</v>
      </c>
      <c r="C12" s="239" t="s">
        <v>16</v>
      </c>
      <c r="D12" s="239"/>
      <c r="E12" s="239"/>
      <c r="F12" s="11" t="s">
        <v>11</v>
      </c>
      <c r="G12" s="11" t="s">
        <v>17</v>
      </c>
      <c r="H12" s="195">
        <v>43978</v>
      </c>
    </row>
    <row r="13" spans="2:9" ht="27.75" customHeight="1">
      <c r="B13" s="13" t="s">
        <v>19</v>
      </c>
      <c r="C13" s="239" t="s">
        <v>16</v>
      </c>
      <c r="D13" s="239"/>
      <c r="E13" s="239"/>
      <c r="F13" s="11" t="s">
        <v>11</v>
      </c>
      <c r="G13" s="11" t="s">
        <v>17</v>
      </c>
      <c r="H13" s="12">
        <v>43980</v>
      </c>
    </row>
    <row r="14" spans="2:9">
      <c r="B14" s="13" t="s">
        <v>20</v>
      </c>
      <c r="C14" s="239" t="s">
        <v>16</v>
      </c>
      <c r="D14" s="239"/>
      <c r="E14" s="239"/>
      <c r="F14" s="11" t="s">
        <v>11</v>
      </c>
      <c r="G14" s="11" t="s">
        <v>17</v>
      </c>
      <c r="H14" s="12">
        <v>43985</v>
      </c>
    </row>
    <row r="15" spans="2:9" ht="15.75" customHeight="1">
      <c r="B15" s="13" t="s">
        <v>21</v>
      </c>
      <c r="C15" s="239" t="s">
        <v>22</v>
      </c>
      <c r="D15" s="239"/>
      <c r="E15" s="239"/>
      <c r="F15" s="11" t="s">
        <v>11</v>
      </c>
      <c r="G15" s="11" t="s">
        <v>23</v>
      </c>
      <c r="H15" s="12">
        <v>43991</v>
      </c>
    </row>
    <row r="16" spans="2:9" ht="30.6" customHeight="1">
      <c r="B16" s="13" t="s">
        <v>24</v>
      </c>
      <c r="C16" s="239" t="s">
        <v>25</v>
      </c>
      <c r="D16" s="239"/>
      <c r="E16" s="239"/>
      <c r="F16" s="11" t="s">
        <v>11</v>
      </c>
      <c r="G16" s="11" t="s">
        <v>17</v>
      </c>
      <c r="H16" s="12">
        <v>43999</v>
      </c>
    </row>
    <row r="17" spans="2:8" ht="15.75" customHeight="1">
      <c r="B17" s="13" t="s">
        <v>26</v>
      </c>
      <c r="C17" s="239" t="s">
        <v>27</v>
      </c>
      <c r="D17" s="239"/>
      <c r="E17" s="239"/>
      <c r="F17" s="11" t="s">
        <v>11</v>
      </c>
      <c r="G17" s="11" t="s">
        <v>17</v>
      </c>
      <c r="H17" s="12">
        <v>44005</v>
      </c>
    </row>
    <row r="18" spans="2:8" ht="50.25" customHeight="1">
      <c r="B18" s="13" t="s">
        <v>28</v>
      </c>
      <c r="C18" s="239" t="s">
        <v>29</v>
      </c>
      <c r="D18" s="239"/>
      <c r="E18" s="239"/>
      <c r="F18" s="11" t="s">
        <v>11</v>
      </c>
      <c r="G18" s="11" t="s">
        <v>17</v>
      </c>
      <c r="H18" s="12">
        <v>44007</v>
      </c>
    </row>
    <row r="19" spans="2:8" ht="37.5" customHeight="1">
      <c r="B19" s="13" t="s">
        <v>30</v>
      </c>
      <c r="C19" s="239" t="s">
        <v>31</v>
      </c>
      <c r="D19" s="239"/>
      <c r="E19" s="239"/>
      <c r="F19" s="11" t="s">
        <v>11</v>
      </c>
      <c r="G19" s="11" t="s">
        <v>12</v>
      </c>
      <c r="H19" s="12">
        <v>44014</v>
      </c>
    </row>
    <row r="20" spans="2:8" ht="32.25" customHeight="1" thickBot="1">
      <c r="B20" s="13" t="s">
        <v>32</v>
      </c>
      <c r="C20" s="240" t="s">
        <v>33</v>
      </c>
      <c r="D20" s="240"/>
      <c r="E20" s="240"/>
      <c r="F20" s="11" t="s">
        <v>11</v>
      </c>
      <c r="G20" s="11" t="s">
        <v>12</v>
      </c>
      <c r="H20" s="23">
        <v>44020</v>
      </c>
    </row>
    <row r="21" spans="2:8" ht="32.25" customHeight="1" thickBot="1">
      <c r="B21" s="21" t="s">
        <v>34</v>
      </c>
      <c r="C21" s="240" t="s">
        <v>35</v>
      </c>
      <c r="D21" s="240"/>
      <c r="E21" s="240"/>
      <c r="F21" s="22" t="s">
        <v>11</v>
      </c>
      <c r="G21" s="22" t="s">
        <v>12</v>
      </c>
      <c r="H21" s="23">
        <v>44020</v>
      </c>
    </row>
    <row r="22" spans="2:8" ht="32.25" customHeight="1">
      <c r="B22" s="13" t="s">
        <v>36</v>
      </c>
      <c r="C22" s="239" t="s">
        <v>37</v>
      </c>
      <c r="D22" s="239"/>
      <c r="E22" s="239"/>
      <c r="F22" s="11" t="s">
        <v>11</v>
      </c>
      <c r="G22" s="11" t="s">
        <v>38</v>
      </c>
      <c r="H22" s="12">
        <v>44014</v>
      </c>
    </row>
    <row r="23" spans="2:8" ht="105" customHeight="1">
      <c r="B23" s="13" t="s">
        <v>39</v>
      </c>
      <c r="C23" s="239" t="s">
        <v>40</v>
      </c>
      <c r="D23" s="239"/>
      <c r="E23" s="239"/>
      <c r="F23" s="11" t="s">
        <v>11</v>
      </c>
      <c r="G23" s="11" t="s">
        <v>41</v>
      </c>
      <c r="H23" s="12">
        <v>44048</v>
      </c>
    </row>
    <row r="24" spans="2:8" ht="32.25" customHeight="1">
      <c r="B24" s="13" t="s">
        <v>42</v>
      </c>
      <c r="C24" s="239" t="s">
        <v>43</v>
      </c>
      <c r="D24" s="239"/>
      <c r="E24" s="239"/>
      <c r="F24" s="11" t="s">
        <v>11</v>
      </c>
      <c r="G24" s="11" t="s">
        <v>44</v>
      </c>
      <c r="H24" s="12">
        <v>44694</v>
      </c>
    </row>
    <row r="25" spans="2:8" s="6" customFormat="1" ht="12.75" thickBot="1">
      <c r="B25" s="4"/>
      <c r="C25" s="4"/>
      <c r="D25" s="4"/>
      <c r="E25" s="4"/>
      <c r="F25" s="5"/>
      <c r="G25" s="5"/>
      <c r="H25" s="5"/>
    </row>
    <row r="26" spans="2:8">
      <c r="B26" s="256" t="s">
        <v>45</v>
      </c>
      <c r="C26" s="257"/>
      <c r="D26" s="257"/>
      <c r="E26" s="257"/>
      <c r="F26" s="257"/>
      <c r="G26" s="257"/>
      <c r="H26" s="258"/>
    </row>
    <row r="27" spans="2:8">
      <c r="B27" s="7" t="s">
        <v>5</v>
      </c>
      <c r="C27" s="244" t="s">
        <v>46</v>
      </c>
      <c r="D27" s="244"/>
      <c r="E27" s="244"/>
      <c r="F27" s="8" t="s">
        <v>47</v>
      </c>
      <c r="G27" s="34" t="s">
        <v>48</v>
      </c>
      <c r="H27" s="35" t="s">
        <v>3</v>
      </c>
    </row>
    <row r="28" spans="2:8">
      <c r="B28" s="13"/>
      <c r="C28" s="262"/>
      <c r="D28" s="263"/>
      <c r="E28" s="264"/>
      <c r="F28" s="20"/>
      <c r="G28" s="20"/>
      <c r="H28" s="12"/>
    </row>
    <row r="29" spans="2:8" ht="15.75" customHeight="1" thickBot="1">
      <c r="B29" s="14"/>
      <c r="C29" s="265"/>
      <c r="D29" s="266"/>
      <c r="E29" s="267"/>
      <c r="F29" s="24"/>
      <c r="G29" s="24"/>
      <c r="H29" s="15"/>
    </row>
    <row r="30" spans="2:8" s="6" customFormat="1" ht="12.75" thickBot="1">
      <c r="B30" s="16"/>
      <c r="C30" s="16"/>
      <c r="D30" s="16"/>
      <c r="E30" s="16"/>
      <c r="F30" s="16"/>
      <c r="G30" s="16"/>
      <c r="H30" s="16"/>
    </row>
    <row r="31" spans="2:8">
      <c r="B31" s="268" t="s">
        <v>49</v>
      </c>
      <c r="C31" s="269"/>
      <c r="D31" s="269"/>
      <c r="E31" s="269"/>
      <c r="F31" s="269"/>
      <c r="G31" s="269"/>
      <c r="H31" s="270"/>
    </row>
    <row r="32" spans="2:8" ht="68.25" customHeight="1" thickBot="1">
      <c r="B32" s="271"/>
      <c r="C32" s="260"/>
      <c r="D32" s="260"/>
      <c r="E32" s="260"/>
      <c r="F32" s="260"/>
      <c r="G32" s="260"/>
      <c r="H32" s="261"/>
    </row>
    <row r="33" spans="2:8" s="6" customFormat="1" ht="12.75" thickBot="1">
      <c r="B33" s="17"/>
      <c r="C33" s="16"/>
      <c r="D33" s="16"/>
      <c r="E33" s="16"/>
      <c r="F33" s="16"/>
      <c r="G33" s="16"/>
      <c r="H33" s="16"/>
    </row>
    <row r="34" spans="2:8" ht="15.75" thickBot="1">
      <c r="B34" s="18" t="s">
        <v>50</v>
      </c>
      <c r="C34" s="272"/>
      <c r="D34" s="273"/>
      <c r="E34" s="273"/>
      <c r="F34" s="273"/>
      <c r="G34" s="273"/>
      <c r="H34" s="274"/>
    </row>
    <row r="35" spans="2:8" s="6" customFormat="1" ht="12.75" thickBot="1">
      <c r="B35" s="17"/>
      <c r="C35" s="16"/>
      <c r="D35" s="16"/>
      <c r="E35" s="16"/>
      <c r="F35" s="16"/>
      <c r="G35" s="16"/>
      <c r="H35" s="16"/>
    </row>
    <row r="36" spans="2:8" ht="15.75" thickBot="1">
      <c r="B36" s="18" t="s">
        <v>51</v>
      </c>
      <c r="C36" s="272"/>
      <c r="D36" s="273"/>
      <c r="E36" s="273"/>
      <c r="F36" s="273"/>
      <c r="G36" s="273"/>
      <c r="H36" s="274"/>
    </row>
    <row r="37" spans="2:8" ht="15.75" thickBot="1"/>
    <row r="38" spans="2:8">
      <c r="B38" s="256" t="s">
        <v>52</v>
      </c>
      <c r="C38" s="257"/>
      <c r="D38" s="257"/>
      <c r="E38" s="257"/>
      <c r="F38" s="257"/>
      <c r="G38" s="257"/>
      <c r="H38" s="258"/>
    </row>
    <row r="39" spans="2:8" ht="87" customHeight="1" thickBot="1">
      <c r="B39" s="259"/>
      <c r="C39" s="260"/>
      <c r="D39" s="260"/>
      <c r="E39" s="260"/>
      <c r="F39" s="260"/>
      <c r="G39" s="260"/>
      <c r="H39" s="261"/>
    </row>
    <row r="40" spans="2:8" s="6" customFormat="1" ht="12.75" thickBot="1">
      <c r="B40" s="17"/>
      <c r="C40" s="16"/>
      <c r="D40" s="16"/>
      <c r="E40" s="16"/>
      <c r="F40" s="16"/>
      <c r="G40" s="16"/>
      <c r="H40" s="16"/>
    </row>
    <row r="41" spans="2:8">
      <c r="B41" s="287" t="s">
        <v>53</v>
      </c>
      <c r="C41" s="288"/>
      <c r="D41" s="288"/>
      <c r="E41" s="288"/>
      <c r="F41" s="288"/>
      <c r="G41" s="288"/>
      <c r="H41" s="289"/>
    </row>
    <row r="42" spans="2:8">
      <c r="B42" s="7" t="s">
        <v>54</v>
      </c>
      <c r="C42" s="8" t="s">
        <v>55</v>
      </c>
      <c r="D42" s="275" t="s">
        <v>56</v>
      </c>
      <c r="E42" s="276"/>
      <c r="F42" s="276"/>
      <c r="G42" s="277"/>
      <c r="H42" s="9" t="s">
        <v>3</v>
      </c>
    </row>
    <row r="43" spans="2:8" ht="40.5" customHeight="1">
      <c r="B43" s="25" t="s">
        <v>57</v>
      </c>
      <c r="C43" s="31"/>
      <c r="D43" s="278"/>
      <c r="E43" s="279"/>
      <c r="F43" s="279"/>
      <c r="G43" s="280"/>
      <c r="H43" s="26"/>
    </row>
    <row r="44" spans="2:8" ht="40.5" customHeight="1">
      <c r="B44" s="29" t="s">
        <v>58</v>
      </c>
      <c r="C44" s="32"/>
      <c r="D44" s="284"/>
      <c r="E44" s="285"/>
      <c r="F44" s="285"/>
      <c r="G44" s="286"/>
      <c r="H44" s="30"/>
    </row>
    <row r="45" spans="2:8" ht="42" customHeight="1" thickBot="1">
      <c r="B45" s="27" t="s">
        <v>59</v>
      </c>
      <c r="C45" s="33"/>
      <c r="D45" s="281"/>
      <c r="E45" s="282"/>
      <c r="F45" s="282"/>
      <c r="G45" s="283"/>
      <c r="H45" s="28"/>
    </row>
  </sheetData>
  <mergeCells count="38">
    <mergeCell ref="D42:G42"/>
    <mergeCell ref="D43:G43"/>
    <mergeCell ref="D45:G45"/>
    <mergeCell ref="D44:G44"/>
    <mergeCell ref="B41:H41"/>
    <mergeCell ref="B26:H26"/>
    <mergeCell ref="C17:E17"/>
    <mergeCell ref="B39:H39"/>
    <mergeCell ref="C27:E27"/>
    <mergeCell ref="C28:E28"/>
    <mergeCell ref="C29:E29"/>
    <mergeCell ref="B31:H31"/>
    <mergeCell ref="B32:H32"/>
    <mergeCell ref="C34:H34"/>
    <mergeCell ref="B38:H38"/>
    <mergeCell ref="C36:H36"/>
    <mergeCell ref="C22:E22"/>
    <mergeCell ref="C23:E23"/>
    <mergeCell ref="C24:E24"/>
    <mergeCell ref="B2:B4"/>
    <mergeCell ref="C2:F4"/>
    <mergeCell ref="G2:H4"/>
    <mergeCell ref="C5:D5"/>
    <mergeCell ref="G5:H5"/>
    <mergeCell ref="B7:H7"/>
    <mergeCell ref="C8:E8"/>
    <mergeCell ref="C9:E9"/>
    <mergeCell ref="C10:E10"/>
    <mergeCell ref="C11:E11"/>
    <mergeCell ref="C14:E14"/>
    <mergeCell ref="C12:E12"/>
    <mergeCell ref="C13:E13"/>
    <mergeCell ref="C21:E21"/>
    <mergeCell ref="C18:E18"/>
    <mergeCell ref="C15:E15"/>
    <mergeCell ref="C16:E16"/>
    <mergeCell ref="C19:E19"/>
    <mergeCell ref="C20:E20"/>
  </mergeCells>
  <pageMargins left="0.7" right="0.7" top="0.78740157499999996" bottom="0.78740157499999996" header="0.3" footer="0.3"/>
  <pageSetup paperSize="9" scale="79" orientation="portrait" r:id="rId1"/>
  <headerFooter>
    <oddHeader xml:space="preserve">&amp;LProjektname&amp;CVersion&amp;R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5"/>
  <sheetViews>
    <sheetView zoomScale="110" zoomScaleNormal="110" zoomScaleSheetLayoutView="130" workbookViewId="0">
      <pane ySplit="3" topLeftCell="A78" activePane="bottomLeft" state="frozen"/>
      <selection pane="bottomLeft" activeCell="N85" sqref="N85"/>
    </sheetView>
  </sheetViews>
  <sheetFormatPr defaultColWidth="8.42578125" defaultRowHeight="15"/>
  <cols>
    <col min="1" max="1" width="5.85546875" style="77" customWidth="1"/>
    <col min="2" max="2" width="17.5703125" style="56" customWidth="1"/>
    <col min="3" max="3" width="57.7109375" style="78" customWidth="1"/>
    <col min="4" max="4" width="9.28515625" style="78" customWidth="1"/>
    <col min="5" max="5" width="13.7109375" style="114" bestFit="1" customWidth="1"/>
    <col min="6" max="6" width="9.140625" style="79" customWidth="1"/>
    <col min="7" max="7" width="35.140625" style="56" customWidth="1"/>
    <col min="8" max="8" width="14.5703125" style="56" bestFit="1" customWidth="1"/>
    <col min="9" max="9" width="11" style="56" customWidth="1"/>
    <col min="10" max="11" width="13.28515625" style="56" customWidth="1"/>
    <col min="12" max="13" width="8.42578125" style="56"/>
    <col min="14" max="14" width="13.140625" style="56" customWidth="1"/>
    <col min="15" max="16384" width="8.42578125" style="56"/>
  </cols>
  <sheetData>
    <row r="1" spans="1:11">
      <c r="A1" s="298" t="s">
        <v>60</v>
      </c>
      <c r="B1" s="298"/>
      <c r="C1" s="298"/>
      <c r="D1" s="298"/>
      <c r="E1" s="298"/>
      <c r="F1" s="298"/>
      <c r="G1" s="298"/>
      <c r="H1" s="298"/>
      <c r="I1" s="54"/>
      <c r="J1" s="54"/>
      <c r="K1" s="54"/>
    </row>
    <row r="2" spans="1:11" ht="26.25" thickBot="1">
      <c r="A2" s="296" t="s">
        <v>61</v>
      </c>
      <c r="B2" s="296"/>
      <c r="C2" s="297"/>
      <c r="D2" s="107" t="s">
        <v>62</v>
      </c>
      <c r="E2" s="108" t="s">
        <v>63</v>
      </c>
      <c r="F2" s="57" t="s">
        <v>64</v>
      </c>
      <c r="G2" s="58" t="s">
        <v>65</v>
      </c>
      <c r="H2" s="58" t="s">
        <v>66</v>
      </c>
      <c r="I2" s="108" t="s">
        <v>67</v>
      </c>
      <c r="J2" s="108" t="s">
        <v>7</v>
      </c>
      <c r="K2" s="108" t="s">
        <v>68</v>
      </c>
    </row>
    <row r="3" spans="1:11" ht="60">
      <c r="A3" s="59" t="s">
        <v>69</v>
      </c>
      <c r="B3" s="60" t="s">
        <v>70</v>
      </c>
      <c r="C3" s="61" t="s">
        <v>71</v>
      </c>
      <c r="D3" s="61" t="s">
        <v>72</v>
      </c>
      <c r="E3" s="61" t="s">
        <v>73</v>
      </c>
      <c r="F3" s="62" t="s">
        <v>74</v>
      </c>
      <c r="G3" s="63" t="s">
        <v>75</v>
      </c>
      <c r="H3" s="64" t="s">
        <v>76</v>
      </c>
      <c r="I3" s="109" t="s">
        <v>77</v>
      </c>
      <c r="J3" s="110" t="s">
        <v>78</v>
      </c>
      <c r="K3" s="110"/>
    </row>
    <row r="4" spans="1:11">
      <c r="A4" s="65"/>
      <c r="B4" s="66"/>
      <c r="C4" s="141"/>
      <c r="D4" s="66"/>
      <c r="E4" s="111"/>
      <c r="F4" s="66"/>
      <c r="G4" s="66"/>
      <c r="H4" s="67"/>
      <c r="I4" s="68"/>
      <c r="J4" s="69"/>
      <c r="K4" s="70"/>
    </row>
    <row r="5" spans="1:11">
      <c r="A5" s="299" t="s">
        <v>79</v>
      </c>
      <c r="B5" s="300"/>
      <c r="C5" s="301"/>
      <c r="D5" s="66"/>
      <c r="E5" s="111"/>
      <c r="F5" s="71"/>
      <c r="G5" s="71"/>
      <c r="H5" s="68"/>
      <c r="I5" s="68"/>
      <c r="J5" s="69"/>
      <c r="K5" s="70"/>
    </row>
    <row r="6" spans="1:11" ht="38.25">
      <c r="A6" s="65">
        <v>0</v>
      </c>
      <c r="B6" s="66" t="s">
        <v>80</v>
      </c>
      <c r="C6" s="99" t="s">
        <v>81</v>
      </c>
      <c r="D6" s="66" t="s">
        <v>82</v>
      </c>
      <c r="E6" s="120" t="s">
        <v>83</v>
      </c>
      <c r="F6" s="71" t="s">
        <v>84</v>
      </c>
      <c r="G6" s="71"/>
      <c r="H6" s="68"/>
      <c r="I6" s="68"/>
      <c r="J6" s="69" t="s">
        <v>85</v>
      </c>
      <c r="K6" s="70"/>
    </row>
    <row r="7" spans="1:11">
      <c r="A7" s="65" t="s">
        <v>86</v>
      </c>
      <c r="B7" s="71" t="s">
        <v>87</v>
      </c>
      <c r="C7" s="88" t="s">
        <v>88</v>
      </c>
      <c r="D7" s="66"/>
      <c r="E7" s="117"/>
      <c r="F7" s="71"/>
      <c r="G7" s="71"/>
      <c r="H7" s="68"/>
      <c r="I7" s="68"/>
      <c r="J7" s="69"/>
      <c r="K7" s="70"/>
    </row>
    <row r="8" spans="1:11" ht="25.5">
      <c r="A8" s="104" t="s">
        <v>86</v>
      </c>
      <c r="B8" s="105" t="s">
        <v>89</v>
      </c>
      <c r="C8" s="105" t="s">
        <v>90</v>
      </c>
      <c r="D8" s="106"/>
      <c r="E8" s="112"/>
      <c r="F8" s="105"/>
      <c r="G8" s="105" t="s">
        <v>91</v>
      </c>
      <c r="H8" s="68"/>
      <c r="I8" s="68"/>
      <c r="J8" s="69"/>
      <c r="K8" s="70"/>
    </row>
    <row r="9" spans="1:11">
      <c r="A9" s="65"/>
      <c r="B9" s="71"/>
      <c r="C9" s="88"/>
      <c r="D9" s="66"/>
      <c r="E9" s="111"/>
      <c r="F9" s="71"/>
      <c r="G9" s="71"/>
      <c r="H9" s="68"/>
      <c r="I9" s="68"/>
      <c r="J9" s="69"/>
      <c r="K9" s="70"/>
    </row>
    <row r="10" spans="1:11">
      <c r="A10" s="302" t="s">
        <v>92</v>
      </c>
      <c r="B10" s="303"/>
      <c r="C10" s="304"/>
      <c r="D10" s="66"/>
      <c r="E10" s="111"/>
      <c r="F10" s="71"/>
      <c r="G10" s="71"/>
      <c r="H10" s="68"/>
      <c r="I10" s="68"/>
      <c r="J10" s="69"/>
      <c r="K10" s="70"/>
    </row>
    <row r="11" spans="1:11" ht="25.5">
      <c r="A11" s="65">
        <v>1</v>
      </c>
      <c r="B11" s="66" t="s">
        <v>93</v>
      </c>
      <c r="C11" s="88" t="s">
        <v>94</v>
      </c>
      <c r="D11" s="66" t="s">
        <v>95</v>
      </c>
      <c r="E11" s="120" t="s">
        <v>83</v>
      </c>
      <c r="F11" s="71" t="s">
        <v>84</v>
      </c>
      <c r="G11" s="71"/>
      <c r="H11" s="68"/>
      <c r="I11" s="68"/>
      <c r="J11" s="69" t="s">
        <v>85</v>
      </c>
      <c r="K11" s="70"/>
    </row>
    <row r="12" spans="1:11">
      <c r="A12" s="65" t="s">
        <v>86</v>
      </c>
      <c r="B12" s="71" t="s">
        <v>96</v>
      </c>
      <c r="C12" s="71" t="s">
        <v>97</v>
      </c>
      <c r="D12" s="66"/>
      <c r="E12" s="117"/>
      <c r="F12" s="71"/>
      <c r="G12" s="71"/>
      <c r="H12" s="68"/>
      <c r="I12" s="68"/>
      <c r="J12" s="69"/>
      <c r="K12" s="70"/>
    </row>
    <row r="13" spans="1:11">
      <c r="A13" s="104" t="s">
        <v>86</v>
      </c>
      <c r="B13" s="105" t="s">
        <v>98</v>
      </c>
      <c r="C13" s="105" t="s">
        <v>99</v>
      </c>
      <c r="D13" s="66"/>
      <c r="E13" s="117"/>
      <c r="F13" s="71"/>
      <c r="G13" s="71"/>
      <c r="H13" s="68"/>
      <c r="I13" s="68"/>
      <c r="J13" s="69"/>
      <c r="K13" s="70"/>
    </row>
    <row r="14" spans="1:11" ht="25.5">
      <c r="A14" s="65">
        <v>0</v>
      </c>
      <c r="B14" s="71" t="s">
        <v>100</v>
      </c>
      <c r="C14" s="101" t="s">
        <v>101</v>
      </c>
      <c r="D14" s="66" t="s">
        <v>95</v>
      </c>
      <c r="E14" s="120" t="s">
        <v>83</v>
      </c>
      <c r="F14" s="71" t="s">
        <v>84</v>
      </c>
      <c r="G14" s="72"/>
      <c r="H14" s="72"/>
      <c r="I14" s="72"/>
      <c r="J14" s="69" t="s">
        <v>85</v>
      </c>
      <c r="K14" s="72"/>
    </row>
    <row r="15" spans="1:11" ht="63.75">
      <c r="A15" s="65">
        <v>1</v>
      </c>
      <c r="B15" s="71" t="s">
        <v>102</v>
      </c>
      <c r="C15" s="100" t="s">
        <v>103</v>
      </c>
      <c r="D15" s="66" t="s">
        <v>95</v>
      </c>
      <c r="E15" s="120" t="s">
        <v>83</v>
      </c>
      <c r="F15" s="71" t="s">
        <v>84</v>
      </c>
      <c r="G15" s="72"/>
      <c r="H15" s="72"/>
      <c r="I15" s="72"/>
      <c r="J15" s="69" t="s">
        <v>85</v>
      </c>
      <c r="K15" s="72"/>
    </row>
    <row r="16" spans="1:11" ht="38.25">
      <c r="A16" s="65">
        <v>0</v>
      </c>
      <c r="B16" s="71" t="s">
        <v>104</v>
      </c>
      <c r="C16" s="100" t="s">
        <v>105</v>
      </c>
      <c r="D16" s="66" t="s">
        <v>95</v>
      </c>
      <c r="E16" s="120" t="s">
        <v>83</v>
      </c>
      <c r="F16" s="71" t="s">
        <v>84</v>
      </c>
      <c r="G16" s="72"/>
      <c r="H16" s="72"/>
      <c r="I16" s="72"/>
      <c r="J16" s="69" t="s">
        <v>85</v>
      </c>
      <c r="K16" s="72"/>
    </row>
    <row r="17" spans="1:11" ht="25.5">
      <c r="A17" s="65" t="s">
        <v>86</v>
      </c>
      <c r="B17" s="71" t="s">
        <v>106</v>
      </c>
      <c r="C17" s="71" t="s">
        <v>107</v>
      </c>
      <c r="D17" s="66"/>
      <c r="E17" s="117"/>
      <c r="F17" s="71"/>
      <c r="G17" s="71"/>
      <c r="H17" s="68"/>
      <c r="I17" s="68"/>
      <c r="J17" s="69"/>
      <c r="K17" s="70"/>
    </row>
    <row r="18" spans="1:11">
      <c r="A18" s="65"/>
      <c r="B18" s="71"/>
      <c r="C18" s="99"/>
      <c r="D18" s="73"/>
      <c r="E18" s="113"/>
      <c r="F18" s="71"/>
      <c r="G18" s="71"/>
      <c r="H18" s="68"/>
      <c r="I18" s="68"/>
      <c r="J18" s="69"/>
      <c r="K18" s="70"/>
    </row>
    <row r="19" spans="1:11">
      <c r="A19" s="290" t="s">
        <v>108</v>
      </c>
      <c r="B19" s="291"/>
      <c r="C19" s="292"/>
      <c r="D19" s="73"/>
      <c r="E19" s="113"/>
      <c r="F19" s="73"/>
      <c r="G19" s="73"/>
      <c r="H19" s="67"/>
      <c r="I19" s="68"/>
      <c r="J19" s="69"/>
      <c r="K19" s="70"/>
    </row>
    <row r="20" spans="1:11" ht="25.5">
      <c r="A20" s="65">
        <v>1</v>
      </c>
      <c r="B20" s="71" t="s">
        <v>109</v>
      </c>
      <c r="C20" s="102" t="s">
        <v>110</v>
      </c>
      <c r="D20" s="73" t="s">
        <v>95</v>
      </c>
      <c r="E20" s="113"/>
      <c r="F20" s="71" t="s">
        <v>84</v>
      </c>
      <c r="G20" s="73" t="s">
        <v>111</v>
      </c>
      <c r="H20" s="67"/>
      <c r="I20" s="68"/>
      <c r="J20" s="69"/>
      <c r="K20" s="70"/>
    </row>
    <row r="21" spans="1:11" ht="38.25">
      <c r="A21" s="65">
        <v>0</v>
      </c>
      <c r="B21" s="71" t="s">
        <v>112</v>
      </c>
      <c r="C21" s="102" t="s">
        <v>113</v>
      </c>
      <c r="D21" s="73" t="s">
        <v>82</v>
      </c>
      <c r="E21" s="113"/>
      <c r="F21" s="71" t="s">
        <v>84</v>
      </c>
      <c r="G21" s="73"/>
      <c r="H21" s="67"/>
      <c r="I21" s="68"/>
      <c r="J21" s="69" t="s">
        <v>85</v>
      </c>
      <c r="K21" s="70"/>
    </row>
    <row r="22" spans="1:11" ht="25.5">
      <c r="A22" s="65">
        <v>0</v>
      </c>
      <c r="B22" s="71" t="s">
        <v>114</v>
      </c>
      <c r="C22" s="102" t="s">
        <v>115</v>
      </c>
      <c r="D22" s="73" t="s">
        <v>95</v>
      </c>
      <c r="E22" s="113"/>
      <c r="F22" s="71" t="s">
        <v>84</v>
      </c>
      <c r="G22" s="73"/>
      <c r="H22" s="67"/>
      <c r="I22" s="68"/>
      <c r="J22" s="69" t="s">
        <v>85</v>
      </c>
      <c r="K22" s="70"/>
    </row>
    <row r="23" spans="1:11" ht="24">
      <c r="A23" s="65">
        <v>0</v>
      </c>
      <c r="B23" s="71" t="s">
        <v>116</v>
      </c>
      <c r="C23" s="142" t="s">
        <v>117</v>
      </c>
      <c r="D23" s="66" t="s">
        <v>95</v>
      </c>
      <c r="E23" s="111"/>
      <c r="F23" s="66" t="s">
        <v>84</v>
      </c>
      <c r="G23" s="66"/>
      <c r="H23" s="67"/>
      <c r="I23" s="68"/>
      <c r="J23" s="69" t="s">
        <v>85</v>
      </c>
      <c r="K23" s="70"/>
    </row>
    <row r="24" spans="1:11" ht="25.5">
      <c r="A24" s="65">
        <v>0</v>
      </c>
      <c r="B24" s="71" t="s">
        <v>118</v>
      </c>
      <c r="C24" s="103" t="s">
        <v>119</v>
      </c>
      <c r="D24" s="66" t="s">
        <v>95</v>
      </c>
      <c r="E24" s="111"/>
      <c r="F24" s="66" t="s">
        <v>84</v>
      </c>
      <c r="G24" s="66"/>
      <c r="H24" s="67"/>
      <c r="I24" s="68"/>
      <c r="J24" s="69" t="s">
        <v>85</v>
      </c>
      <c r="K24" s="70"/>
    </row>
    <row r="25" spans="1:11" ht="38.25">
      <c r="A25" s="201">
        <v>0</v>
      </c>
      <c r="B25" s="202" t="s">
        <v>120</v>
      </c>
      <c r="C25" s="203" t="s">
        <v>121</v>
      </c>
      <c r="D25" s="203" t="s">
        <v>95</v>
      </c>
      <c r="E25" s="204"/>
      <c r="F25" s="203" t="s">
        <v>84</v>
      </c>
      <c r="G25" s="203"/>
      <c r="H25" s="205"/>
      <c r="I25" s="206"/>
      <c r="J25" s="207" t="s">
        <v>85</v>
      </c>
      <c r="K25" s="70"/>
    </row>
    <row r="26" spans="1:11" ht="63.75">
      <c r="A26" s="65">
        <v>0</v>
      </c>
      <c r="B26" s="71" t="s">
        <v>122</v>
      </c>
      <c r="C26" s="73" t="s">
        <v>123</v>
      </c>
      <c r="D26" s="66" t="s">
        <v>95</v>
      </c>
      <c r="E26" s="111"/>
      <c r="F26" s="66" t="s">
        <v>84</v>
      </c>
      <c r="G26" s="66"/>
      <c r="H26" s="67"/>
      <c r="I26" s="68"/>
      <c r="J26" s="69" t="s">
        <v>85</v>
      </c>
      <c r="K26" s="70"/>
    </row>
    <row r="27" spans="1:11" ht="48.75" customHeight="1">
      <c r="A27" s="65">
        <v>0</v>
      </c>
      <c r="B27" s="71" t="s">
        <v>124</v>
      </c>
      <c r="C27" s="118" t="s">
        <v>125</v>
      </c>
      <c r="D27" s="73" t="s">
        <v>95</v>
      </c>
      <c r="E27" s="113"/>
      <c r="F27" s="73" t="s">
        <v>84</v>
      </c>
      <c r="G27" s="73"/>
      <c r="H27" s="67"/>
      <c r="I27" s="68"/>
      <c r="J27" s="69" t="s">
        <v>85</v>
      </c>
      <c r="K27" s="70"/>
    </row>
    <row r="28" spans="1:11" ht="25.5">
      <c r="A28" s="65" t="s">
        <v>86</v>
      </c>
      <c r="B28" s="71" t="s">
        <v>126</v>
      </c>
      <c r="C28" s="73" t="s">
        <v>127</v>
      </c>
      <c r="D28" s="73"/>
      <c r="E28" s="113"/>
      <c r="F28" s="73"/>
      <c r="G28" s="73"/>
      <c r="H28" s="67"/>
      <c r="I28" s="68"/>
      <c r="J28" s="69"/>
      <c r="K28" s="70"/>
    </row>
    <row r="29" spans="1:11" ht="153">
      <c r="A29" s="65">
        <v>0</v>
      </c>
      <c r="B29" s="185" t="s">
        <v>128</v>
      </c>
      <c r="C29" s="184" t="s">
        <v>129</v>
      </c>
      <c r="D29" s="66" t="s">
        <v>95</v>
      </c>
      <c r="E29" s="111"/>
      <c r="F29" s="66" t="s">
        <v>84</v>
      </c>
      <c r="G29" s="66" t="s">
        <v>130</v>
      </c>
      <c r="H29" s="67"/>
      <c r="I29" s="68"/>
      <c r="J29" s="69" t="s">
        <v>131</v>
      </c>
      <c r="K29" s="70"/>
    </row>
    <row r="30" spans="1:11">
      <c r="A30" s="65"/>
      <c r="B30" s="71"/>
      <c r="C30" s="103"/>
      <c r="D30" s="66"/>
      <c r="E30" s="111"/>
      <c r="F30" s="66"/>
      <c r="G30" s="66"/>
      <c r="H30" s="67"/>
      <c r="I30" s="68"/>
      <c r="J30" s="69"/>
      <c r="K30" s="70"/>
    </row>
    <row r="31" spans="1:11" ht="51">
      <c r="A31" s="65" t="s">
        <v>86</v>
      </c>
      <c r="B31" s="71" t="s">
        <v>132</v>
      </c>
      <c r="C31" s="66" t="s">
        <v>133</v>
      </c>
      <c r="D31" s="66"/>
      <c r="E31" s="111"/>
      <c r="F31" s="66"/>
      <c r="G31" s="66"/>
      <c r="H31" s="67"/>
      <c r="I31" s="68"/>
      <c r="J31" s="69"/>
      <c r="K31" s="70"/>
    </row>
    <row r="32" spans="1:11" ht="51">
      <c r="A32" s="65" t="s">
        <v>86</v>
      </c>
      <c r="B32" s="71" t="s">
        <v>134</v>
      </c>
      <c r="C32" s="73" t="s">
        <v>135</v>
      </c>
      <c r="D32" s="66"/>
      <c r="E32" s="111"/>
      <c r="F32" s="73"/>
      <c r="G32" s="73"/>
      <c r="H32" s="67"/>
      <c r="I32" s="68"/>
      <c r="J32" s="69"/>
      <c r="K32" s="70"/>
    </row>
    <row r="33" spans="1:11" ht="89.25">
      <c r="A33" s="65">
        <v>0</v>
      </c>
      <c r="B33" s="71" t="s">
        <v>136</v>
      </c>
      <c r="C33" s="118" t="s">
        <v>137</v>
      </c>
      <c r="D33" s="66" t="s">
        <v>95</v>
      </c>
      <c r="E33" s="187" t="s">
        <v>138</v>
      </c>
      <c r="F33" s="73" t="s">
        <v>84</v>
      </c>
      <c r="G33" s="73" t="s">
        <v>139</v>
      </c>
      <c r="H33" s="67"/>
      <c r="I33" s="68"/>
      <c r="J33" s="69" t="s">
        <v>85</v>
      </c>
      <c r="K33" s="70"/>
    </row>
    <row r="34" spans="1:11" ht="25.5">
      <c r="A34" s="65">
        <v>0</v>
      </c>
      <c r="B34" s="71" t="s">
        <v>140</v>
      </c>
      <c r="C34" s="102" t="s">
        <v>141</v>
      </c>
      <c r="D34" s="66" t="s">
        <v>95</v>
      </c>
      <c r="E34" s="187" t="s">
        <v>138</v>
      </c>
      <c r="F34" s="73"/>
      <c r="G34" s="73"/>
      <c r="H34" s="67"/>
      <c r="I34" s="68"/>
      <c r="J34" s="69" t="s">
        <v>85</v>
      </c>
      <c r="K34" s="70"/>
    </row>
    <row r="35" spans="1:11" ht="63.75">
      <c r="A35" s="65"/>
      <c r="B35" s="185" t="s">
        <v>142</v>
      </c>
      <c r="C35" s="188" t="s">
        <v>143</v>
      </c>
      <c r="D35" s="189" t="s">
        <v>95</v>
      </c>
      <c r="E35" s="111"/>
      <c r="F35" s="73" t="s">
        <v>84</v>
      </c>
      <c r="G35" s="73" t="s">
        <v>144</v>
      </c>
      <c r="H35" s="67"/>
      <c r="I35" s="68"/>
      <c r="J35" s="69" t="s">
        <v>131</v>
      </c>
      <c r="K35" s="70"/>
    </row>
    <row r="36" spans="1:11" ht="38.25">
      <c r="A36" s="65">
        <v>0</v>
      </c>
      <c r="B36" s="185" t="s">
        <v>145</v>
      </c>
      <c r="C36" s="186" t="s">
        <v>146</v>
      </c>
      <c r="D36" s="66" t="s">
        <v>95</v>
      </c>
      <c r="E36" s="111"/>
      <c r="F36" s="73" t="s">
        <v>84</v>
      </c>
      <c r="G36" s="73" t="s">
        <v>147</v>
      </c>
      <c r="H36" s="67"/>
      <c r="I36" s="68"/>
      <c r="J36" s="69" t="s">
        <v>131</v>
      </c>
      <c r="K36" s="70"/>
    </row>
    <row r="37" spans="1:11" ht="89.25">
      <c r="A37" s="65">
        <v>0</v>
      </c>
      <c r="B37" s="71" t="s">
        <v>148</v>
      </c>
      <c r="C37" s="119" t="s">
        <v>149</v>
      </c>
      <c r="D37" s="66" t="s">
        <v>95</v>
      </c>
      <c r="E37" s="187" t="s">
        <v>138</v>
      </c>
      <c r="F37" s="73" t="s">
        <v>84</v>
      </c>
      <c r="G37" s="73"/>
      <c r="H37" s="67"/>
      <c r="I37" s="68"/>
      <c r="J37" s="69" t="s">
        <v>85</v>
      </c>
      <c r="K37" s="70"/>
    </row>
    <row r="38" spans="1:11">
      <c r="A38" s="65">
        <v>0</v>
      </c>
      <c r="B38" s="71" t="s">
        <v>150</v>
      </c>
      <c r="C38" s="183" t="s">
        <v>151</v>
      </c>
      <c r="D38" s="66" t="s">
        <v>95</v>
      </c>
      <c r="E38" s="111"/>
      <c r="F38" s="73" t="s">
        <v>84</v>
      </c>
      <c r="G38" s="66"/>
      <c r="H38" s="67"/>
      <c r="I38" s="68"/>
      <c r="J38" s="69" t="s">
        <v>85</v>
      </c>
      <c r="K38" s="70"/>
    </row>
    <row r="39" spans="1:11" ht="38.25">
      <c r="A39" s="116">
        <v>0</v>
      </c>
      <c r="B39" s="71" t="s">
        <v>152</v>
      </c>
      <c r="C39" s="71" t="s">
        <v>153</v>
      </c>
      <c r="D39" s="66" t="s">
        <v>82</v>
      </c>
      <c r="E39" s="111"/>
      <c r="F39" s="73" t="s">
        <v>154</v>
      </c>
      <c r="G39" s="73" t="s">
        <v>155</v>
      </c>
      <c r="H39" s="67"/>
      <c r="I39" s="68"/>
      <c r="J39" s="69"/>
      <c r="K39" s="70"/>
    </row>
    <row r="40" spans="1:11" ht="38.25">
      <c r="A40" s="116">
        <v>0</v>
      </c>
      <c r="B40" s="71" t="s">
        <v>156</v>
      </c>
      <c r="C40" s="71" t="s">
        <v>157</v>
      </c>
      <c r="D40" s="66" t="s">
        <v>82</v>
      </c>
      <c r="E40" s="111"/>
      <c r="F40" s="73" t="s">
        <v>154</v>
      </c>
      <c r="G40" s="73"/>
      <c r="H40" s="67"/>
      <c r="I40" s="68"/>
      <c r="J40" s="69"/>
      <c r="K40" s="70"/>
    </row>
    <row r="41" spans="1:11" ht="38.25">
      <c r="A41" s="116">
        <v>0</v>
      </c>
      <c r="B41" s="71" t="s">
        <v>158</v>
      </c>
      <c r="C41" s="71" t="s">
        <v>159</v>
      </c>
      <c r="D41" s="66" t="s">
        <v>82</v>
      </c>
      <c r="E41" s="111"/>
      <c r="F41" s="73" t="s">
        <v>154</v>
      </c>
      <c r="G41" s="73"/>
      <c r="H41" s="67"/>
      <c r="I41" s="68"/>
      <c r="J41" s="69"/>
      <c r="K41" s="70"/>
    </row>
    <row r="42" spans="1:11" ht="38.25">
      <c r="A42" s="116">
        <v>0</v>
      </c>
      <c r="B42" s="71" t="s">
        <v>160</v>
      </c>
      <c r="C42" s="71" t="s">
        <v>161</v>
      </c>
      <c r="D42" s="66" t="s">
        <v>82</v>
      </c>
      <c r="E42" s="111"/>
      <c r="F42" s="73" t="s">
        <v>154</v>
      </c>
      <c r="G42" s="73"/>
      <c r="H42" s="67"/>
      <c r="I42" s="68"/>
      <c r="J42" s="69"/>
      <c r="K42" s="70"/>
    </row>
    <row r="43" spans="1:11">
      <c r="A43" s="115"/>
      <c r="B43" s="71"/>
      <c r="C43" s="71"/>
      <c r="D43" s="66"/>
      <c r="E43" s="111"/>
      <c r="F43" s="73"/>
      <c r="G43" s="73"/>
      <c r="H43" s="67"/>
      <c r="I43" s="68"/>
      <c r="J43" s="69"/>
      <c r="K43" s="70"/>
    </row>
    <row r="44" spans="1:11">
      <c r="A44" s="65"/>
      <c r="B44" s="73"/>
      <c r="C44" s="73"/>
      <c r="D44" s="66"/>
      <c r="E44" s="111"/>
      <c r="F44" s="73"/>
      <c r="G44" s="73"/>
      <c r="H44" s="67"/>
      <c r="I44" s="68"/>
      <c r="J44" s="69"/>
      <c r="K44" s="70"/>
    </row>
    <row r="45" spans="1:11">
      <c r="A45" s="293" t="s">
        <v>162</v>
      </c>
      <c r="B45" s="294"/>
      <c r="C45" s="295"/>
      <c r="D45" s="66"/>
      <c r="E45" s="111"/>
      <c r="F45" s="73"/>
      <c r="G45" s="73"/>
      <c r="H45" s="67"/>
      <c r="I45" s="68"/>
      <c r="J45" s="69"/>
      <c r="K45" s="70"/>
    </row>
    <row r="46" spans="1:11" ht="25.5">
      <c r="A46" s="65">
        <v>0</v>
      </c>
      <c r="B46" s="73"/>
      <c r="C46" s="73" t="s">
        <v>163</v>
      </c>
      <c r="D46" s="66"/>
      <c r="E46" s="111"/>
      <c r="F46" s="73"/>
      <c r="G46" s="73"/>
      <c r="H46" s="67"/>
      <c r="I46" s="68"/>
      <c r="J46" s="69"/>
      <c r="K46" s="70"/>
    </row>
    <row r="47" spans="1:11" ht="38.25">
      <c r="A47" s="65">
        <v>0</v>
      </c>
      <c r="B47" s="73"/>
      <c r="C47" s="73" t="s">
        <v>164</v>
      </c>
      <c r="D47" s="66" t="s">
        <v>82</v>
      </c>
      <c r="E47" s="111"/>
      <c r="F47" s="73"/>
      <c r="G47" s="73" t="s">
        <v>165</v>
      </c>
      <c r="H47" s="67"/>
      <c r="I47" s="68"/>
      <c r="J47" s="69"/>
      <c r="K47" s="70"/>
    </row>
    <row r="48" spans="1:11">
      <c r="A48" s="56"/>
      <c r="C48" s="56"/>
      <c r="D48" s="66"/>
      <c r="E48" s="111"/>
      <c r="F48" s="73"/>
      <c r="G48" s="73"/>
      <c r="H48" s="67"/>
      <c r="I48" s="68"/>
      <c r="J48" s="69"/>
      <c r="K48" s="70"/>
    </row>
    <row r="49" spans="1:11">
      <c r="A49" s="293" t="s">
        <v>166</v>
      </c>
      <c r="B49" s="294"/>
      <c r="C49" s="295"/>
      <c r="D49" s="66"/>
      <c r="E49" s="111"/>
      <c r="F49" s="73"/>
      <c r="G49" s="73"/>
      <c r="H49" s="67"/>
      <c r="I49" s="68"/>
      <c r="J49" s="69"/>
      <c r="K49" s="70"/>
    </row>
    <row r="50" spans="1:11" ht="25.5">
      <c r="A50" s="65" t="s">
        <v>86</v>
      </c>
      <c r="B50" s="73" t="s">
        <v>167</v>
      </c>
      <c r="C50" s="73" t="s">
        <v>168</v>
      </c>
      <c r="D50" s="66"/>
      <c r="E50" s="111"/>
      <c r="F50" s="73"/>
      <c r="G50" s="73"/>
      <c r="H50" s="67"/>
      <c r="I50" s="68"/>
      <c r="J50" s="69"/>
      <c r="K50" s="70"/>
    </row>
    <row r="51" spans="1:11" ht="83.25" customHeight="1">
      <c r="A51" s="65" t="s">
        <v>86</v>
      </c>
      <c r="B51" s="73" t="s">
        <v>169</v>
      </c>
      <c r="C51" s="73" t="s">
        <v>170</v>
      </c>
      <c r="D51" s="66"/>
      <c r="E51" s="111"/>
      <c r="F51" s="73"/>
      <c r="G51" s="73"/>
      <c r="H51" s="67"/>
      <c r="I51" s="68"/>
      <c r="J51" s="69"/>
      <c r="K51" s="70"/>
    </row>
    <row r="52" spans="1:11" ht="63.75">
      <c r="A52" s="65" t="s">
        <v>86</v>
      </c>
      <c r="B52" s="73" t="s">
        <v>171</v>
      </c>
      <c r="C52" s="73" t="s">
        <v>172</v>
      </c>
      <c r="D52" s="66"/>
      <c r="E52" s="111"/>
      <c r="F52" s="73"/>
      <c r="G52" s="73"/>
      <c r="H52" s="67"/>
      <c r="I52" s="68"/>
      <c r="J52" s="69"/>
      <c r="K52" s="70"/>
    </row>
    <row r="53" spans="1:11" ht="24">
      <c r="A53" s="65">
        <v>0</v>
      </c>
      <c r="B53" s="73" t="s">
        <v>173</v>
      </c>
      <c r="C53" s="165" t="s">
        <v>174</v>
      </c>
      <c r="D53" s="66" t="s">
        <v>95</v>
      </c>
      <c r="E53" s="187" t="s">
        <v>175</v>
      </c>
      <c r="F53" s="73"/>
      <c r="G53" s="73"/>
      <c r="H53" s="67"/>
      <c r="I53" s="68"/>
      <c r="J53" s="69" t="s">
        <v>85</v>
      </c>
      <c r="K53" s="70"/>
    </row>
    <row r="54" spans="1:11" ht="153">
      <c r="A54" s="143" t="s">
        <v>86</v>
      </c>
      <c r="B54" s="73" t="s">
        <v>176</v>
      </c>
      <c r="C54" s="87" t="s">
        <v>177</v>
      </c>
      <c r="D54" s="66"/>
      <c r="E54" s="111"/>
      <c r="F54" s="73"/>
      <c r="G54" s="73"/>
      <c r="H54" s="67"/>
      <c r="I54" s="68"/>
      <c r="J54" s="69"/>
      <c r="K54" s="70"/>
    </row>
    <row r="55" spans="1:11" ht="38.25">
      <c r="A55" s="143">
        <v>0</v>
      </c>
      <c r="B55" s="73" t="s">
        <v>178</v>
      </c>
      <c r="C55" s="87" t="s">
        <v>179</v>
      </c>
      <c r="D55" s="66" t="s">
        <v>95</v>
      </c>
      <c r="E55" s="187" t="s">
        <v>175</v>
      </c>
      <c r="F55" s="73"/>
      <c r="G55" s="73"/>
      <c r="H55" s="67"/>
      <c r="I55" s="68"/>
      <c r="J55" s="69" t="s">
        <v>85</v>
      </c>
      <c r="K55" s="70"/>
    </row>
    <row r="56" spans="1:11" ht="25.5">
      <c r="A56" s="143" t="s">
        <v>180</v>
      </c>
      <c r="B56" s="73" t="s">
        <v>181</v>
      </c>
      <c r="C56" s="87" t="s">
        <v>182</v>
      </c>
      <c r="D56" s="66" t="s">
        <v>95</v>
      </c>
      <c r="E56" s="187" t="s">
        <v>175</v>
      </c>
      <c r="F56" s="73"/>
      <c r="G56" s="73"/>
      <c r="H56" s="67"/>
      <c r="I56" s="68"/>
      <c r="J56" s="69" t="s">
        <v>85</v>
      </c>
      <c r="K56" s="70"/>
    </row>
    <row r="57" spans="1:11" ht="25.5">
      <c r="A57" s="65">
        <v>0</v>
      </c>
      <c r="B57" s="73" t="s">
        <v>183</v>
      </c>
      <c r="C57" s="73" t="s">
        <v>184</v>
      </c>
      <c r="D57" s="66" t="s">
        <v>95</v>
      </c>
      <c r="E57" s="111"/>
      <c r="F57" s="73"/>
      <c r="G57" s="73"/>
      <c r="H57" s="67"/>
      <c r="I57" s="68"/>
      <c r="J57" s="69" t="s">
        <v>85</v>
      </c>
      <c r="K57" s="70"/>
    </row>
    <row r="58" spans="1:11" ht="51">
      <c r="A58" s="143" t="s">
        <v>86</v>
      </c>
      <c r="B58" s="73" t="s">
        <v>185</v>
      </c>
      <c r="C58" s="73" t="s">
        <v>186</v>
      </c>
      <c r="D58" s="66"/>
      <c r="E58" s="111"/>
      <c r="F58" s="73"/>
      <c r="G58" s="73"/>
      <c r="H58" s="67"/>
      <c r="I58" s="68"/>
      <c r="J58" s="69"/>
      <c r="K58" s="70"/>
    </row>
    <row r="59" spans="1:11" ht="36">
      <c r="A59" s="143" t="s">
        <v>86</v>
      </c>
      <c r="B59" s="73" t="s">
        <v>187</v>
      </c>
      <c r="C59" s="165" t="s">
        <v>188</v>
      </c>
      <c r="D59" s="66"/>
      <c r="E59" s="111"/>
      <c r="F59" s="73"/>
      <c r="G59" s="73"/>
      <c r="H59" s="67"/>
      <c r="I59" s="68"/>
      <c r="J59" s="69"/>
      <c r="K59" s="70"/>
    </row>
    <row r="60" spans="1:11" ht="89.25">
      <c r="A60" s="143">
        <v>0</v>
      </c>
      <c r="B60" s="73" t="s">
        <v>189</v>
      </c>
      <c r="C60" s="73" t="s">
        <v>190</v>
      </c>
      <c r="D60" s="66" t="s">
        <v>95</v>
      </c>
      <c r="E60" s="187" t="s">
        <v>175</v>
      </c>
      <c r="F60" s="73"/>
      <c r="G60" s="73"/>
      <c r="H60" s="67"/>
      <c r="I60" s="68"/>
      <c r="J60" s="69" t="s">
        <v>85</v>
      </c>
      <c r="K60" s="70"/>
    </row>
    <row r="61" spans="1:11" ht="36">
      <c r="A61" s="65">
        <v>0</v>
      </c>
      <c r="B61" s="73" t="s">
        <v>191</v>
      </c>
      <c r="C61" s="165" t="s">
        <v>192</v>
      </c>
      <c r="D61" s="66" t="s">
        <v>95</v>
      </c>
      <c r="E61" s="187" t="s">
        <v>175</v>
      </c>
      <c r="F61" s="73"/>
      <c r="G61" s="73"/>
      <c r="H61" s="67"/>
      <c r="I61" s="68"/>
      <c r="J61" s="69" t="s">
        <v>85</v>
      </c>
      <c r="K61" s="70"/>
    </row>
    <row r="62" spans="1:11" ht="38.25">
      <c r="A62" s="65">
        <v>0</v>
      </c>
      <c r="B62" s="73" t="s">
        <v>193</v>
      </c>
      <c r="C62" s="73" t="s">
        <v>194</v>
      </c>
      <c r="D62" s="66" t="s">
        <v>95</v>
      </c>
      <c r="E62" s="187"/>
      <c r="F62" s="73"/>
      <c r="G62" s="73"/>
      <c r="H62" s="67"/>
      <c r="I62" s="68"/>
      <c r="J62" s="69"/>
      <c r="K62" s="70"/>
    </row>
    <row r="63" spans="1:11" ht="38.25">
      <c r="A63" s="65">
        <v>0</v>
      </c>
      <c r="B63" s="73" t="s">
        <v>195</v>
      </c>
      <c r="C63" s="73" t="s">
        <v>196</v>
      </c>
      <c r="D63" s="66" t="s">
        <v>95</v>
      </c>
      <c r="E63" s="187" t="s">
        <v>175</v>
      </c>
      <c r="F63" s="73"/>
      <c r="G63" s="73" t="s">
        <v>197</v>
      </c>
      <c r="H63" s="67"/>
      <c r="I63" s="68"/>
      <c r="J63" s="69" t="s">
        <v>85</v>
      </c>
      <c r="K63" s="70"/>
    </row>
    <row r="64" spans="1:11" ht="38.25">
      <c r="A64" s="65">
        <v>0</v>
      </c>
      <c r="B64" s="73" t="s">
        <v>198</v>
      </c>
      <c r="C64" s="73" t="s">
        <v>199</v>
      </c>
      <c r="D64" s="66" t="s">
        <v>95</v>
      </c>
      <c r="E64" s="187" t="s">
        <v>175</v>
      </c>
      <c r="F64" s="73"/>
      <c r="G64" s="73"/>
      <c r="H64" s="67"/>
      <c r="I64" s="68"/>
      <c r="J64" s="69" t="s">
        <v>85</v>
      </c>
      <c r="K64" s="70"/>
    </row>
    <row r="65" spans="1:11" ht="63.75">
      <c r="A65" s="65">
        <v>0</v>
      </c>
      <c r="B65" s="73" t="s">
        <v>200</v>
      </c>
      <c r="C65" s="73" t="s">
        <v>201</v>
      </c>
      <c r="D65" s="66" t="s">
        <v>95</v>
      </c>
      <c r="E65" s="187"/>
      <c r="F65" s="73"/>
      <c r="G65" s="73"/>
      <c r="H65" s="67"/>
      <c r="I65" s="68"/>
      <c r="J65" s="69" t="s">
        <v>85</v>
      </c>
      <c r="K65" s="70"/>
    </row>
    <row r="66" spans="1:11" ht="76.5">
      <c r="A66" s="65">
        <v>0</v>
      </c>
      <c r="B66" s="73" t="s">
        <v>202</v>
      </c>
      <c r="C66" s="73" t="s">
        <v>203</v>
      </c>
      <c r="D66" s="66" t="s">
        <v>95</v>
      </c>
      <c r="E66" s="187"/>
      <c r="F66" s="73"/>
      <c r="G66" s="73"/>
      <c r="H66" s="67"/>
      <c r="I66" s="68"/>
      <c r="J66" s="69" t="s">
        <v>85</v>
      </c>
      <c r="K66" s="70"/>
    </row>
    <row r="67" spans="1:11" ht="165.75">
      <c r="A67" s="65">
        <v>0</v>
      </c>
      <c r="B67" s="73" t="s">
        <v>204</v>
      </c>
      <c r="C67" s="73" t="s">
        <v>205</v>
      </c>
      <c r="D67" s="66" t="s">
        <v>95</v>
      </c>
      <c r="E67" s="187" t="s">
        <v>175</v>
      </c>
      <c r="F67" s="73"/>
      <c r="G67" s="73"/>
      <c r="H67" s="67"/>
      <c r="I67" s="68"/>
      <c r="J67" s="69" t="s">
        <v>85</v>
      </c>
      <c r="K67" s="70"/>
    </row>
    <row r="68" spans="1:11" ht="36">
      <c r="A68" s="143" t="s">
        <v>86</v>
      </c>
      <c r="B68" s="73" t="s">
        <v>206</v>
      </c>
      <c r="C68" s="165" t="s">
        <v>207</v>
      </c>
      <c r="D68" s="66"/>
      <c r="E68" s="111"/>
      <c r="F68" s="73"/>
      <c r="G68" s="73"/>
      <c r="H68" s="67"/>
      <c r="I68" s="68"/>
      <c r="J68" s="69"/>
      <c r="K68" s="70"/>
    </row>
    <row r="69" spans="1:11" ht="25.5">
      <c r="A69" s="65" t="s">
        <v>86</v>
      </c>
      <c r="B69" s="73" t="s">
        <v>208</v>
      </c>
      <c r="C69" s="73" t="s">
        <v>209</v>
      </c>
      <c r="D69" s="66"/>
      <c r="E69" s="111"/>
      <c r="F69" s="73"/>
      <c r="G69" s="73"/>
      <c r="H69" s="67"/>
      <c r="I69" s="68"/>
      <c r="J69" s="69"/>
      <c r="K69" s="70"/>
    </row>
    <row r="70" spans="1:11" ht="51">
      <c r="A70" s="65">
        <v>0</v>
      </c>
      <c r="B70" s="73" t="s">
        <v>210</v>
      </c>
      <c r="C70" s="208" t="s">
        <v>211</v>
      </c>
      <c r="D70" s="66" t="s">
        <v>95</v>
      </c>
      <c r="E70" s="111"/>
      <c r="F70" s="73"/>
      <c r="G70" s="73"/>
      <c r="H70" s="67"/>
      <c r="I70" s="68"/>
      <c r="J70" s="69" t="s">
        <v>212</v>
      </c>
      <c r="K70" s="70"/>
    </row>
    <row r="71" spans="1:11" ht="25.5">
      <c r="A71" s="65" t="s">
        <v>86</v>
      </c>
      <c r="B71" s="73" t="s">
        <v>213</v>
      </c>
      <c r="C71" s="73" t="s">
        <v>214</v>
      </c>
      <c r="D71" s="66"/>
      <c r="E71" s="111"/>
      <c r="F71" s="73"/>
      <c r="G71" s="73"/>
      <c r="H71" s="67"/>
      <c r="I71" s="68"/>
      <c r="J71" s="69"/>
      <c r="K71" s="70"/>
    </row>
    <row r="72" spans="1:11" ht="195">
      <c r="A72" s="65">
        <v>0</v>
      </c>
      <c r="B72" s="73" t="s">
        <v>215</v>
      </c>
      <c r="C72" s="39" t="s">
        <v>216</v>
      </c>
      <c r="D72" s="66" t="s">
        <v>95</v>
      </c>
      <c r="E72" s="187" t="s">
        <v>175</v>
      </c>
      <c r="F72" s="73"/>
      <c r="G72" s="73"/>
      <c r="H72" s="67"/>
      <c r="I72" s="68"/>
      <c r="J72" s="69" t="s">
        <v>85</v>
      </c>
      <c r="K72" s="70"/>
    </row>
    <row r="73" spans="1:11" ht="51">
      <c r="A73" s="65">
        <v>0</v>
      </c>
      <c r="B73" s="73" t="s">
        <v>217</v>
      </c>
      <c r="C73" s="102" t="s">
        <v>218</v>
      </c>
      <c r="D73" s="66" t="s">
        <v>95</v>
      </c>
      <c r="E73" s="187" t="s">
        <v>175</v>
      </c>
      <c r="F73" s="73"/>
      <c r="G73" s="73"/>
      <c r="H73" s="67"/>
      <c r="I73" s="68"/>
      <c r="J73" s="69" t="s">
        <v>85</v>
      </c>
      <c r="K73" s="70"/>
    </row>
    <row r="74" spans="1:11">
      <c r="A74" s="65">
        <v>0</v>
      </c>
      <c r="B74" s="73" t="s">
        <v>219</v>
      </c>
      <c r="C74" s="102" t="s">
        <v>220</v>
      </c>
      <c r="D74" s="66" t="s">
        <v>221</v>
      </c>
      <c r="E74" s="187"/>
      <c r="F74" s="73"/>
      <c r="G74" s="73"/>
      <c r="H74" s="67"/>
      <c r="I74" s="68"/>
      <c r="J74" s="69" t="s">
        <v>212</v>
      </c>
      <c r="K74" s="70"/>
    </row>
    <row r="75" spans="1:11">
      <c r="A75" s="65">
        <v>0</v>
      </c>
      <c r="B75" s="73" t="s">
        <v>183</v>
      </c>
      <c r="C75" s="102" t="s">
        <v>220</v>
      </c>
      <c r="D75" s="66" t="s">
        <v>222</v>
      </c>
      <c r="E75" s="187"/>
      <c r="F75" s="73"/>
      <c r="G75" s="73"/>
      <c r="H75" s="67"/>
      <c r="I75" s="68"/>
      <c r="J75" s="69" t="s">
        <v>212</v>
      </c>
      <c r="K75" s="70"/>
    </row>
    <row r="76" spans="1:11" ht="242.25">
      <c r="A76" s="65">
        <v>0</v>
      </c>
      <c r="B76" s="73" t="s">
        <v>223</v>
      </c>
      <c r="C76" s="209" t="s">
        <v>224</v>
      </c>
      <c r="D76" s="66" t="s">
        <v>221</v>
      </c>
      <c r="E76" s="187"/>
      <c r="F76" s="73"/>
      <c r="G76" s="168"/>
      <c r="H76" s="67"/>
      <c r="I76" s="68"/>
      <c r="J76" s="69" t="s">
        <v>225</v>
      </c>
      <c r="K76" s="70"/>
    </row>
    <row r="77" spans="1:11" ht="89.25">
      <c r="A77" s="65">
        <v>0</v>
      </c>
      <c r="B77" s="73" t="s">
        <v>226</v>
      </c>
      <c r="C77" s="73" t="s">
        <v>227</v>
      </c>
      <c r="D77" s="66" t="s">
        <v>95</v>
      </c>
      <c r="E77" s="187" t="s">
        <v>175</v>
      </c>
      <c r="F77" s="73"/>
      <c r="G77" s="168"/>
      <c r="H77" s="67"/>
      <c r="I77" s="68"/>
      <c r="J77" s="69" t="s">
        <v>85</v>
      </c>
      <c r="K77" s="70"/>
    </row>
    <row r="78" spans="1:11" ht="38.25">
      <c r="A78" s="65">
        <v>0</v>
      </c>
      <c r="B78" s="73" t="s">
        <v>228</v>
      </c>
      <c r="C78" s="73" t="s">
        <v>229</v>
      </c>
      <c r="D78" s="66" t="s">
        <v>95</v>
      </c>
      <c r="E78" s="187"/>
      <c r="F78" s="73"/>
      <c r="G78" s="168"/>
      <c r="H78" s="67"/>
      <c r="I78" s="68"/>
      <c r="J78" s="69" t="s">
        <v>85</v>
      </c>
      <c r="K78" s="70"/>
    </row>
    <row r="79" spans="1:11" ht="25.5">
      <c r="A79" s="65">
        <v>0</v>
      </c>
      <c r="B79" s="73" t="s">
        <v>230</v>
      </c>
      <c r="C79" s="73" t="s">
        <v>231</v>
      </c>
      <c r="D79" s="66" t="s">
        <v>95</v>
      </c>
      <c r="E79" s="187"/>
      <c r="F79" s="73"/>
      <c r="G79" s="168"/>
      <c r="H79" s="67"/>
      <c r="I79" s="68"/>
      <c r="J79" s="69" t="s">
        <v>85</v>
      </c>
      <c r="K79" s="70"/>
    </row>
    <row r="80" spans="1:11" ht="25.5">
      <c r="A80" s="65">
        <v>0</v>
      </c>
      <c r="B80" s="73" t="s">
        <v>232</v>
      </c>
      <c r="C80" s="73" t="s">
        <v>233</v>
      </c>
      <c r="D80" s="66" t="s">
        <v>95</v>
      </c>
      <c r="E80" s="187"/>
      <c r="F80" s="73"/>
      <c r="G80" s="168"/>
      <c r="H80" s="67"/>
      <c r="I80" s="68"/>
      <c r="J80" s="69" t="s">
        <v>85</v>
      </c>
      <c r="K80" s="70"/>
    </row>
    <row r="81" spans="1:11" ht="25.5">
      <c r="A81" s="65">
        <v>0</v>
      </c>
      <c r="B81" s="73" t="s">
        <v>234</v>
      </c>
      <c r="C81" s="73" t="s">
        <v>235</v>
      </c>
      <c r="D81" s="66" t="s">
        <v>95</v>
      </c>
      <c r="E81" s="187"/>
      <c r="F81" s="73"/>
      <c r="G81" s="168"/>
      <c r="H81" s="67"/>
      <c r="I81" s="68"/>
      <c r="J81" s="69" t="s">
        <v>85</v>
      </c>
      <c r="K81" s="70"/>
    </row>
    <row r="82" spans="1:11">
      <c r="A82" s="65"/>
      <c r="B82" s="73"/>
      <c r="C82" s="73"/>
      <c r="D82" s="66"/>
      <c r="E82" s="111"/>
      <c r="F82" s="73"/>
      <c r="G82" s="73"/>
      <c r="H82" s="67"/>
      <c r="I82" s="68"/>
      <c r="J82" s="70"/>
      <c r="K82" s="70"/>
    </row>
    <row r="83" spans="1:11">
      <c r="A83" s="65"/>
      <c r="B83" s="73"/>
      <c r="C83" s="73"/>
      <c r="D83" s="66"/>
      <c r="E83" s="111"/>
      <c r="F83" s="73"/>
      <c r="G83" s="73"/>
      <c r="H83" s="67"/>
      <c r="I83" s="68"/>
      <c r="J83" s="70"/>
      <c r="K83" s="70"/>
    </row>
    <row r="84" spans="1:11">
      <c r="A84" s="290" t="s">
        <v>236</v>
      </c>
      <c r="B84" s="291"/>
      <c r="C84" s="292"/>
      <c r="D84" s="66"/>
      <c r="E84" s="111"/>
      <c r="F84" s="73"/>
      <c r="G84" s="73"/>
      <c r="H84" s="67"/>
      <c r="I84" s="68"/>
      <c r="J84" s="69"/>
      <c r="K84" s="70"/>
    </row>
    <row r="85" spans="1:11" ht="25.5">
      <c r="A85" s="65" t="s">
        <v>86</v>
      </c>
      <c r="B85" s="73" t="s">
        <v>237</v>
      </c>
      <c r="C85" s="73" t="s">
        <v>238</v>
      </c>
      <c r="D85" s="66"/>
      <c r="E85" s="111"/>
      <c r="F85" s="73"/>
      <c r="G85" s="73"/>
      <c r="H85" s="67"/>
      <c r="I85" s="68"/>
      <c r="J85" s="70"/>
      <c r="K85" s="70"/>
    </row>
    <row r="86" spans="1:11">
      <c r="A86" s="65"/>
      <c r="B86" s="73"/>
      <c r="C86" s="73"/>
      <c r="D86" s="66"/>
      <c r="E86" s="111"/>
      <c r="F86" s="73"/>
      <c r="G86" s="73"/>
      <c r="H86" s="67"/>
      <c r="I86" s="68"/>
      <c r="J86" s="70"/>
      <c r="K86" s="70"/>
    </row>
    <row r="87" spans="1:11">
      <c r="A87" s="65"/>
      <c r="B87" s="73"/>
      <c r="C87" s="73"/>
      <c r="D87" s="66"/>
      <c r="E87" s="111"/>
      <c r="F87" s="73"/>
      <c r="G87" s="73"/>
      <c r="H87" s="67"/>
      <c r="I87" s="68"/>
      <c r="J87" s="70"/>
      <c r="K87" s="70"/>
    </row>
    <row r="88" spans="1:11">
      <c r="A88" s="290" t="s">
        <v>239</v>
      </c>
      <c r="B88" s="291"/>
      <c r="C88" s="292"/>
      <c r="D88" s="66"/>
      <c r="E88" s="111"/>
      <c r="F88" s="73"/>
      <c r="G88" s="73"/>
      <c r="H88" s="67"/>
      <c r="I88" s="68"/>
      <c r="J88" s="69"/>
      <c r="K88" s="70"/>
    </row>
    <row r="89" spans="1:11" ht="38.25">
      <c r="A89" s="65">
        <v>1</v>
      </c>
      <c r="B89" s="73" t="s">
        <v>240</v>
      </c>
      <c r="C89" s="73" t="s">
        <v>241</v>
      </c>
      <c r="D89" s="66" t="s">
        <v>95</v>
      </c>
      <c r="E89" s="111"/>
      <c r="F89" s="73"/>
      <c r="G89" s="73"/>
      <c r="H89" s="67"/>
      <c r="I89" s="68"/>
      <c r="J89" s="69"/>
      <c r="K89" s="70"/>
    </row>
    <row r="90" spans="1:11" ht="25.5">
      <c r="A90" s="65">
        <v>0</v>
      </c>
      <c r="B90" s="73" t="s">
        <v>242</v>
      </c>
      <c r="C90" s="73" t="s">
        <v>243</v>
      </c>
      <c r="D90" s="66" t="s">
        <v>95</v>
      </c>
      <c r="E90" s="111"/>
      <c r="F90" s="73"/>
      <c r="G90" s="73"/>
      <c r="H90" s="67"/>
      <c r="I90" s="68"/>
      <c r="J90" s="70"/>
      <c r="K90" s="70"/>
    </row>
    <row r="91" spans="1:11" ht="25.5">
      <c r="A91" s="65">
        <v>0</v>
      </c>
      <c r="B91" s="73" t="s">
        <v>244</v>
      </c>
      <c r="C91" s="73" t="s">
        <v>245</v>
      </c>
      <c r="D91" s="66" t="s">
        <v>95</v>
      </c>
      <c r="E91" s="111"/>
      <c r="F91" s="73"/>
      <c r="G91" s="73"/>
      <c r="H91" s="67"/>
      <c r="I91" s="68"/>
      <c r="J91" s="70"/>
      <c r="K91" s="70"/>
    </row>
    <row r="92" spans="1:11" ht="51">
      <c r="A92" s="65">
        <v>0</v>
      </c>
      <c r="B92" s="73" t="s">
        <v>246</v>
      </c>
      <c r="C92" s="73" t="s">
        <v>247</v>
      </c>
      <c r="D92" s="66" t="s">
        <v>95</v>
      </c>
      <c r="E92" s="111"/>
      <c r="F92" s="73"/>
      <c r="G92" s="73"/>
      <c r="H92" s="67"/>
      <c r="I92" s="68"/>
      <c r="J92" s="70"/>
      <c r="K92" s="70"/>
    </row>
    <row r="93" spans="1:11" ht="76.5">
      <c r="A93" s="65">
        <v>0</v>
      </c>
      <c r="B93" s="73" t="s">
        <v>248</v>
      </c>
      <c r="C93" s="73" t="s">
        <v>249</v>
      </c>
      <c r="D93" s="66" t="s">
        <v>95</v>
      </c>
      <c r="E93" s="111"/>
      <c r="F93" s="73"/>
      <c r="G93" s="73"/>
      <c r="H93" s="67"/>
      <c r="I93" s="68"/>
      <c r="J93" s="70"/>
      <c r="K93" s="70"/>
    </row>
    <row r="94" spans="1:11" ht="63.75">
      <c r="A94" s="65">
        <v>1</v>
      </c>
      <c r="B94" s="73" t="s">
        <v>250</v>
      </c>
      <c r="C94" s="73" t="s">
        <v>251</v>
      </c>
      <c r="D94" s="66" t="s">
        <v>95</v>
      </c>
      <c r="E94" s="111"/>
      <c r="F94" s="73"/>
      <c r="G94" s="73"/>
      <c r="H94" s="67"/>
      <c r="I94" s="68"/>
      <c r="J94" s="70"/>
      <c r="K94" s="70"/>
    </row>
    <row r="95" spans="1:11" ht="25.5">
      <c r="A95" s="65">
        <v>0</v>
      </c>
      <c r="B95" s="73" t="s">
        <v>252</v>
      </c>
      <c r="C95" s="73" t="s">
        <v>253</v>
      </c>
      <c r="D95" s="66" t="s">
        <v>95</v>
      </c>
      <c r="E95" s="111"/>
      <c r="F95" s="73"/>
      <c r="G95" s="73"/>
      <c r="H95" s="67"/>
      <c r="I95" s="68"/>
      <c r="J95" s="70"/>
      <c r="K95" s="70"/>
    </row>
    <row r="96" spans="1:11">
      <c r="A96" s="65"/>
      <c r="B96" s="73"/>
      <c r="C96" s="73"/>
      <c r="D96" s="66"/>
      <c r="E96" s="111"/>
      <c r="F96" s="73"/>
      <c r="G96" s="73"/>
      <c r="H96" s="67"/>
      <c r="I96" s="68"/>
      <c r="J96" s="70"/>
      <c r="K96" s="70"/>
    </row>
    <row r="97" spans="1:11">
      <c r="A97" s="65"/>
      <c r="B97" s="73"/>
      <c r="C97" s="73"/>
      <c r="D97" s="66"/>
      <c r="E97" s="111"/>
      <c r="F97" s="73"/>
      <c r="G97" s="73"/>
      <c r="H97" s="67"/>
      <c r="I97" s="68"/>
      <c r="J97" s="70"/>
      <c r="K97" s="70"/>
    </row>
    <row r="98" spans="1:11">
      <c r="A98" s="65"/>
      <c r="B98" s="73"/>
      <c r="C98" s="197" t="s">
        <v>254</v>
      </c>
      <c r="D98" s="66"/>
      <c r="E98" s="111"/>
      <c r="F98" s="73"/>
      <c r="G98" s="73"/>
      <c r="H98" s="67"/>
      <c r="I98" s="68"/>
      <c r="J98" s="70"/>
      <c r="K98" s="70"/>
    </row>
    <row r="99" spans="1:11">
      <c r="A99" s="65"/>
      <c r="B99" s="73"/>
      <c r="C99" s="73"/>
      <c r="D99" s="66"/>
      <c r="E99" s="111"/>
      <c r="F99" s="73"/>
      <c r="G99" s="73"/>
      <c r="H99" s="67"/>
      <c r="I99" s="68"/>
      <c r="J99" s="70"/>
      <c r="K99" s="70"/>
    </row>
    <row r="100" spans="1:11">
      <c r="A100" s="65"/>
      <c r="B100" s="73"/>
      <c r="C100" s="73"/>
      <c r="D100" s="66"/>
      <c r="E100" s="111"/>
      <c r="F100" s="73"/>
      <c r="G100" s="73"/>
      <c r="H100" s="67"/>
      <c r="I100" s="68"/>
      <c r="J100" s="70"/>
      <c r="K100" s="70"/>
    </row>
    <row r="101" spans="1:11">
      <c r="A101" s="65"/>
      <c r="B101" s="73"/>
      <c r="C101" s="73"/>
      <c r="D101" s="66"/>
      <c r="E101" s="111"/>
      <c r="F101" s="73"/>
      <c r="G101" s="73"/>
      <c r="H101" s="67"/>
      <c r="I101" s="68"/>
      <c r="J101" s="70"/>
      <c r="K101" s="70"/>
    </row>
    <row r="102" spans="1:11">
      <c r="A102" s="65"/>
      <c r="B102" s="73"/>
      <c r="C102" s="73"/>
      <c r="D102" s="66"/>
      <c r="E102" s="111"/>
      <c r="F102" s="73"/>
      <c r="G102" s="73"/>
      <c r="H102" s="67"/>
      <c r="I102" s="68"/>
      <c r="J102" s="70"/>
      <c r="K102" s="70"/>
    </row>
    <row r="103" spans="1:11">
      <c r="A103" s="65"/>
      <c r="B103" s="74"/>
      <c r="C103" s="73"/>
      <c r="D103" s="66"/>
      <c r="E103" s="111"/>
      <c r="F103" s="73"/>
      <c r="G103" s="73"/>
      <c r="H103" s="67"/>
      <c r="I103" s="68"/>
      <c r="J103" s="70"/>
      <c r="K103" s="70"/>
    </row>
    <row r="104" spans="1:11">
      <c r="A104" s="65"/>
      <c r="B104" s="73"/>
      <c r="C104" s="73"/>
      <c r="D104" s="66"/>
      <c r="E104" s="111"/>
      <c r="F104" s="73"/>
      <c r="G104" s="73"/>
      <c r="H104" s="67"/>
      <c r="I104" s="68"/>
      <c r="J104" s="70"/>
      <c r="K104" s="70"/>
    </row>
    <row r="105" spans="1:11">
      <c r="A105" s="65"/>
      <c r="B105" s="73"/>
      <c r="C105" s="73"/>
      <c r="D105" s="66"/>
      <c r="E105" s="111"/>
      <c r="F105" s="73"/>
      <c r="G105" s="73"/>
      <c r="H105" s="67"/>
      <c r="I105" s="68"/>
      <c r="J105" s="70"/>
      <c r="K105" s="70"/>
    </row>
    <row r="106" spans="1:11">
      <c r="A106" s="65"/>
      <c r="B106" s="73"/>
      <c r="C106" s="73"/>
      <c r="D106" s="66"/>
      <c r="E106" s="111"/>
      <c r="F106" s="73"/>
      <c r="G106" s="73"/>
      <c r="H106" s="67"/>
      <c r="I106" s="68"/>
      <c r="J106" s="70"/>
      <c r="K106" s="70"/>
    </row>
    <row r="107" spans="1:11">
      <c r="A107" s="65"/>
      <c r="B107" s="73"/>
      <c r="C107" s="73"/>
      <c r="D107" s="66"/>
      <c r="E107" s="111"/>
      <c r="F107" s="73"/>
      <c r="G107" s="73"/>
      <c r="H107" s="67"/>
      <c r="I107" s="68"/>
      <c r="J107" s="70"/>
      <c r="K107" s="70"/>
    </row>
    <row r="108" spans="1:11">
      <c r="A108" s="65"/>
      <c r="B108" s="73"/>
      <c r="C108" s="73"/>
      <c r="D108" s="66"/>
      <c r="E108" s="111"/>
      <c r="F108" s="73"/>
      <c r="G108" s="73"/>
      <c r="H108" s="67"/>
      <c r="I108" s="68"/>
      <c r="J108" s="70"/>
      <c r="K108" s="70"/>
    </row>
    <row r="109" spans="1:11">
      <c r="A109" s="65"/>
      <c r="B109" s="73"/>
      <c r="C109" s="73"/>
      <c r="D109" s="66"/>
      <c r="E109" s="111"/>
      <c r="F109" s="73"/>
      <c r="G109" s="73"/>
      <c r="H109" s="67"/>
      <c r="I109" s="68"/>
      <c r="J109" s="70"/>
      <c r="K109" s="70"/>
    </row>
    <row r="110" spans="1:11">
      <c r="A110" s="65"/>
      <c r="B110" s="73"/>
      <c r="C110" s="73"/>
      <c r="D110" s="66"/>
      <c r="E110" s="111"/>
      <c r="F110" s="73"/>
      <c r="G110" s="73"/>
      <c r="H110" s="67"/>
      <c r="I110" s="68"/>
      <c r="J110" s="70"/>
      <c r="K110" s="70"/>
    </row>
    <row r="111" spans="1:11">
      <c r="A111" s="65"/>
      <c r="B111" s="73"/>
      <c r="C111" s="73"/>
      <c r="D111" s="66"/>
      <c r="E111" s="111"/>
      <c r="F111" s="73"/>
      <c r="G111" s="73"/>
      <c r="H111" s="67"/>
      <c r="I111" s="68"/>
      <c r="J111" s="70"/>
      <c r="K111" s="70"/>
    </row>
    <row r="112" spans="1:11">
      <c r="A112" s="65"/>
      <c r="B112" s="73"/>
      <c r="C112" s="73"/>
      <c r="D112" s="66"/>
      <c r="E112" s="111"/>
      <c r="F112" s="73"/>
      <c r="G112" s="73"/>
      <c r="H112" s="67"/>
      <c r="I112" s="68"/>
      <c r="J112" s="70"/>
      <c r="K112" s="70"/>
    </row>
    <row r="113" spans="1:11">
      <c r="A113" s="65"/>
      <c r="B113" s="73"/>
      <c r="C113" s="73"/>
      <c r="D113" s="66"/>
      <c r="E113" s="111"/>
      <c r="F113" s="73"/>
      <c r="G113" s="73"/>
      <c r="H113" s="67"/>
      <c r="I113" s="68"/>
      <c r="J113" s="69"/>
      <c r="K113" s="70"/>
    </row>
    <row r="114" spans="1:11">
      <c r="A114" s="65"/>
      <c r="B114" s="73"/>
      <c r="C114" s="73"/>
      <c r="D114" s="66"/>
      <c r="E114" s="111"/>
      <c r="F114" s="73"/>
      <c r="G114" s="73"/>
      <c r="H114" s="67"/>
      <c r="I114" s="68"/>
      <c r="J114" s="69"/>
      <c r="K114" s="70"/>
    </row>
    <row r="115" spans="1:11">
      <c r="A115" s="65"/>
      <c r="B115" s="73"/>
      <c r="C115" s="73"/>
      <c r="D115" s="66"/>
      <c r="E115" s="111"/>
      <c r="F115" s="73"/>
      <c r="G115" s="73"/>
      <c r="H115" s="67"/>
      <c r="I115" s="68"/>
      <c r="J115" s="69"/>
      <c r="K115" s="70"/>
    </row>
    <row r="116" spans="1:11">
      <c r="A116" s="65"/>
      <c r="B116" s="73"/>
      <c r="C116" s="73"/>
      <c r="D116" s="66"/>
      <c r="E116" s="111"/>
      <c r="F116" s="73"/>
      <c r="G116" s="73"/>
      <c r="H116" s="67"/>
      <c r="I116" s="68"/>
      <c r="J116" s="69"/>
      <c r="K116" s="70"/>
    </row>
    <row r="117" spans="1:11">
      <c r="A117" s="65"/>
      <c r="B117" s="73"/>
      <c r="C117" s="73"/>
      <c r="D117" s="66"/>
      <c r="E117" s="111"/>
      <c r="F117" s="73"/>
      <c r="G117" s="73"/>
      <c r="H117" s="67"/>
      <c r="I117" s="68"/>
      <c r="J117" s="69"/>
      <c r="K117" s="70"/>
    </row>
    <row r="118" spans="1:11">
      <c r="A118" s="65"/>
      <c r="B118" s="73"/>
      <c r="C118" s="73"/>
      <c r="D118" s="66"/>
      <c r="E118" s="111"/>
      <c r="F118" s="73"/>
      <c r="G118" s="73"/>
      <c r="H118" s="67"/>
      <c r="I118" s="68"/>
      <c r="J118" s="69"/>
      <c r="K118" s="70"/>
    </row>
    <row r="119" spans="1:11">
      <c r="A119" s="65"/>
      <c r="B119" s="73"/>
      <c r="C119" s="73"/>
      <c r="D119" s="66"/>
      <c r="E119" s="111"/>
      <c r="F119" s="73"/>
      <c r="G119" s="73"/>
      <c r="H119" s="67"/>
      <c r="I119" s="68"/>
      <c r="J119" s="69"/>
      <c r="K119" s="70"/>
    </row>
    <row r="120" spans="1:11">
      <c r="A120" s="65"/>
      <c r="B120" s="73"/>
      <c r="C120" s="73"/>
      <c r="D120" s="66"/>
      <c r="E120" s="111"/>
      <c r="F120" s="73"/>
      <c r="G120" s="73"/>
      <c r="H120" s="67"/>
      <c r="I120" s="68"/>
      <c r="J120" s="69"/>
      <c r="K120" s="70"/>
    </row>
    <row r="121" spans="1:11">
      <c r="A121" s="65"/>
      <c r="B121" s="73"/>
      <c r="C121" s="73"/>
      <c r="D121" s="66"/>
      <c r="E121" s="111"/>
      <c r="F121" s="73"/>
      <c r="G121" s="73"/>
      <c r="H121" s="67"/>
      <c r="I121" s="68"/>
      <c r="J121" s="69"/>
      <c r="K121" s="70"/>
    </row>
    <row r="122" spans="1:11">
      <c r="A122" s="65"/>
      <c r="B122" s="73"/>
      <c r="C122" s="73"/>
      <c r="D122" s="66"/>
      <c r="E122" s="111"/>
      <c r="F122" s="73"/>
      <c r="G122" s="73"/>
      <c r="H122" s="67"/>
      <c r="I122" s="68"/>
      <c r="J122" s="69"/>
      <c r="K122" s="70"/>
    </row>
    <row r="123" spans="1:11">
      <c r="A123" s="65"/>
      <c r="B123" s="73"/>
      <c r="C123" s="73"/>
      <c r="D123" s="66"/>
      <c r="E123" s="111"/>
      <c r="F123" s="73"/>
      <c r="G123" s="73"/>
      <c r="H123" s="67"/>
      <c r="I123" s="68"/>
      <c r="J123" s="70"/>
      <c r="K123" s="70"/>
    </row>
    <row r="124" spans="1:11">
      <c r="A124" s="65"/>
      <c r="B124" s="73"/>
      <c r="C124" s="73"/>
      <c r="D124" s="66"/>
      <c r="E124" s="111"/>
      <c r="F124" s="73"/>
      <c r="G124" s="73"/>
      <c r="H124" s="67"/>
      <c r="I124" s="68"/>
      <c r="J124" s="70"/>
      <c r="K124" s="70"/>
    </row>
    <row r="125" spans="1:11">
      <c r="A125" s="65"/>
      <c r="B125" s="73"/>
      <c r="C125" s="73"/>
      <c r="D125" s="66"/>
      <c r="E125" s="111"/>
      <c r="F125" s="73"/>
      <c r="G125" s="73"/>
      <c r="H125" s="67"/>
      <c r="I125" s="68"/>
      <c r="J125" s="70"/>
      <c r="K125" s="70"/>
    </row>
    <row r="126" spans="1:11">
      <c r="A126" s="65"/>
      <c r="B126" s="73"/>
      <c r="C126" s="73"/>
      <c r="D126" s="66"/>
      <c r="E126" s="111"/>
      <c r="F126" s="73"/>
      <c r="G126" s="73"/>
      <c r="H126" s="67"/>
      <c r="I126" s="68"/>
      <c r="J126" s="70"/>
      <c r="K126" s="70"/>
    </row>
    <row r="127" spans="1:11">
      <c r="A127" s="65"/>
      <c r="B127" s="73"/>
      <c r="C127" s="73"/>
      <c r="D127" s="66"/>
      <c r="E127" s="111"/>
      <c r="F127" s="73"/>
      <c r="G127" s="73"/>
      <c r="H127" s="67"/>
      <c r="I127" s="68"/>
      <c r="J127" s="70"/>
      <c r="K127" s="70"/>
    </row>
    <row r="128" spans="1:11">
      <c r="A128" s="65"/>
      <c r="B128" s="73"/>
      <c r="C128" s="73"/>
      <c r="D128" s="66"/>
      <c r="E128" s="111"/>
      <c r="F128" s="73"/>
      <c r="G128" s="73"/>
      <c r="H128" s="67"/>
      <c r="I128" s="68"/>
      <c r="J128" s="70"/>
      <c r="K128" s="70"/>
    </row>
    <row r="129" spans="1:11">
      <c r="A129" s="65"/>
      <c r="B129" s="73"/>
      <c r="C129" s="73"/>
      <c r="D129" s="66"/>
      <c r="E129" s="111"/>
      <c r="F129" s="73"/>
      <c r="G129" s="73"/>
      <c r="H129" s="67"/>
      <c r="I129" s="68"/>
      <c r="J129" s="70"/>
      <c r="K129" s="70"/>
    </row>
    <row r="130" spans="1:11">
      <c r="A130" s="65"/>
      <c r="B130" s="73"/>
      <c r="C130" s="73"/>
      <c r="D130" s="66"/>
      <c r="E130" s="111"/>
      <c r="F130" s="73"/>
      <c r="G130" s="73"/>
      <c r="H130" s="67"/>
      <c r="I130" s="68"/>
      <c r="J130" s="70"/>
      <c r="K130" s="70"/>
    </row>
    <row r="131" spans="1:11">
      <c r="A131" s="65"/>
      <c r="B131" s="73"/>
      <c r="C131" s="73"/>
      <c r="D131" s="66"/>
      <c r="E131" s="111"/>
      <c r="F131" s="73"/>
      <c r="G131" s="73"/>
      <c r="H131" s="67"/>
      <c r="I131" s="68"/>
      <c r="J131" s="70"/>
      <c r="K131" s="70"/>
    </row>
    <row r="132" spans="1:11">
      <c r="A132" s="65"/>
      <c r="B132" s="73"/>
      <c r="C132" s="73"/>
      <c r="D132" s="66"/>
      <c r="E132" s="111"/>
      <c r="F132" s="73"/>
      <c r="G132" s="73"/>
      <c r="H132" s="67"/>
      <c r="I132" s="68"/>
      <c r="J132" s="70"/>
      <c r="K132" s="70"/>
    </row>
    <row r="133" spans="1:11">
      <c r="A133" s="65"/>
      <c r="B133" s="73"/>
      <c r="C133" s="73"/>
      <c r="D133" s="66"/>
      <c r="E133" s="111"/>
      <c r="F133" s="73"/>
      <c r="G133" s="73"/>
      <c r="H133" s="67"/>
      <c r="I133" s="68"/>
      <c r="J133" s="70"/>
      <c r="K133" s="70"/>
    </row>
    <row r="134" spans="1:11">
      <c r="A134" s="65"/>
      <c r="B134" s="73"/>
      <c r="C134" s="73"/>
      <c r="D134" s="66"/>
      <c r="E134" s="111"/>
      <c r="F134" s="73"/>
      <c r="G134" s="73"/>
      <c r="H134" s="67"/>
      <c r="I134" s="68"/>
      <c r="J134" s="70"/>
      <c r="K134" s="70"/>
    </row>
    <row r="135" spans="1:11">
      <c r="A135" s="65"/>
      <c r="B135" s="73"/>
      <c r="C135" s="73"/>
      <c r="D135" s="66"/>
      <c r="E135" s="111"/>
      <c r="F135" s="73"/>
      <c r="G135" s="73"/>
      <c r="H135" s="67"/>
      <c r="I135" s="68"/>
      <c r="J135" s="70"/>
      <c r="K135" s="70"/>
    </row>
    <row r="136" spans="1:11">
      <c r="A136" s="65"/>
      <c r="B136" s="73"/>
      <c r="C136" s="73"/>
      <c r="D136" s="66"/>
      <c r="E136" s="111"/>
      <c r="F136" s="73"/>
      <c r="G136" s="73"/>
      <c r="H136" s="67"/>
      <c r="I136" s="68"/>
      <c r="J136" s="70"/>
      <c r="K136" s="70"/>
    </row>
    <row r="137" spans="1:11">
      <c r="A137" s="65"/>
      <c r="B137" s="73"/>
      <c r="C137" s="73"/>
      <c r="D137" s="66"/>
      <c r="E137" s="111"/>
      <c r="F137" s="73"/>
      <c r="G137" s="73"/>
      <c r="H137" s="67"/>
      <c r="I137" s="68"/>
      <c r="J137" s="70"/>
      <c r="K137" s="70"/>
    </row>
    <row r="138" spans="1:11">
      <c r="A138" s="65"/>
      <c r="B138" s="73"/>
      <c r="C138" s="73"/>
      <c r="D138" s="66"/>
      <c r="E138" s="111"/>
      <c r="F138" s="73"/>
      <c r="G138" s="73"/>
      <c r="H138" s="67"/>
      <c r="I138" s="68"/>
      <c r="J138" s="69"/>
      <c r="K138" s="70"/>
    </row>
    <row r="139" spans="1:11">
      <c r="A139" s="65"/>
      <c r="B139" s="73"/>
      <c r="C139" s="73"/>
      <c r="D139" s="66"/>
      <c r="E139" s="111"/>
      <c r="F139" s="73"/>
      <c r="G139" s="73"/>
      <c r="H139" s="67"/>
      <c r="I139" s="68"/>
      <c r="J139" s="69"/>
      <c r="K139" s="70"/>
    </row>
    <row r="140" spans="1:11">
      <c r="A140" s="65"/>
      <c r="B140" s="73"/>
      <c r="C140" s="73"/>
      <c r="D140" s="66"/>
      <c r="E140" s="111"/>
      <c r="F140" s="73"/>
      <c r="G140" s="73"/>
      <c r="H140" s="67"/>
      <c r="I140" s="68"/>
      <c r="J140" s="69"/>
      <c r="K140" s="70"/>
    </row>
    <row r="141" spans="1:11">
      <c r="A141" s="65"/>
      <c r="B141" s="73"/>
      <c r="C141" s="73"/>
      <c r="D141" s="66"/>
      <c r="E141" s="111"/>
      <c r="F141" s="73"/>
      <c r="G141" s="73"/>
      <c r="H141" s="67"/>
      <c r="I141" s="68"/>
      <c r="J141" s="69"/>
      <c r="K141" s="70"/>
    </row>
    <row r="142" spans="1:11">
      <c r="A142" s="65"/>
      <c r="B142" s="73"/>
      <c r="C142" s="73"/>
      <c r="D142" s="66"/>
      <c r="E142" s="111"/>
      <c r="F142" s="73"/>
      <c r="G142" s="73"/>
      <c r="H142" s="67"/>
      <c r="I142" s="68"/>
      <c r="J142" s="70"/>
      <c r="K142" s="70"/>
    </row>
    <row r="143" spans="1:11">
      <c r="A143" s="65"/>
      <c r="B143" s="73"/>
      <c r="C143" s="73"/>
      <c r="D143" s="66"/>
      <c r="E143" s="111"/>
      <c r="F143" s="73"/>
      <c r="G143" s="73"/>
      <c r="H143" s="67"/>
      <c r="I143" s="68"/>
      <c r="J143" s="70"/>
      <c r="K143" s="70"/>
    </row>
    <row r="144" spans="1:11">
      <c r="A144" s="65"/>
      <c r="B144" s="73"/>
      <c r="C144" s="73"/>
      <c r="D144" s="66"/>
      <c r="E144" s="111"/>
      <c r="F144" s="73"/>
      <c r="G144" s="73"/>
      <c r="H144" s="67"/>
      <c r="I144" s="68"/>
      <c r="J144" s="70"/>
      <c r="K144" s="70"/>
    </row>
    <row r="145" spans="1:11">
      <c r="A145" s="65"/>
      <c r="B145" s="73"/>
      <c r="C145" s="73"/>
      <c r="D145" s="66"/>
      <c r="E145" s="111"/>
      <c r="F145" s="73"/>
      <c r="G145" s="73"/>
      <c r="H145" s="67"/>
      <c r="I145" s="68"/>
      <c r="J145" s="69"/>
      <c r="K145" s="70"/>
    </row>
    <row r="146" spans="1:11">
      <c r="A146" s="65"/>
      <c r="B146" s="73"/>
      <c r="C146" s="73"/>
      <c r="D146" s="66"/>
      <c r="E146" s="111"/>
      <c r="F146" s="73"/>
      <c r="G146" s="73"/>
      <c r="H146" s="67"/>
      <c r="I146" s="68"/>
      <c r="J146" s="69"/>
      <c r="K146" s="70"/>
    </row>
    <row r="147" spans="1:11">
      <c r="A147" s="65"/>
      <c r="B147" s="73"/>
      <c r="C147" s="73"/>
      <c r="D147" s="66"/>
      <c r="E147" s="111"/>
      <c r="F147" s="73"/>
      <c r="G147" s="73"/>
      <c r="H147" s="67"/>
      <c r="I147" s="68"/>
      <c r="J147" s="69"/>
      <c r="K147" s="70"/>
    </row>
    <row r="148" spans="1:11">
      <c r="A148" s="65"/>
      <c r="B148" s="73"/>
      <c r="C148" s="73"/>
      <c r="D148" s="66"/>
      <c r="E148" s="111"/>
      <c r="F148" s="73"/>
      <c r="G148" s="73"/>
      <c r="H148" s="67"/>
      <c r="I148" s="68"/>
      <c r="J148" s="69"/>
      <c r="K148" s="70"/>
    </row>
    <row r="149" spans="1:11">
      <c r="A149" s="65"/>
      <c r="B149" s="73"/>
      <c r="C149" s="73"/>
      <c r="D149" s="66"/>
      <c r="E149" s="111"/>
      <c r="F149" s="73"/>
      <c r="G149" s="73"/>
      <c r="H149" s="67"/>
      <c r="I149" s="68"/>
      <c r="J149" s="69"/>
      <c r="K149" s="70"/>
    </row>
    <row r="150" spans="1:11">
      <c r="A150" s="65"/>
      <c r="B150" s="73"/>
      <c r="C150" s="73"/>
      <c r="D150" s="66"/>
      <c r="E150" s="111"/>
      <c r="F150" s="73"/>
      <c r="G150" s="73"/>
      <c r="H150" s="67"/>
      <c r="I150" s="68"/>
      <c r="J150" s="69"/>
      <c r="K150" s="70"/>
    </row>
    <row r="151" spans="1:11">
      <c r="A151" s="65"/>
      <c r="B151" s="73"/>
      <c r="C151" s="73"/>
      <c r="D151" s="66"/>
      <c r="E151" s="111"/>
      <c r="F151" s="73"/>
      <c r="G151" s="73"/>
      <c r="H151" s="67"/>
      <c r="I151" s="68"/>
      <c r="J151" s="70"/>
      <c r="K151" s="70"/>
    </row>
    <row r="152" spans="1:11">
      <c r="A152" s="65"/>
      <c r="B152" s="73"/>
      <c r="C152" s="73"/>
      <c r="D152" s="66"/>
      <c r="E152" s="111"/>
      <c r="F152" s="73"/>
      <c r="G152" s="73"/>
      <c r="H152" s="67"/>
      <c r="I152" s="68"/>
      <c r="J152" s="69"/>
      <c r="K152" s="70"/>
    </row>
    <row r="153" spans="1:11">
      <c r="A153" s="65"/>
      <c r="B153" s="73"/>
      <c r="C153" s="73"/>
      <c r="D153" s="66"/>
      <c r="E153" s="111"/>
      <c r="F153" s="73"/>
      <c r="G153" s="73"/>
      <c r="H153" s="67"/>
      <c r="I153" s="68"/>
      <c r="J153" s="69"/>
      <c r="K153" s="70"/>
    </row>
    <row r="154" spans="1:11">
      <c r="A154" s="65"/>
      <c r="B154" s="73"/>
      <c r="C154" s="73"/>
      <c r="D154" s="66"/>
      <c r="E154" s="111"/>
      <c r="F154" s="73"/>
      <c r="G154" s="73"/>
      <c r="H154" s="67"/>
      <c r="I154" s="68"/>
      <c r="J154" s="69"/>
      <c r="K154" s="70"/>
    </row>
    <row r="155" spans="1:11">
      <c r="A155" s="65"/>
      <c r="B155" s="73"/>
      <c r="C155" s="73"/>
      <c r="D155" s="66"/>
      <c r="E155" s="111"/>
      <c r="F155" s="73"/>
      <c r="G155" s="73"/>
      <c r="H155" s="67"/>
      <c r="I155" s="68"/>
      <c r="J155" s="69"/>
      <c r="K155" s="70"/>
    </row>
    <row r="156" spans="1:11">
      <c r="A156" s="65"/>
      <c r="B156" s="73"/>
      <c r="C156" s="73"/>
      <c r="D156" s="66"/>
      <c r="E156" s="111"/>
      <c r="F156" s="73"/>
      <c r="G156" s="73"/>
      <c r="H156" s="67"/>
      <c r="I156" s="68"/>
      <c r="J156" s="69"/>
      <c r="K156" s="70"/>
    </row>
    <row r="157" spans="1:11">
      <c r="A157" s="65"/>
      <c r="B157" s="73"/>
      <c r="C157" s="73"/>
      <c r="D157" s="66"/>
      <c r="E157" s="111"/>
      <c r="F157" s="73"/>
      <c r="G157" s="73"/>
      <c r="H157" s="67"/>
      <c r="I157" s="68"/>
      <c r="J157" s="69"/>
      <c r="K157" s="70"/>
    </row>
    <row r="158" spans="1:11">
      <c r="A158" s="65"/>
      <c r="B158" s="73"/>
      <c r="C158" s="73"/>
      <c r="D158" s="66"/>
      <c r="E158" s="111"/>
      <c r="F158" s="73"/>
      <c r="G158" s="73"/>
      <c r="H158" s="67"/>
      <c r="I158" s="68"/>
      <c r="J158" s="69"/>
      <c r="K158" s="70"/>
    </row>
    <row r="159" spans="1:11">
      <c r="A159" s="65"/>
      <c r="B159" s="73"/>
      <c r="C159" s="73"/>
      <c r="D159" s="66"/>
      <c r="E159" s="111"/>
      <c r="F159" s="73"/>
      <c r="G159" s="73"/>
      <c r="H159" s="67"/>
      <c r="I159" s="68"/>
      <c r="J159" s="69"/>
      <c r="K159" s="70"/>
    </row>
    <row r="160" spans="1:11">
      <c r="A160" s="65"/>
      <c r="B160" s="73"/>
      <c r="C160" s="73"/>
      <c r="D160" s="66"/>
      <c r="E160" s="111"/>
      <c r="F160" s="73"/>
      <c r="G160" s="73"/>
      <c r="H160" s="67"/>
      <c r="I160" s="68"/>
      <c r="J160" s="70"/>
      <c r="K160" s="70"/>
    </row>
    <row r="161" spans="1:11">
      <c r="A161" s="65"/>
      <c r="B161" s="73"/>
      <c r="C161" s="73"/>
      <c r="D161" s="66"/>
      <c r="E161" s="111"/>
      <c r="F161" s="73"/>
      <c r="G161" s="73"/>
      <c r="H161" s="67"/>
      <c r="I161" s="68"/>
      <c r="J161" s="69"/>
      <c r="K161" s="70"/>
    </row>
    <row r="162" spans="1:11">
      <c r="A162" s="65"/>
      <c r="B162" s="73"/>
      <c r="C162" s="73"/>
      <c r="D162" s="66"/>
      <c r="E162" s="111"/>
      <c r="F162" s="73"/>
      <c r="G162" s="73"/>
      <c r="H162" s="67"/>
      <c r="I162" s="68"/>
      <c r="J162" s="70"/>
      <c r="K162" s="70"/>
    </row>
    <row r="163" spans="1:11">
      <c r="A163" s="65"/>
      <c r="B163" s="73"/>
      <c r="C163" s="73"/>
      <c r="D163" s="66"/>
      <c r="E163" s="111"/>
      <c r="F163" s="73"/>
      <c r="G163" s="73"/>
      <c r="H163" s="67"/>
      <c r="I163" s="68"/>
      <c r="J163" s="70"/>
      <c r="K163" s="70"/>
    </row>
    <row r="164" spans="1:11">
      <c r="A164" s="65"/>
      <c r="B164" s="73"/>
      <c r="C164" s="73"/>
      <c r="D164" s="66"/>
      <c r="E164" s="111"/>
      <c r="F164" s="73"/>
      <c r="G164" s="73"/>
      <c r="H164" s="67"/>
      <c r="I164" s="68"/>
      <c r="J164" s="70"/>
      <c r="K164" s="70"/>
    </row>
    <row r="165" spans="1:11">
      <c r="A165" s="65"/>
      <c r="B165" s="73"/>
      <c r="C165" s="73"/>
      <c r="D165" s="66"/>
      <c r="E165" s="111"/>
      <c r="F165" s="73"/>
      <c r="G165" s="73"/>
      <c r="H165" s="67"/>
      <c r="I165" s="68"/>
      <c r="J165" s="70"/>
      <c r="K165" s="70"/>
    </row>
    <row r="166" spans="1:11">
      <c r="A166" s="65"/>
      <c r="B166" s="70"/>
      <c r="C166" s="87"/>
      <c r="D166" s="66"/>
      <c r="E166" s="111"/>
      <c r="F166" s="76"/>
      <c r="G166" s="70"/>
      <c r="H166" s="70"/>
      <c r="I166" s="70"/>
      <c r="J166" s="70"/>
      <c r="K166" s="70"/>
    </row>
    <row r="167" spans="1:11">
      <c r="A167" s="65"/>
      <c r="B167" s="70"/>
      <c r="C167" s="87"/>
      <c r="D167" s="66"/>
      <c r="E167" s="111"/>
      <c r="F167" s="76"/>
      <c r="G167" s="70"/>
      <c r="H167" s="70"/>
      <c r="I167" s="70"/>
      <c r="J167" s="70"/>
      <c r="K167" s="70"/>
    </row>
    <row r="168" spans="1:11">
      <c r="A168" s="65"/>
      <c r="B168" s="75"/>
      <c r="C168" s="87"/>
      <c r="D168" s="66"/>
      <c r="E168" s="111"/>
      <c r="F168" s="76"/>
      <c r="G168" s="70"/>
      <c r="H168" s="70"/>
      <c r="I168" s="75"/>
      <c r="J168" s="70"/>
      <c r="K168" s="70"/>
    </row>
    <row r="169" spans="1:11">
      <c r="A169" s="65"/>
      <c r="B169" s="75"/>
      <c r="C169" s="87"/>
      <c r="D169" s="66"/>
      <c r="E169" s="111"/>
      <c r="F169" s="76"/>
      <c r="G169" s="70"/>
      <c r="H169" s="70"/>
      <c r="I169" s="75"/>
      <c r="J169" s="70"/>
      <c r="K169" s="70"/>
    </row>
    <row r="170" spans="1:11">
      <c r="A170" s="65"/>
      <c r="B170" s="75"/>
      <c r="C170" s="87"/>
      <c r="D170" s="66"/>
      <c r="E170" s="111"/>
      <c r="F170" s="75"/>
      <c r="G170" s="75"/>
      <c r="H170" s="75"/>
      <c r="I170" s="75"/>
      <c r="J170" s="70"/>
      <c r="K170" s="70"/>
    </row>
    <row r="171" spans="1:11">
      <c r="A171" s="65"/>
      <c r="B171" s="75"/>
      <c r="C171" s="87"/>
      <c r="D171" s="66"/>
      <c r="E171" s="111"/>
      <c r="F171" s="75"/>
      <c r="G171" s="75"/>
      <c r="H171" s="75"/>
      <c r="I171" s="75"/>
      <c r="J171" s="69"/>
      <c r="K171" s="70"/>
    </row>
    <row r="172" spans="1:11">
      <c r="A172" s="65"/>
      <c r="B172" s="75"/>
      <c r="C172" s="87"/>
      <c r="D172" s="66"/>
      <c r="E172" s="111"/>
      <c r="F172" s="75"/>
      <c r="G172" s="75"/>
      <c r="H172" s="75"/>
      <c r="I172" s="75"/>
      <c r="J172" s="70"/>
      <c r="K172" s="70"/>
    </row>
    <row r="173" spans="1:11">
      <c r="A173" s="65"/>
      <c r="B173" s="75"/>
      <c r="C173" s="87"/>
      <c r="D173" s="66"/>
      <c r="E173" s="111"/>
      <c r="F173" s="75"/>
      <c r="G173" s="75"/>
      <c r="H173" s="75"/>
      <c r="I173" s="75"/>
      <c r="J173" s="70"/>
      <c r="K173" s="70"/>
    </row>
    <row r="174" spans="1:11">
      <c r="A174" s="65"/>
      <c r="B174" s="75"/>
      <c r="C174" s="87"/>
      <c r="D174" s="66"/>
      <c r="E174" s="111"/>
      <c r="F174" s="75"/>
      <c r="G174" s="75"/>
      <c r="H174" s="75"/>
      <c r="I174" s="75"/>
      <c r="J174" s="70"/>
      <c r="K174" s="70"/>
    </row>
    <row r="175" spans="1:11">
      <c r="A175" s="65"/>
      <c r="B175" s="75"/>
      <c r="C175" s="87"/>
      <c r="D175" s="66"/>
      <c r="E175" s="111"/>
      <c r="F175" s="75"/>
      <c r="G175" s="75"/>
      <c r="H175" s="75"/>
      <c r="I175" s="75"/>
      <c r="J175" s="69"/>
      <c r="K175" s="70"/>
    </row>
    <row r="176" spans="1:11">
      <c r="A176" s="65"/>
      <c r="B176" s="75"/>
      <c r="C176" s="87"/>
      <c r="D176" s="66"/>
      <c r="E176" s="111"/>
      <c r="F176" s="75"/>
      <c r="G176" s="75"/>
      <c r="H176" s="75"/>
      <c r="I176" s="75"/>
      <c r="J176" s="70"/>
      <c r="K176" s="70"/>
    </row>
    <row r="177" spans="1:11">
      <c r="A177" s="65"/>
      <c r="B177" s="75"/>
      <c r="C177" s="87"/>
      <c r="D177" s="66"/>
      <c r="E177" s="111"/>
      <c r="F177" s="75"/>
      <c r="G177" s="75"/>
      <c r="H177" s="75"/>
      <c r="I177" s="75"/>
      <c r="J177" s="70"/>
      <c r="K177" s="70"/>
    </row>
    <row r="178" spans="1:11">
      <c r="A178" s="65"/>
      <c r="B178" s="75"/>
      <c r="C178" s="87"/>
      <c r="D178" s="66"/>
      <c r="E178" s="111"/>
      <c r="F178" s="75"/>
      <c r="G178" s="75"/>
      <c r="H178" s="75"/>
      <c r="I178" s="75"/>
      <c r="J178" s="70"/>
      <c r="K178" s="70"/>
    </row>
    <row r="179" spans="1:11">
      <c r="A179" s="65"/>
      <c r="B179" s="75"/>
      <c r="C179" s="87"/>
      <c r="D179" s="66"/>
      <c r="E179" s="111"/>
      <c r="F179" s="75"/>
      <c r="G179" s="75"/>
      <c r="H179" s="75"/>
      <c r="I179" s="75"/>
      <c r="J179" s="70"/>
      <c r="K179" s="70"/>
    </row>
    <row r="180" spans="1:11">
      <c r="A180" s="65"/>
      <c r="B180" s="75"/>
      <c r="C180" s="87"/>
      <c r="D180" s="66"/>
      <c r="E180" s="111"/>
      <c r="F180" s="75"/>
      <c r="G180" s="75"/>
      <c r="H180" s="75"/>
      <c r="I180" s="75"/>
      <c r="J180" s="70"/>
      <c r="K180" s="70"/>
    </row>
    <row r="181" spans="1:11">
      <c r="A181" s="65"/>
      <c r="B181" s="75"/>
      <c r="C181" s="87"/>
      <c r="D181" s="66"/>
      <c r="E181" s="111"/>
      <c r="F181" s="75"/>
      <c r="G181" s="75"/>
      <c r="H181" s="75"/>
      <c r="I181" s="75"/>
      <c r="J181" s="70"/>
      <c r="K181" s="70"/>
    </row>
    <row r="182" spans="1:11">
      <c r="A182" s="65"/>
      <c r="B182" s="75"/>
      <c r="C182" s="87"/>
      <c r="D182" s="66"/>
      <c r="E182" s="111"/>
      <c r="F182" s="75"/>
      <c r="G182" s="75"/>
      <c r="H182" s="75"/>
      <c r="I182" s="75"/>
      <c r="J182" s="69"/>
      <c r="K182" s="70"/>
    </row>
    <row r="183" spans="1:11">
      <c r="A183" s="65"/>
      <c r="B183" s="75"/>
      <c r="C183" s="87"/>
      <c r="D183" s="66"/>
      <c r="E183" s="111"/>
      <c r="F183" s="75"/>
      <c r="G183" s="75"/>
      <c r="H183" s="75"/>
      <c r="I183" s="75"/>
      <c r="J183" s="69"/>
      <c r="K183" s="70"/>
    </row>
    <row r="184" spans="1:11">
      <c r="A184" s="65"/>
      <c r="B184" s="75"/>
      <c r="C184" s="87"/>
      <c r="D184" s="66"/>
      <c r="E184" s="111"/>
      <c r="F184" s="75"/>
      <c r="G184" s="75"/>
      <c r="H184" s="75"/>
      <c r="I184" s="75"/>
      <c r="J184" s="69"/>
      <c r="K184" s="70"/>
    </row>
    <row r="185" spans="1:11">
      <c r="A185" s="65"/>
      <c r="B185" s="75"/>
      <c r="C185" s="87"/>
      <c r="D185" s="66"/>
      <c r="E185" s="111"/>
      <c r="F185" s="75"/>
      <c r="G185" s="75"/>
      <c r="H185" s="75"/>
      <c r="I185" s="75"/>
      <c r="J185" s="69"/>
      <c r="K185" s="70"/>
    </row>
    <row r="186" spans="1:11">
      <c r="A186" s="65"/>
      <c r="B186" s="75"/>
      <c r="C186" s="87"/>
      <c r="D186" s="66"/>
      <c r="E186" s="111"/>
      <c r="F186" s="75"/>
      <c r="G186" s="75"/>
      <c r="H186" s="75"/>
      <c r="I186" s="75"/>
      <c r="J186" s="69"/>
      <c r="K186" s="70"/>
    </row>
    <row r="187" spans="1:11">
      <c r="A187" s="65"/>
      <c r="B187" s="75"/>
      <c r="C187" s="87"/>
      <c r="D187" s="66"/>
      <c r="E187" s="111"/>
      <c r="F187" s="75"/>
      <c r="G187" s="75"/>
      <c r="H187" s="75"/>
      <c r="I187" s="75"/>
      <c r="J187" s="69"/>
      <c r="K187" s="70"/>
    </row>
    <row r="188" spans="1:11">
      <c r="A188" s="65"/>
      <c r="B188" s="75"/>
      <c r="C188" s="87"/>
      <c r="D188" s="66"/>
      <c r="E188" s="111"/>
      <c r="F188" s="75"/>
      <c r="G188" s="75"/>
      <c r="H188" s="75"/>
      <c r="I188" s="75"/>
      <c r="J188" s="70"/>
      <c r="K188" s="70"/>
    </row>
    <row r="189" spans="1:11">
      <c r="A189" s="65"/>
      <c r="B189" s="75"/>
      <c r="C189" s="87"/>
      <c r="D189" s="66"/>
      <c r="E189" s="111"/>
      <c r="F189" s="75"/>
      <c r="G189" s="75"/>
      <c r="H189" s="75"/>
      <c r="I189" s="75"/>
      <c r="J189" s="69"/>
      <c r="K189" s="70"/>
    </row>
    <row r="190" spans="1:11">
      <c r="A190" s="65"/>
      <c r="B190" s="75"/>
      <c r="C190" s="87"/>
      <c r="D190" s="66"/>
      <c r="E190" s="111"/>
      <c r="F190" s="75"/>
      <c r="G190" s="75"/>
      <c r="H190" s="75"/>
      <c r="I190" s="75"/>
      <c r="J190" s="69"/>
      <c r="K190" s="70"/>
    </row>
    <row r="191" spans="1:11">
      <c r="A191" s="65"/>
      <c r="B191" s="75"/>
      <c r="C191" s="87"/>
      <c r="D191" s="66"/>
      <c r="E191" s="111"/>
      <c r="F191" s="75"/>
      <c r="G191" s="75"/>
      <c r="H191" s="75"/>
      <c r="I191" s="75"/>
      <c r="J191" s="69"/>
      <c r="K191" s="70"/>
    </row>
    <row r="192" spans="1:11">
      <c r="A192" s="65"/>
      <c r="B192" s="75"/>
      <c r="C192" s="87"/>
      <c r="D192" s="66"/>
      <c r="E192" s="111"/>
      <c r="F192" s="75"/>
      <c r="G192" s="75"/>
      <c r="H192" s="75"/>
      <c r="I192" s="75"/>
      <c r="J192" s="69"/>
      <c r="K192" s="70"/>
    </row>
    <row r="193" spans="1:11">
      <c r="A193" s="65"/>
      <c r="B193" s="75"/>
      <c r="C193" s="87"/>
      <c r="D193" s="66"/>
      <c r="E193" s="111"/>
      <c r="F193" s="75"/>
      <c r="G193" s="75"/>
      <c r="H193" s="75"/>
      <c r="I193" s="75"/>
      <c r="J193" s="69"/>
      <c r="K193" s="70"/>
    </row>
    <row r="194" spans="1:11">
      <c r="A194" s="65"/>
      <c r="B194" s="75"/>
      <c r="C194" s="87"/>
      <c r="D194" s="66"/>
      <c r="E194" s="111"/>
      <c r="F194" s="75"/>
      <c r="G194" s="75"/>
      <c r="H194" s="75"/>
      <c r="I194" s="75"/>
      <c r="J194" s="69"/>
      <c r="K194" s="70"/>
    </row>
    <row r="195" spans="1:11">
      <c r="A195" s="65"/>
      <c r="B195" s="75"/>
      <c r="C195" s="87"/>
      <c r="D195" s="66"/>
      <c r="E195" s="111"/>
      <c r="F195" s="75"/>
      <c r="G195" s="75"/>
      <c r="H195" s="75"/>
      <c r="I195" s="75"/>
      <c r="J195" s="69"/>
      <c r="K195" s="70"/>
    </row>
    <row r="196" spans="1:11">
      <c r="A196" s="65"/>
      <c r="B196" s="75"/>
      <c r="C196" s="87"/>
      <c r="D196" s="66"/>
      <c r="E196" s="111"/>
      <c r="F196" s="75"/>
      <c r="G196" s="75"/>
      <c r="H196" s="75"/>
      <c r="I196" s="75"/>
      <c r="J196" s="70"/>
      <c r="K196" s="70"/>
    </row>
    <row r="197" spans="1:11">
      <c r="A197" s="65"/>
      <c r="B197" s="75"/>
      <c r="C197" s="87"/>
      <c r="D197" s="66"/>
      <c r="E197" s="111"/>
      <c r="F197" s="75"/>
      <c r="G197" s="75"/>
      <c r="H197" s="75"/>
      <c r="I197" s="75"/>
      <c r="J197" s="70"/>
      <c r="K197" s="70"/>
    </row>
    <row r="198" spans="1:11">
      <c r="A198" s="65"/>
      <c r="B198" s="75"/>
      <c r="C198" s="87"/>
      <c r="D198" s="66"/>
      <c r="E198" s="111"/>
      <c r="F198" s="75"/>
      <c r="G198" s="75"/>
      <c r="H198" s="75"/>
      <c r="I198" s="75"/>
      <c r="J198" s="69"/>
      <c r="K198" s="70"/>
    </row>
    <row r="199" spans="1:11">
      <c r="A199" s="65"/>
      <c r="B199" s="75"/>
      <c r="C199" s="87"/>
      <c r="D199" s="66"/>
      <c r="E199" s="111"/>
      <c r="F199" s="75"/>
      <c r="G199" s="75"/>
      <c r="H199" s="75"/>
      <c r="I199" s="75"/>
      <c r="J199" s="69"/>
      <c r="K199" s="70"/>
    </row>
    <row r="200" spans="1:11">
      <c r="A200" s="65"/>
      <c r="B200" s="75"/>
      <c r="C200" s="87"/>
      <c r="D200" s="66"/>
      <c r="E200" s="111"/>
      <c r="F200" s="75"/>
      <c r="G200" s="75"/>
      <c r="H200" s="75"/>
      <c r="I200" s="75"/>
      <c r="J200" s="69"/>
      <c r="K200" s="70"/>
    </row>
    <row r="201" spans="1:11">
      <c r="A201" s="65"/>
      <c r="B201" s="75"/>
      <c r="C201" s="87"/>
      <c r="D201" s="66"/>
      <c r="E201" s="111"/>
      <c r="F201" s="75"/>
      <c r="G201" s="75"/>
      <c r="H201" s="75"/>
      <c r="I201" s="75"/>
      <c r="J201" s="69"/>
      <c r="K201" s="70"/>
    </row>
    <row r="202" spans="1:11">
      <c r="A202" s="65"/>
      <c r="B202" s="75"/>
      <c r="C202" s="87"/>
      <c r="D202" s="66"/>
      <c r="E202" s="111"/>
      <c r="F202" s="75"/>
      <c r="G202" s="75"/>
      <c r="H202" s="75"/>
      <c r="I202" s="75"/>
      <c r="J202" s="69"/>
      <c r="K202" s="70"/>
    </row>
    <row r="203" spans="1:11">
      <c r="A203" s="65"/>
      <c r="B203" s="75"/>
      <c r="C203" s="87"/>
      <c r="D203" s="66"/>
      <c r="E203" s="111"/>
      <c r="F203" s="75"/>
      <c r="G203" s="75"/>
      <c r="H203" s="75"/>
      <c r="I203" s="75"/>
      <c r="J203" s="69"/>
      <c r="K203" s="70"/>
    </row>
    <row r="204" spans="1:11">
      <c r="A204" s="65"/>
      <c r="B204" s="75"/>
      <c r="C204" s="87"/>
      <c r="D204" s="66"/>
      <c r="E204" s="111"/>
      <c r="F204" s="75"/>
      <c r="G204" s="75"/>
      <c r="H204" s="75"/>
      <c r="I204" s="75"/>
      <c r="J204" s="69"/>
      <c r="K204" s="70"/>
    </row>
    <row r="205" spans="1:11">
      <c r="A205" s="65"/>
      <c r="B205" s="75"/>
      <c r="C205" s="87"/>
      <c r="D205" s="66"/>
      <c r="E205" s="111"/>
      <c r="F205" s="75"/>
      <c r="G205" s="75"/>
      <c r="H205" s="75"/>
      <c r="I205" s="75"/>
      <c r="J205" s="69"/>
      <c r="K205" s="70"/>
    </row>
    <row r="206" spans="1:11">
      <c r="A206" s="65"/>
      <c r="B206" s="75"/>
      <c r="C206" s="87"/>
      <c r="D206" s="66"/>
      <c r="E206" s="111"/>
      <c r="F206" s="75"/>
      <c r="G206" s="75"/>
      <c r="H206" s="75"/>
      <c r="I206" s="75"/>
      <c r="J206" s="69"/>
      <c r="K206" s="70"/>
    </row>
    <row r="207" spans="1:11">
      <c r="A207" s="65"/>
      <c r="B207" s="75"/>
      <c r="C207" s="87"/>
      <c r="D207" s="66"/>
      <c r="E207" s="111"/>
      <c r="F207" s="75"/>
      <c r="G207" s="75"/>
      <c r="H207" s="75"/>
      <c r="I207" s="75"/>
      <c r="J207" s="69"/>
      <c r="K207" s="70"/>
    </row>
    <row r="208" spans="1:11">
      <c r="A208" s="65"/>
      <c r="B208" s="75"/>
      <c r="C208" s="87"/>
      <c r="D208" s="66"/>
      <c r="E208" s="111"/>
      <c r="F208" s="75"/>
      <c r="G208" s="75"/>
      <c r="H208" s="75"/>
      <c r="I208" s="75"/>
      <c r="J208" s="69"/>
      <c r="K208" s="70"/>
    </row>
    <row r="209" spans="1:11">
      <c r="A209" s="65"/>
      <c r="B209" s="75"/>
      <c r="C209" s="87"/>
      <c r="D209" s="66"/>
      <c r="E209" s="111"/>
      <c r="F209" s="75"/>
      <c r="G209" s="75"/>
      <c r="H209" s="75"/>
      <c r="I209" s="75"/>
      <c r="J209" s="69"/>
      <c r="K209" s="70"/>
    </row>
    <row r="210" spans="1:11">
      <c r="A210" s="65"/>
      <c r="B210" s="75"/>
      <c r="C210" s="87"/>
      <c r="D210" s="66"/>
      <c r="E210" s="111"/>
      <c r="F210" s="75"/>
      <c r="G210" s="75"/>
      <c r="H210" s="75"/>
      <c r="I210" s="75"/>
      <c r="J210" s="70"/>
      <c r="K210" s="70"/>
    </row>
    <row r="211" spans="1:11">
      <c r="A211" s="65"/>
      <c r="B211" s="75"/>
      <c r="C211" s="87"/>
      <c r="D211" s="66"/>
      <c r="E211" s="111"/>
      <c r="F211" s="75"/>
      <c r="G211" s="75"/>
      <c r="H211" s="75"/>
      <c r="I211" s="75"/>
      <c r="J211" s="70"/>
      <c r="K211" s="70"/>
    </row>
    <row r="212" spans="1:11">
      <c r="A212" s="65"/>
      <c r="B212" s="75"/>
      <c r="C212" s="87"/>
      <c r="D212" s="66"/>
      <c r="E212" s="111"/>
      <c r="F212" s="75"/>
      <c r="G212" s="75"/>
      <c r="H212" s="75"/>
      <c r="I212" s="75"/>
      <c r="J212" s="70"/>
      <c r="K212" s="70"/>
    </row>
    <row r="213" spans="1:11">
      <c r="A213" s="65"/>
      <c r="B213" s="75"/>
      <c r="C213" s="87"/>
      <c r="D213" s="66"/>
      <c r="E213" s="111"/>
      <c r="F213" s="75"/>
      <c r="G213" s="75"/>
      <c r="H213" s="75"/>
      <c r="I213" s="75"/>
      <c r="J213" s="69"/>
      <c r="K213" s="70"/>
    </row>
    <row r="214" spans="1:11">
      <c r="A214" s="65"/>
      <c r="B214" s="75"/>
      <c r="C214" s="87"/>
      <c r="D214" s="66"/>
      <c r="E214" s="111"/>
      <c r="F214" s="75"/>
      <c r="G214" s="75"/>
      <c r="H214" s="75"/>
      <c r="I214" s="75"/>
      <c r="J214" s="69"/>
      <c r="K214" s="70"/>
    </row>
    <row r="215" spans="1:11">
      <c r="A215" s="65"/>
      <c r="B215" s="75"/>
      <c r="C215" s="87"/>
      <c r="D215" s="66"/>
      <c r="E215" s="111"/>
      <c r="F215" s="75"/>
      <c r="G215" s="75"/>
      <c r="H215" s="75"/>
      <c r="I215" s="75"/>
      <c r="J215" s="69"/>
      <c r="K215" s="70"/>
    </row>
    <row r="216" spans="1:11">
      <c r="A216" s="65"/>
      <c r="B216" s="75"/>
      <c r="C216" s="87"/>
      <c r="D216" s="66"/>
      <c r="E216" s="111"/>
      <c r="F216" s="75"/>
      <c r="G216" s="75"/>
      <c r="H216" s="75"/>
      <c r="I216" s="75"/>
      <c r="J216" s="70"/>
      <c r="K216" s="70"/>
    </row>
    <row r="217" spans="1:11">
      <c r="A217" s="65"/>
      <c r="B217" s="75"/>
      <c r="C217" s="87"/>
      <c r="D217" s="66"/>
      <c r="E217" s="111"/>
      <c r="F217" s="75"/>
      <c r="G217" s="75"/>
      <c r="H217" s="75"/>
      <c r="I217" s="75"/>
      <c r="J217" s="70"/>
      <c r="K217" s="70"/>
    </row>
    <row r="218" spans="1:11">
      <c r="A218" s="65"/>
      <c r="B218" s="75"/>
      <c r="C218" s="87"/>
      <c r="D218" s="66"/>
      <c r="E218" s="111"/>
      <c r="F218" s="75"/>
      <c r="G218" s="75"/>
      <c r="H218" s="75"/>
      <c r="I218" s="75"/>
      <c r="J218" s="70"/>
      <c r="K218" s="70"/>
    </row>
    <row r="219" spans="1:11">
      <c r="A219" s="65"/>
      <c r="B219" s="75"/>
      <c r="C219" s="87"/>
      <c r="D219" s="66"/>
      <c r="E219" s="111"/>
      <c r="F219" s="75"/>
      <c r="G219" s="75"/>
      <c r="H219" s="75"/>
      <c r="I219" s="75"/>
      <c r="J219" s="69"/>
      <c r="K219" s="70"/>
    </row>
    <row r="220" spans="1:11">
      <c r="A220" s="65"/>
      <c r="B220" s="75"/>
      <c r="C220" s="87"/>
      <c r="D220" s="66"/>
      <c r="E220" s="111"/>
      <c r="F220" s="75"/>
      <c r="G220" s="75"/>
      <c r="H220" s="75"/>
      <c r="I220" s="75"/>
      <c r="J220" s="69"/>
      <c r="K220" s="70"/>
    </row>
    <row r="221" spans="1:11">
      <c r="A221" s="65"/>
      <c r="B221" s="75"/>
      <c r="C221" s="87"/>
      <c r="D221" s="66"/>
      <c r="E221" s="111"/>
      <c r="F221" s="75"/>
      <c r="G221" s="75"/>
      <c r="H221" s="75"/>
      <c r="I221" s="75"/>
      <c r="J221" s="69"/>
      <c r="K221" s="70"/>
    </row>
    <row r="222" spans="1:11">
      <c r="A222" s="65"/>
      <c r="B222" s="75"/>
      <c r="C222" s="87"/>
      <c r="D222" s="66"/>
      <c r="E222" s="111"/>
      <c r="F222" s="75"/>
      <c r="G222" s="75"/>
      <c r="H222" s="75"/>
      <c r="I222" s="75"/>
      <c r="J222" s="70"/>
      <c r="K222" s="70"/>
    </row>
    <row r="223" spans="1:11">
      <c r="A223" s="65"/>
      <c r="B223" s="75"/>
      <c r="C223" s="87"/>
      <c r="D223" s="66"/>
      <c r="E223" s="111"/>
      <c r="F223" s="75"/>
      <c r="G223" s="75"/>
      <c r="H223" s="75"/>
      <c r="I223" s="75"/>
      <c r="J223" s="70"/>
      <c r="K223" s="70"/>
    </row>
    <row r="224" spans="1:11">
      <c r="A224" s="65"/>
      <c r="B224" s="75"/>
      <c r="C224" s="87"/>
      <c r="D224" s="66"/>
      <c r="E224" s="111"/>
      <c r="F224" s="75"/>
      <c r="G224" s="75"/>
      <c r="H224" s="75"/>
      <c r="I224" s="75"/>
      <c r="J224" s="69"/>
      <c r="K224" s="70"/>
    </row>
    <row r="225" spans="1:11">
      <c r="A225" s="65"/>
      <c r="B225" s="75"/>
      <c r="C225" s="87"/>
      <c r="D225" s="66"/>
      <c r="E225" s="111"/>
      <c r="F225" s="75"/>
      <c r="G225" s="75"/>
      <c r="H225" s="75"/>
      <c r="I225" s="75"/>
      <c r="J225" s="69"/>
      <c r="K225" s="70"/>
    </row>
    <row r="226" spans="1:11">
      <c r="A226" s="65"/>
      <c r="B226" s="75"/>
      <c r="C226" s="87"/>
      <c r="D226" s="66"/>
      <c r="E226" s="111"/>
      <c r="F226" s="75"/>
      <c r="G226" s="75"/>
      <c r="H226" s="75"/>
      <c r="I226" s="75"/>
      <c r="J226" s="70"/>
      <c r="K226" s="70"/>
    </row>
    <row r="227" spans="1:11">
      <c r="A227" s="65"/>
      <c r="B227" s="75"/>
      <c r="C227" s="87"/>
      <c r="D227" s="66"/>
      <c r="E227" s="111"/>
      <c r="F227" s="75"/>
      <c r="G227" s="75"/>
      <c r="H227" s="75"/>
      <c r="I227" s="75"/>
      <c r="J227" s="70"/>
      <c r="K227" s="70"/>
    </row>
    <row r="228" spans="1:11">
      <c r="A228" s="65"/>
      <c r="B228" s="75"/>
      <c r="C228" s="87"/>
      <c r="D228" s="66"/>
      <c r="E228" s="111"/>
      <c r="F228" s="75"/>
      <c r="G228" s="75"/>
      <c r="H228" s="75"/>
      <c r="I228" s="75"/>
      <c r="J228" s="70"/>
      <c r="K228" s="70"/>
    </row>
    <row r="229" spans="1:11">
      <c r="A229" s="65"/>
      <c r="B229" s="75"/>
      <c r="C229" s="87"/>
      <c r="D229" s="66"/>
      <c r="E229" s="111"/>
      <c r="F229" s="75"/>
      <c r="G229" s="75"/>
      <c r="H229" s="75"/>
      <c r="I229" s="75"/>
      <c r="J229" s="70"/>
      <c r="K229" s="70"/>
    </row>
    <row r="230" spans="1:11">
      <c r="A230" s="65"/>
      <c r="B230" s="75"/>
      <c r="C230" s="87"/>
      <c r="D230" s="66"/>
      <c r="E230" s="111"/>
      <c r="F230" s="75"/>
      <c r="G230" s="75"/>
      <c r="H230" s="75"/>
      <c r="I230" s="75"/>
      <c r="J230" s="69"/>
      <c r="K230" s="70"/>
    </row>
    <row r="231" spans="1:11">
      <c r="A231" s="65"/>
      <c r="B231" s="75"/>
      <c r="C231" s="87"/>
      <c r="D231" s="66"/>
      <c r="E231" s="111"/>
      <c r="F231" s="75"/>
      <c r="G231" s="75"/>
      <c r="H231" s="75"/>
      <c r="I231" s="75"/>
      <c r="J231" s="69"/>
      <c r="K231" s="70"/>
    </row>
    <row r="232" spans="1:11">
      <c r="A232" s="65"/>
      <c r="B232" s="75"/>
      <c r="C232" s="87"/>
      <c r="D232" s="66"/>
      <c r="E232" s="111"/>
      <c r="F232" s="75"/>
      <c r="G232" s="75"/>
      <c r="H232" s="75"/>
      <c r="I232" s="75"/>
      <c r="J232" s="69"/>
      <c r="K232" s="70"/>
    </row>
    <row r="233" spans="1:11">
      <c r="A233" s="65"/>
      <c r="B233" s="75"/>
      <c r="C233" s="87"/>
      <c r="D233" s="66"/>
      <c r="E233" s="111"/>
      <c r="F233" s="75"/>
      <c r="G233" s="75"/>
      <c r="H233" s="75"/>
      <c r="I233" s="75"/>
      <c r="J233" s="69"/>
      <c r="K233" s="70"/>
    </row>
    <row r="234" spans="1:11">
      <c r="A234" s="65"/>
      <c r="B234" s="75"/>
      <c r="C234" s="87"/>
      <c r="D234" s="66"/>
      <c r="E234" s="111"/>
      <c r="F234" s="75"/>
      <c r="G234" s="75"/>
      <c r="H234" s="75"/>
      <c r="I234" s="75"/>
      <c r="J234" s="69"/>
      <c r="K234" s="70"/>
    </row>
    <row r="235" spans="1:11">
      <c r="A235" s="65"/>
      <c r="B235" s="75"/>
      <c r="C235" s="87"/>
      <c r="D235" s="66"/>
      <c r="E235" s="111"/>
      <c r="F235" s="75"/>
      <c r="G235" s="75"/>
      <c r="H235" s="75"/>
      <c r="I235" s="75"/>
      <c r="J235" s="69"/>
      <c r="K235" s="70"/>
    </row>
    <row r="236" spans="1:11">
      <c r="A236" s="65"/>
      <c r="B236" s="75"/>
      <c r="C236" s="87"/>
      <c r="D236" s="66"/>
      <c r="E236" s="111"/>
      <c r="F236" s="75"/>
      <c r="G236" s="75"/>
      <c r="H236" s="75"/>
      <c r="I236" s="75"/>
      <c r="J236" s="69"/>
      <c r="K236" s="70"/>
    </row>
    <row r="237" spans="1:11">
      <c r="A237" s="65"/>
      <c r="B237" s="75"/>
      <c r="C237" s="87"/>
      <c r="D237" s="66"/>
      <c r="E237" s="111"/>
      <c r="F237" s="75"/>
      <c r="G237" s="75"/>
      <c r="H237" s="75"/>
      <c r="I237" s="75"/>
      <c r="J237" s="69"/>
      <c r="K237" s="70"/>
    </row>
    <row r="238" spans="1:11">
      <c r="A238" s="65"/>
      <c r="B238" s="75"/>
      <c r="C238" s="87"/>
      <c r="D238" s="66"/>
      <c r="E238" s="111"/>
      <c r="F238" s="75"/>
      <c r="G238" s="75"/>
      <c r="H238" s="75"/>
      <c r="I238" s="75"/>
      <c r="J238" s="69"/>
      <c r="K238" s="70"/>
    </row>
    <row r="239" spans="1:11">
      <c r="A239" s="65"/>
      <c r="B239" s="75"/>
      <c r="C239" s="87"/>
      <c r="D239" s="66"/>
      <c r="E239" s="111"/>
      <c r="F239" s="75"/>
      <c r="G239" s="75"/>
      <c r="H239" s="75"/>
      <c r="I239" s="75"/>
      <c r="J239" s="69"/>
      <c r="K239" s="70"/>
    </row>
    <row r="240" spans="1:11">
      <c r="A240" s="65"/>
      <c r="B240" s="75"/>
      <c r="C240" s="87"/>
      <c r="D240" s="66"/>
      <c r="E240" s="111"/>
      <c r="F240" s="75"/>
      <c r="G240" s="75"/>
      <c r="H240" s="75"/>
      <c r="I240" s="75"/>
      <c r="J240" s="69"/>
      <c r="K240" s="70"/>
    </row>
    <row r="241" spans="1:11">
      <c r="A241" s="65"/>
      <c r="B241" s="75"/>
      <c r="C241" s="87"/>
      <c r="D241" s="66"/>
      <c r="E241" s="111"/>
      <c r="F241" s="75"/>
      <c r="G241" s="75"/>
      <c r="H241" s="75"/>
      <c r="I241" s="75"/>
      <c r="J241" s="69"/>
      <c r="K241" s="70"/>
    </row>
    <row r="242" spans="1:11">
      <c r="A242" s="65"/>
      <c r="B242" s="75"/>
      <c r="C242" s="87"/>
      <c r="D242" s="66"/>
      <c r="E242" s="111"/>
      <c r="F242" s="75"/>
      <c r="G242" s="75"/>
      <c r="H242" s="75"/>
      <c r="I242" s="75"/>
      <c r="J242" s="69"/>
      <c r="K242" s="70"/>
    </row>
    <row r="243" spans="1:11">
      <c r="A243" s="65"/>
      <c r="B243" s="75"/>
      <c r="C243" s="87"/>
      <c r="D243" s="66"/>
      <c r="E243" s="111"/>
      <c r="F243" s="75"/>
      <c r="G243" s="75"/>
      <c r="H243" s="75"/>
      <c r="I243" s="75"/>
      <c r="J243" s="69"/>
      <c r="K243" s="70"/>
    </row>
    <row r="244" spans="1:11">
      <c r="A244" s="65"/>
      <c r="B244" s="75"/>
      <c r="C244" s="87"/>
      <c r="D244" s="66"/>
      <c r="E244" s="111"/>
      <c r="F244" s="75"/>
      <c r="G244" s="75"/>
      <c r="H244" s="75"/>
      <c r="I244" s="75"/>
      <c r="J244" s="70"/>
      <c r="K244" s="70"/>
    </row>
    <row r="245" spans="1:11">
      <c r="A245" s="65"/>
      <c r="B245" s="75"/>
      <c r="C245" s="87"/>
      <c r="D245" s="66"/>
      <c r="E245" s="111"/>
      <c r="F245" s="75"/>
      <c r="G245" s="75"/>
      <c r="H245" s="75"/>
      <c r="I245" s="75"/>
      <c r="J245" s="69"/>
      <c r="K245" s="70"/>
    </row>
    <row r="246" spans="1:11">
      <c r="A246" s="65"/>
      <c r="B246" s="75"/>
      <c r="C246" s="87"/>
      <c r="D246" s="66"/>
      <c r="E246" s="111"/>
      <c r="F246" s="75"/>
      <c r="G246" s="75"/>
      <c r="H246" s="75"/>
      <c r="I246" s="75"/>
      <c r="J246" s="69"/>
      <c r="K246" s="70"/>
    </row>
    <row r="247" spans="1:11">
      <c r="A247" s="65"/>
      <c r="B247" s="75"/>
      <c r="C247" s="87"/>
      <c r="D247" s="66"/>
      <c r="E247" s="111"/>
      <c r="F247" s="75"/>
      <c r="G247" s="75"/>
      <c r="H247" s="75"/>
      <c r="I247" s="75"/>
      <c r="J247" s="69"/>
      <c r="K247" s="70"/>
    </row>
    <row r="248" spans="1:11">
      <c r="A248" s="65"/>
      <c r="B248" s="75"/>
      <c r="C248" s="87"/>
      <c r="D248" s="66"/>
      <c r="E248" s="111"/>
      <c r="F248" s="75"/>
      <c r="G248" s="75"/>
      <c r="H248" s="75"/>
      <c r="I248" s="75"/>
      <c r="J248" s="69"/>
      <c r="K248" s="70"/>
    </row>
    <row r="249" spans="1:11">
      <c r="A249" s="65"/>
      <c r="B249" s="75"/>
      <c r="C249" s="87"/>
      <c r="D249" s="66"/>
      <c r="E249" s="111"/>
      <c r="F249" s="75"/>
      <c r="G249" s="75"/>
      <c r="H249" s="75"/>
      <c r="I249" s="75"/>
      <c r="J249" s="69"/>
      <c r="K249" s="70"/>
    </row>
    <row r="250" spans="1:11">
      <c r="A250" s="65"/>
      <c r="B250" s="75"/>
      <c r="C250" s="87"/>
      <c r="D250" s="66"/>
      <c r="E250" s="111"/>
      <c r="F250" s="75"/>
      <c r="G250" s="75"/>
      <c r="H250" s="75"/>
      <c r="I250" s="75"/>
      <c r="J250" s="69"/>
      <c r="K250" s="70"/>
    </row>
    <row r="251" spans="1:11">
      <c r="A251" s="65"/>
      <c r="B251" s="75"/>
      <c r="C251" s="87"/>
      <c r="D251" s="66"/>
      <c r="E251" s="111"/>
      <c r="F251" s="75"/>
      <c r="G251" s="75"/>
      <c r="H251" s="75"/>
      <c r="I251" s="75"/>
      <c r="J251" s="70"/>
      <c r="K251" s="70"/>
    </row>
    <row r="252" spans="1:11">
      <c r="A252" s="65"/>
      <c r="B252" s="75"/>
      <c r="C252" s="87"/>
      <c r="D252" s="66"/>
      <c r="E252" s="111"/>
      <c r="F252" s="75"/>
      <c r="G252" s="75"/>
      <c r="H252" s="75"/>
      <c r="I252" s="75"/>
      <c r="J252" s="70"/>
      <c r="K252" s="70"/>
    </row>
    <row r="253" spans="1:11">
      <c r="A253" s="65"/>
      <c r="B253" s="75"/>
      <c r="C253" s="87"/>
      <c r="D253" s="66"/>
      <c r="E253" s="111"/>
      <c r="F253" s="75"/>
      <c r="G253" s="75"/>
      <c r="H253" s="75"/>
      <c r="I253" s="75"/>
      <c r="J253" s="70"/>
      <c r="K253" s="70"/>
    </row>
    <row r="254" spans="1:11">
      <c r="A254" s="65"/>
      <c r="B254" s="75"/>
      <c r="C254" s="87"/>
      <c r="D254" s="66"/>
      <c r="E254" s="111"/>
      <c r="F254" s="75"/>
      <c r="G254" s="75"/>
      <c r="H254" s="75"/>
      <c r="I254" s="75"/>
      <c r="J254" s="70"/>
      <c r="K254" s="70"/>
    </row>
    <row r="255" spans="1:11">
      <c r="A255" s="65"/>
      <c r="B255" s="75"/>
      <c r="C255" s="87"/>
      <c r="D255" s="66"/>
      <c r="E255" s="111"/>
      <c r="F255" s="75"/>
      <c r="G255" s="75"/>
      <c r="H255" s="75"/>
      <c r="I255" s="75"/>
      <c r="J255" s="70"/>
      <c r="K255" s="70"/>
    </row>
    <row r="256" spans="1:11">
      <c r="A256" s="65"/>
      <c r="B256" s="75"/>
      <c r="C256" s="87"/>
      <c r="D256" s="66"/>
      <c r="E256" s="111"/>
      <c r="F256" s="75"/>
      <c r="G256" s="75"/>
      <c r="H256" s="75"/>
      <c r="I256" s="75"/>
      <c r="J256" s="70"/>
      <c r="K256" s="70"/>
    </row>
    <row r="257" spans="1:11">
      <c r="A257" s="65"/>
      <c r="B257" s="75"/>
      <c r="C257" s="87"/>
      <c r="D257" s="66"/>
      <c r="E257" s="111"/>
      <c r="F257" s="75"/>
      <c r="G257" s="75"/>
      <c r="H257" s="75"/>
      <c r="I257" s="75"/>
      <c r="J257" s="70"/>
      <c r="K257" s="70"/>
    </row>
    <row r="258" spans="1:11">
      <c r="A258" s="65"/>
      <c r="B258" s="75"/>
      <c r="C258" s="87"/>
      <c r="D258" s="66"/>
      <c r="E258" s="111"/>
      <c r="F258" s="75"/>
      <c r="G258" s="75"/>
      <c r="H258" s="75"/>
      <c r="I258" s="75"/>
      <c r="J258" s="70"/>
      <c r="K258" s="70"/>
    </row>
    <row r="259" spans="1:11">
      <c r="A259" s="65"/>
      <c r="B259" s="75"/>
      <c r="C259" s="87"/>
      <c r="D259" s="66"/>
      <c r="E259" s="111"/>
      <c r="F259" s="75"/>
      <c r="G259" s="75"/>
      <c r="H259" s="75"/>
      <c r="I259" s="75"/>
      <c r="J259" s="70"/>
      <c r="K259" s="70"/>
    </row>
    <row r="260" spans="1:11">
      <c r="A260" s="65"/>
      <c r="B260" s="75"/>
      <c r="C260" s="87"/>
      <c r="D260" s="66"/>
      <c r="E260" s="111"/>
      <c r="F260" s="75"/>
      <c r="G260" s="75"/>
      <c r="H260" s="75"/>
      <c r="I260" s="75"/>
      <c r="J260" s="70"/>
      <c r="K260" s="70"/>
    </row>
    <row r="261" spans="1:11">
      <c r="A261" s="65"/>
      <c r="B261" s="75"/>
      <c r="C261" s="87"/>
      <c r="D261" s="66"/>
      <c r="E261" s="111"/>
      <c r="F261" s="75"/>
      <c r="G261" s="75"/>
      <c r="H261" s="75"/>
      <c r="I261" s="75"/>
      <c r="J261" s="70"/>
      <c r="K261" s="70"/>
    </row>
    <row r="262" spans="1:11">
      <c r="A262" s="65"/>
      <c r="B262" s="75"/>
      <c r="C262" s="87"/>
      <c r="D262" s="66"/>
      <c r="E262" s="111"/>
      <c r="F262" s="75"/>
      <c r="G262" s="75"/>
      <c r="H262" s="75"/>
      <c r="I262" s="75"/>
      <c r="J262" s="70"/>
      <c r="K262" s="70"/>
    </row>
    <row r="263" spans="1:11">
      <c r="A263" s="65"/>
      <c r="B263" s="75"/>
      <c r="C263" s="87"/>
      <c r="D263" s="66"/>
      <c r="E263" s="111"/>
      <c r="F263" s="75"/>
      <c r="G263" s="75"/>
      <c r="H263" s="75"/>
      <c r="I263" s="75"/>
      <c r="J263" s="70"/>
      <c r="K263" s="70"/>
    </row>
    <row r="264" spans="1:11">
      <c r="A264" s="65"/>
      <c r="B264" s="75"/>
      <c r="C264" s="87"/>
      <c r="D264" s="66"/>
      <c r="E264" s="111"/>
      <c r="F264" s="75"/>
      <c r="G264" s="75"/>
      <c r="H264" s="75"/>
      <c r="I264" s="75"/>
      <c r="J264" s="70"/>
      <c r="K264" s="70"/>
    </row>
    <row r="265" spans="1:11">
      <c r="A265" s="65"/>
      <c r="B265" s="75"/>
      <c r="C265" s="87"/>
      <c r="D265" s="66"/>
      <c r="E265" s="111"/>
      <c r="F265" s="75"/>
      <c r="G265" s="75"/>
      <c r="H265" s="75"/>
      <c r="I265" s="75"/>
      <c r="J265" s="70"/>
      <c r="K265" s="70"/>
    </row>
    <row r="266" spans="1:11">
      <c r="A266" s="65"/>
      <c r="B266" s="75"/>
      <c r="C266" s="87"/>
      <c r="D266" s="66"/>
      <c r="E266" s="111"/>
      <c r="F266" s="75"/>
      <c r="G266" s="75"/>
      <c r="H266" s="75"/>
      <c r="I266" s="75"/>
      <c r="J266" s="70"/>
      <c r="K266" s="70"/>
    </row>
    <row r="267" spans="1:11">
      <c r="A267" s="65"/>
      <c r="B267" s="75"/>
      <c r="C267" s="87"/>
      <c r="D267" s="66"/>
      <c r="E267" s="111"/>
      <c r="F267" s="75"/>
      <c r="G267" s="75"/>
      <c r="H267" s="75"/>
      <c r="I267" s="75"/>
      <c r="J267" s="70"/>
      <c r="K267" s="70"/>
    </row>
    <row r="268" spans="1:11">
      <c r="A268" s="65"/>
      <c r="B268" s="75"/>
      <c r="C268" s="87"/>
      <c r="D268" s="66"/>
      <c r="E268" s="111"/>
      <c r="F268" s="75"/>
      <c r="G268" s="75"/>
      <c r="H268" s="75"/>
      <c r="I268" s="75"/>
      <c r="J268" s="70"/>
      <c r="K268" s="70"/>
    </row>
    <row r="269" spans="1:11">
      <c r="A269" s="65"/>
      <c r="B269" s="75"/>
      <c r="C269" s="87"/>
      <c r="D269" s="66"/>
      <c r="E269" s="111"/>
      <c r="F269" s="75"/>
      <c r="G269" s="75"/>
      <c r="H269" s="75"/>
      <c r="I269" s="75"/>
      <c r="J269" s="70"/>
      <c r="K269" s="70"/>
    </row>
    <row r="270" spans="1:11">
      <c r="A270" s="65"/>
      <c r="B270" s="75"/>
      <c r="C270" s="87"/>
      <c r="D270" s="66"/>
      <c r="E270" s="111"/>
      <c r="F270" s="75"/>
      <c r="G270" s="75"/>
      <c r="H270" s="75"/>
      <c r="I270" s="75"/>
      <c r="J270" s="70"/>
      <c r="K270" s="70"/>
    </row>
    <row r="271" spans="1:11">
      <c r="A271" s="65"/>
      <c r="B271" s="75"/>
      <c r="C271" s="87"/>
      <c r="D271" s="66"/>
      <c r="E271" s="111"/>
      <c r="F271" s="75"/>
      <c r="G271" s="75"/>
      <c r="H271" s="75"/>
      <c r="I271" s="75"/>
      <c r="J271" s="70"/>
      <c r="K271" s="70"/>
    </row>
    <row r="272" spans="1:11">
      <c r="A272" s="65"/>
      <c r="B272" s="75"/>
      <c r="C272" s="87"/>
      <c r="D272" s="66"/>
      <c r="E272" s="111"/>
      <c r="F272" s="75"/>
      <c r="G272" s="75"/>
      <c r="H272" s="75"/>
      <c r="I272" s="75"/>
      <c r="J272" s="70"/>
      <c r="K272" s="70"/>
    </row>
    <row r="273" spans="1:11">
      <c r="A273" s="65"/>
      <c r="B273" s="75"/>
      <c r="C273" s="87"/>
      <c r="D273" s="66"/>
      <c r="E273" s="111"/>
      <c r="F273" s="75"/>
      <c r="G273" s="75"/>
      <c r="H273" s="75"/>
      <c r="I273" s="75"/>
      <c r="J273" s="70"/>
      <c r="K273" s="70"/>
    </row>
    <row r="274" spans="1:11">
      <c r="A274" s="65"/>
      <c r="B274" s="75"/>
      <c r="C274" s="87"/>
      <c r="D274" s="66"/>
      <c r="E274" s="111"/>
      <c r="F274" s="75"/>
      <c r="G274" s="75"/>
      <c r="H274" s="75"/>
      <c r="I274" s="75"/>
      <c r="J274" s="70"/>
      <c r="K274" s="70"/>
    </row>
    <row r="275" spans="1:11">
      <c r="A275" s="65"/>
      <c r="B275" s="75"/>
      <c r="C275" s="87"/>
      <c r="D275" s="66"/>
      <c r="E275" s="111"/>
      <c r="F275" s="75"/>
      <c r="G275" s="75"/>
      <c r="H275" s="75"/>
      <c r="I275" s="75"/>
      <c r="J275" s="70"/>
      <c r="K275" s="70"/>
    </row>
    <row r="276" spans="1:11">
      <c r="A276" s="65"/>
      <c r="B276" s="75"/>
      <c r="C276" s="87"/>
      <c r="D276" s="66"/>
      <c r="E276" s="111"/>
      <c r="F276" s="75"/>
      <c r="G276" s="75"/>
      <c r="H276" s="75"/>
      <c r="I276" s="75"/>
      <c r="J276" s="70"/>
      <c r="K276" s="70"/>
    </row>
    <row r="277" spans="1:11">
      <c r="A277" s="65"/>
      <c r="B277" s="75"/>
      <c r="C277" s="87"/>
      <c r="D277" s="66"/>
      <c r="E277" s="111"/>
      <c r="F277" s="75"/>
      <c r="G277" s="75"/>
      <c r="H277" s="75"/>
      <c r="I277" s="75"/>
      <c r="J277" s="70"/>
      <c r="K277" s="70"/>
    </row>
    <row r="278" spans="1:11">
      <c r="A278" s="65"/>
      <c r="B278" s="75"/>
      <c r="C278" s="87"/>
      <c r="D278" s="66"/>
      <c r="E278" s="111"/>
      <c r="F278" s="75"/>
      <c r="G278" s="75"/>
      <c r="H278" s="75"/>
      <c r="I278" s="75"/>
      <c r="J278" s="70"/>
      <c r="K278" s="70"/>
    </row>
    <row r="279" spans="1:11">
      <c r="A279" s="65"/>
      <c r="B279" s="75"/>
      <c r="C279" s="87"/>
      <c r="D279" s="66"/>
      <c r="E279" s="111"/>
      <c r="F279" s="75"/>
      <c r="G279" s="75"/>
      <c r="H279" s="75"/>
      <c r="I279" s="75"/>
      <c r="J279" s="70"/>
      <c r="K279" s="70"/>
    </row>
    <row r="280" spans="1:11">
      <c r="A280" s="65"/>
      <c r="B280" s="75"/>
      <c r="C280" s="87"/>
      <c r="D280" s="66"/>
      <c r="E280" s="111"/>
      <c r="F280" s="75"/>
      <c r="G280" s="75"/>
      <c r="H280" s="75"/>
      <c r="I280" s="75"/>
      <c r="J280" s="70"/>
      <c r="K280" s="70"/>
    </row>
    <row r="281" spans="1:11">
      <c r="A281" s="65"/>
      <c r="B281" s="75"/>
      <c r="C281" s="87"/>
      <c r="D281" s="66"/>
      <c r="E281" s="111"/>
      <c r="F281" s="75"/>
      <c r="G281" s="75"/>
      <c r="H281" s="75"/>
      <c r="I281" s="75"/>
      <c r="J281" s="70"/>
      <c r="K281" s="70"/>
    </row>
    <row r="282" spans="1:11">
      <c r="A282" s="65"/>
      <c r="B282" s="75"/>
      <c r="C282" s="87"/>
      <c r="D282" s="66"/>
      <c r="E282" s="111"/>
      <c r="F282" s="75"/>
      <c r="G282" s="75"/>
      <c r="H282" s="75"/>
      <c r="I282" s="75"/>
      <c r="J282" s="70"/>
      <c r="K282" s="70"/>
    </row>
    <row r="283" spans="1:11">
      <c r="A283" s="65"/>
      <c r="B283" s="75"/>
      <c r="C283" s="87"/>
      <c r="D283" s="66"/>
      <c r="E283" s="111"/>
      <c r="F283" s="75"/>
      <c r="G283" s="75"/>
      <c r="H283" s="75"/>
      <c r="I283" s="75"/>
      <c r="J283" s="70"/>
      <c r="K283" s="70"/>
    </row>
    <row r="284" spans="1:11">
      <c r="A284" s="65"/>
      <c r="B284" s="75"/>
      <c r="C284" s="87"/>
      <c r="D284" s="66"/>
      <c r="E284" s="111"/>
      <c r="F284" s="75"/>
      <c r="G284" s="75"/>
      <c r="H284" s="75"/>
      <c r="I284" s="75"/>
      <c r="J284" s="70"/>
      <c r="K284" s="70"/>
    </row>
    <row r="285" spans="1:11">
      <c r="A285" s="65"/>
      <c r="B285" s="75"/>
      <c r="C285" s="87"/>
      <c r="D285" s="66"/>
      <c r="E285" s="111"/>
      <c r="F285" s="75"/>
      <c r="G285" s="75"/>
      <c r="H285" s="75"/>
      <c r="I285" s="75"/>
      <c r="J285" s="70"/>
      <c r="K285" s="70"/>
    </row>
    <row r="286" spans="1:11">
      <c r="A286" s="65"/>
      <c r="B286" s="75"/>
      <c r="C286" s="87"/>
      <c r="D286" s="66"/>
      <c r="E286" s="111"/>
      <c r="F286" s="75"/>
      <c r="G286" s="75"/>
      <c r="H286" s="75"/>
      <c r="I286" s="75"/>
      <c r="J286" s="70"/>
      <c r="K286" s="70"/>
    </row>
    <row r="287" spans="1:11">
      <c r="A287" s="65"/>
      <c r="B287" s="75"/>
      <c r="C287" s="87"/>
      <c r="D287" s="66"/>
      <c r="E287" s="111"/>
      <c r="F287" s="75"/>
      <c r="G287" s="75"/>
      <c r="H287" s="75"/>
      <c r="I287" s="75"/>
      <c r="J287" s="70"/>
      <c r="K287" s="70"/>
    </row>
    <row r="288" spans="1:11">
      <c r="A288" s="65"/>
      <c r="B288" s="75"/>
      <c r="C288" s="87"/>
      <c r="D288" s="66"/>
      <c r="E288" s="111"/>
      <c r="F288" s="75"/>
      <c r="G288" s="75"/>
      <c r="H288" s="75"/>
      <c r="I288" s="75"/>
      <c r="J288" s="70"/>
      <c r="K288" s="70"/>
    </row>
    <row r="289" spans="1:11">
      <c r="A289" s="65"/>
      <c r="B289" s="75"/>
      <c r="C289" s="87"/>
      <c r="D289" s="66"/>
      <c r="E289" s="111"/>
      <c r="F289" s="75"/>
      <c r="G289" s="75"/>
      <c r="H289" s="75"/>
      <c r="I289" s="75"/>
      <c r="J289" s="70"/>
      <c r="K289" s="70"/>
    </row>
    <row r="290" spans="1:11">
      <c r="A290" s="65"/>
      <c r="B290" s="75"/>
      <c r="C290" s="87"/>
      <c r="D290" s="66"/>
      <c r="E290" s="111"/>
      <c r="F290" s="75"/>
      <c r="G290" s="75"/>
      <c r="H290" s="75"/>
      <c r="I290" s="75"/>
      <c r="J290" s="70"/>
      <c r="K290" s="70"/>
    </row>
    <row r="291" spans="1:11">
      <c r="A291" s="65"/>
      <c r="B291" s="75"/>
      <c r="C291" s="87"/>
      <c r="D291" s="66"/>
      <c r="E291" s="111"/>
      <c r="F291" s="75"/>
      <c r="G291" s="75"/>
      <c r="H291" s="75"/>
      <c r="I291" s="75"/>
      <c r="J291" s="70"/>
      <c r="K291" s="70"/>
    </row>
    <row r="292" spans="1:11">
      <c r="A292" s="65"/>
      <c r="B292" s="75"/>
      <c r="C292" s="87"/>
      <c r="D292" s="66"/>
      <c r="E292" s="111"/>
      <c r="F292" s="75"/>
      <c r="G292" s="75"/>
      <c r="H292" s="75"/>
      <c r="I292" s="75"/>
      <c r="J292" s="70"/>
      <c r="K292" s="70"/>
    </row>
    <row r="293" spans="1:11">
      <c r="A293" s="65"/>
      <c r="B293" s="75"/>
      <c r="C293" s="87"/>
      <c r="D293" s="66"/>
      <c r="E293" s="111"/>
      <c r="F293" s="75"/>
      <c r="G293" s="75"/>
      <c r="H293" s="75"/>
      <c r="I293" s="75"/>
      <c r="J293" s="70"/>
      <c r="K293" s="70"/>
    </row>
    <row r="294" spans="1:11">
      <c r="A294" s="65"/>
      <c r="B294" s="75"/>
      <c r="C294" s="87"/>
      <c r="D294" s="66"/>
      <c r="E294" s="111"/>
      <c r="F294" s="75"/>
      <c r="G294" s="75"/>
      <c r="H294" s="75"/>
      <c r="I294" s="75"/>
      <c r="J294" s="70"/>
      <c r="K294" s="70"/>
    </row>
    <row r="295" spans="1:11">
      <c r="A295" s="65"/>
      <c r="B295" s="75"/>
      <c r="C295" s="87"/>
      <c r="D295" s="66"/>
      <c r="E295" s="111"/>
      <c r="F295" s="75"/>
      <c r="G295" s="75"/>
      <c r="H295" s="75"/>
      <c r="I295" s="75"/>
      <c r="J295" s="70"/>
      <c r="K295" s="70"/>
    </row>
    <row r="296" spans="1:11">
      <c r="A296" s="65"/>
      <c r="B296" s="75"/>
      <c r="C296" s="87"/>
      <c r="D296" s="66"/>
      <c r="E296" s="111"/>
      <c r="F296" s="75"/>
      <c r="G296" s="75"/>
      <c r="H296" s="75"/>
      <c r="I296" s="75"/>
      <c r="J296" s="70"/>
      <c r="K296" s="70"/>
    </row>
    <row r="297" spans="1:11">
      <c r="A297" s="65"/>
      <c r="B297" s="75"/>
      <c r="C297" s="87"/>
      <c r="D297" s="66"/>
      <c r="E297" s="111"/>
      <c r="F297" s="75"/>
      <c r="G297" s="75"/>
      <c r="H297" s="75"/>
      <c r="I297" s="75"/>
      <c r="J297" s="70"/>
      <c r="K297" s="70"/>
    </row>
    <row r="298" spans="1:11">
      <c r="A298" s="65"/>
      <c r="B298" s="75"/>
      <c r="C298" s="87"/>
      <c r="D298" s="66"/>
      <c r="E298" s="111"/>
      <c r="F298" s="75"/>
      <c r="G298" s="75"/>
      <c r="H298" s="75"/>
      <c r="I298" s="75"/>
      <c r="J298" s="70"/>
      <c r="K298" s="70"/>
    </row>
    <row r="299" spans="1:11">
      <c r="A299" s="65"/>
      <c r="B299" s="75"/>
      <c r="C299" s="87"/>
      <c r="D299" s="66"/>
      <c r="E299" s="111"/>
      <c r="F299" s="75"/>
      <c r="G299" s="75"/>
      <c r="H299" s="75"/>
      <c r="I299" s="75"/>
      <c r="J299" s="70"/>
      <c r="K299" s="70"/>
    </row>
    <row r="300" spans="1:11">
      <c r="A300" s="65"/>
      <c r="B300" s="75"/>
      <c r="C300" s="87"/>
      <c r="D300" s="66"/>
      <c r="E300" s="111"/>
      <c r="F300" s="75"/>
      <c r="G300" s="75"/>
      <c r="H300" s="75"/>
      <c r="I300" s="75"/>
      <c r="J300" s="70"/>
      <c r="K300" s="70"/>
    </row>
    <row r="301" spans="1:11">
      <c r="A301" s="65"/>
      <c r="B301" s="75"/>
      <c r="C301" s="87"/>
      <c r="D301" s="66"/>
      <c r="E301" s="111"/>
      <c r="F301" s="75"/>
      <c r="G301" s="75"/>
      <c r="H301" s="75"/>
      <c r="I301" s="75"/>
      <c r="J301" s="70"/>
      <c r="K301" s="70"/>
    </row>
    <row r="302" spans="1:11">
      <c r="A302" s="65"/>
      <c r="B302" s="75"/>
      <c r="C302" s="87"/>
      <c r="D302" s="66"/>
      <c r="E302" s="111"/>
      <c r="F302" s="75"/>
      <c r="G302" s="75"/>
      <c r="H302" s="75"/>
      <c r="I302" s="75"/>
      <c r="J302" s="70"/>
      <c r="K302" s="70"/>
    </row>
    <row r="303" spans="1:11">
      <c r="A303" s="65"/>
      <c r="B303" s="75"/>
      <c r="C303" s="87"/>
      <c r="D303" s="66"/>
      <c r="E303" s="111"/>
      <c r="F303" s="75"/>
      <c r="G303" s="75"/>
      <c r="H303" s="75"/>
      <c r="I303" s="75"/>
      <c r="J303" s="70"/>
      <c r="K303" s="70"/>
    </row>
    <row r="304" spans="1:11">
      <c r="A304" s="65"/>
      <c r="B304" s="75"/>
      <c r="C304" s="87"/>
      <c r="D304" s="66"/>
      <c r="E304" s="111"/>
      <c r="F304" s="75"/>
      <c r="G304" s="75"/>
      <c r="H304" s="75"/>
      <c r="I304" s="75"/>
      <c r="J304" s="70"/>
      <c r="K304" s="70"/>
    </row>
    <row r="305" spans="1:11">
      <c r="A305" s="65"/>
      <c r="B305" s="75"/>
      <c r="C305" s="87"/>
      <c r="D305" s="66"/>
      <c r="E305" s="111"/>
      <c r="F305" s="75"/>
      <c r="G305" s="75"/>
      <c r="H305" s="75"/>
      <c r="I305" s="75"/>
      <c r="J305" s="70"/>
      <c r="K305" s="70"/>
    </row>
    <row r="306" spans="1:11">
      <c r="A306" s="65"/>
      <c r="B306" s="75"/>
      <c r="C306" s="87"/>
      <c r="D306" s="66"/>
      <c r="E306" s="111"/>
      <c r="F306" s="75"/>
      <c r="G306" s="75"/>
      <c r="H306" s="75"/>
      <c r="I306" s="75"/>
      <c r="J306" s="70"/>
      <c r="K306" s="70"/>
    </row>
    <row r="307" spans="1:11">
      <c r="A307" s="65"/>
      <c r="B307" s="75"/>
      <c r="C307" s="87"/>
      <c r="D307" s="66"/>
      <c r="E307" s="111"/>
      <c r="F307" s="75"/>
      <c r="G307" s="75"/>
      <c r="H307" s="75"/>
      <c r="I307" s="75"/>
      <c r="J307" s="70"/>
      <c r="K307" s="70"/>
    </row>
    <row r="308" spans="1:11">
      <c r="A308" s="65"/>
      <c r="B308" s="75"/>
      <c r="C308" s="87"/>
      <c r="D308" s="66"/>
      <c r="E308" s="111"/>
      <c r="F308" s="75"/>
      <c r="G308" s="75"/>
      <c r="H308" s="75"/>
      <c r="I308" s="75"/>
      <c r="J308" s="70"/>
      <c r="K308" s="70"/>
    </row>
    <row r="309" spans="1:11">
      <c r="A309" s="65"/>
      <c r="B309" s="75"/>
      <c r="C309" s="87"/>
      <c r="D309" s="66"/>
      <c r="E309" s="111"/>
      <c r="F309" s="75"/>
      <c r="G309" s="75"/>
      <c r="H309" s="75"/>
      <c r="I309" s="75"/>
      <c r="J309" s="70"/>
      <c r="K309" s="70"/>
    </row>
    <row r="310" spans="1:11">
      <c r="A310" s="65"/>
      <c r="B310" s="75"/>
      <c r="C310" s="87"/>
      <c r="D310" s="66"/>
      <c r="E310" s="111"/>
      <c r="F310" s="75"/>
      <c r="G310" s="75"/>
      <c r="H310" s="75"/>
      <c r="I310" s="75"/>
      <c r="J310" s="70"/>
      <c r="K310" s="70"/>
    </row>
    <row r="311" spans="1:11">
      <c r="A311" s="65"/>
      <c r="B311" s="75"/>
      <c r="C311" s="87"/>
      <c r="D311" s="66"/>
      <c r="E311" s="111"/>
      <c r="F311" s="75"/>
      <c r="G311" s="75"/>
      <c r="H311" s="75"/>
      <c r="I311" s="75"/>
      <c r="J311" s="70"/>
      <c r="K311" s="70"/>
    </row>
    <row r="312" spans="1:11">
      <c r="A312" s="65"/>
      <c r="B312" s="75"/>
      <c r="C312" s="87"/>
      <c r="D312" s="66"/>
      <c r="E312" s="111"/>
      <c r="F312" s="75"/>
      <c r="G312" s="75"/>
      <c r="H312" s="75"/>
      <c r="I312" s="75"/>
      <c r="J312" s="70"/>
      <c r="K312" s="70"/>
    </row>
    <row r="313" spans="1:11">
      <c r="A313" s="65"/>
      <c r="B313" s="75"/>
      <c r="C313" s="87"/>
      <c r="D313" s="66"/>
      <c r="E313" s="111"/>
      <c r="F313" s="75"/>
      <c r="G313" s="75"/>
      <c r="H313" s="75"/>
      <c r="I313" s="75"/>
      <c r="J313" s="70"/>
      <c r="K313" s="70"/>
    </row>
    <row r="314" spans="1:11">
      <c r="A314" s="65"/>
      <c r="B314" s="75"/>
      <c r="C314" s="87"/>
      <c r="D314" s="66"/>
      <c r="E314" s="111"/>
      <c r="F314" s="75"/>
      <c r="G314" s="75"/>
      <c r="H314" s="75"/>
      <c r="I314" s="75"/>
      <c r="J314" s="70"/>
      <c r="K314" s="70"/>
    </row>
    <row r="315" spans="1:11">
      <c r="A315" s="65"/>
      <c r="B315" s="75"/>
      <c r="C315" s="87"/>
      <c r="D315" s="66"/>
      <c r="E315" s="111"/>
      <c r="F315" s="75"/>
      <c r="G315" s="75"/>
      <c r="H315" s="75"/>
      <c r="I315" s="75"/>
      <c r="J315" s="70"/>
      <c r="K315" s="70"/>
    </row>
    <row r="316" spans="1:11">
      <c r="A316" s="65"/>
      <c r="B316" s="75"/>
      <c r="C316" s="87"/>
      <c r="D316" s="66"/>
      <c r="E316" s="111"/>
      <c r="F316" s="75"/>
      <c r="G316" s="75"/>
      <c r="H316" s="75"/>
      <c r="I316" s="75"/>
      <c r="J316" s="70"/>
      <c r="K316" s="70"/>
    </row>
    <row r="317" spans="1:11">
      <c r="A317" s="65"/>
      <c r="B317" s="75"/>
      <c r="C317" s="87"/>
      <c r="D317" s="66"/>
      <c r="E317" s="111"/>
      <c r="F317" s="75"/>
      <c r="G317" s="75"/>
      <c r="H317" s="75"/>
      <c r="I317" s="75"/>
      <c r="J317" s="70"/>
      <c r="K317" s="70"/>
    </row>
    <row r="318" spans="1:11">
      <c r="A318" s="65"/>
      <c r="B318" s="75"/>
      <c r="C318" s="87"/>
      <c r="D318" s="66"/>
      <c r="E318" s="111"/>
      <c r="F318" s="75"/>
      <c r="G318" s="75"/>
      <c r="H318" s="75"/>
      <c r="I318" s="75"/>
      <c r="J318" s="70"/>
      <c r="K318" s="70"/>
    </row>
    <row r="319" spans="1:11">
      <c r="A319" s="65"/>
      <c r="B319" s="75"/>
      <c r="C319" s="87"/>
      <c r="D319" s="66"/>
      <c r="E319" s="111"/>
      <c r="F319" s="75"/>
      <c r="G319" s="75"/>
      <c r="H319" s="75"/>
      <c r="I319" s="75"/>
      <c r="J319" s="70"/>
      <c r="K319" s="70"/>
    </row>
    <row r="320" spans="1:11">
      <c r="A320" s="65"/>
      <c r="B320" s="75"/>
      <c r="C320" s="87"/>
      <c r="D320" s="66"/>
      <c r="E320" s="111"/>
      <c r="F320" s="75"/>
      <c r="G320" s="75"/>
      <c r="H320" s="75"/>
      <c r="I320" s="75"/>
      <c r="J320" s="70"/>
      <c r="K320" s="70"/>
    </row>
    <row r="321" spans="1:11">
      <c r="A321" s="65"/>
      <c r="B321" s="75"/>
      <c r="C321" s="87"/>
      <c r="D321" s="66"/>
      <c r="E321" s="111"/>
      <c r="F321" s="75"/>
      <c r="G321" s="75"/>
      <c r="H321" s="75"/>
      <c r="I321" s="75"/>
      <c r="J321" s="70"/>
      <c r="K321" s="70"/>
    </row>
    <row r="322" spans="1:11">
      <c r="A322" s="65"/>
      <c r="B322" s="75"/>
      <c r="C322" s="87"/>
      <c r="D322" s="66"/>
      <c r="E322" s="111"/>
      <c r="F322" s="75"/>
      <c r="G322" s="75"/>
      <c r="H322" s="75"/>
      <c r="I322" s="75"/>
      <c r="J322" s="70"/>
      <c r="K322" s="70"/>
    </row>
    <row r="323" spans="1:11">
      <c r="A323" s="65"/>
      <c r="B323" s="75"/>
      <c r="C323" s="87"/>
      <c r="D323" s="66"/>
      <c r="E323" s="111"/>
      <c r="F323" s="75"/>
      <c r="G323" s="75"/>
      <c r="H323" s="75"/>
      <c r="I323" s="75"/>
      <c r="J323" s="70"/>
      <c r="K323" s="70"/>
    </row>
    <row r="324" spans="1:11">
      <c r="A324" s="65"/>
      <c r="B324" s="75"/>
      <c r="C324" s="87"/>
      <c r="D324" s="66"/>
      <c r="E324" s="111"/>
      <c r="F324" s="75"/>
      <c r="G324" s="75"/>
      <c r="H324" s="75"/>
      <c r="I324" s="75"/>
      <c r="J324" s="70"/>
      <c r="K324" s="70"/>
    </row>
    <row r="325" spans="1:11">
      <c r="A325" s="65"/>
      <c r="B325" s="75"/>
      <c r="C325" s="87"/>
      <c r="D325" s="66"/>
      <c r="E325" s="111"/>
      <c r="F325" s="75"/>
      <c r="G325" s="75"/>
      <c r="H325" s="75"/>
      <c r="I325" s="75"/>
      <c r="J325" s="70"/>
      <c r="K325" s="70"/>
    </row>
    <row r="326" spans="1:11">
      <c r="A326" s="65"/>
      <c r="B326" s="75"/>
      <c r="C326" s="87"/>
      <c r="D326" s="66"/>
      <c r="E326" s="111"/>
      <c r="F326" s="75"/>
      <c r="G326" s="75"/>
      <c r="H326" s="75"/>
      <c r="I326" s="75"/>
      <c r="J326" s="70"/>
      <c r="K326" s="70"/>
    </row>
    <row r="327" spans="1:11">
      <c r="A327" s="65"/>
      <c r="B327" s="75"/>
      <c r="C327" s="87"/>
      <c r="D327" s="66"/>
      <c r="E327" s="111"/>
      <c r="F327" s="75"/>
      <c r="G327" s="75"/>
      <c r="H327" s="75"/>
      <c r="I327" s="75"/>
      <c r="J327" s="70"/>
      <c r="K327" s="70"/>
    </row>
    <row r="328" spans="1:11">
      <c r="A328" s="65"/>
      <c r="B328" s="75"/>
      <c r="C328" s="87"/>
      <c r="D328" s="66"/>
      <c r="E328" s="111"/>
      <c r="F328" s="75"/>
      <c r="G328" s="75"/>
      <c r="H328" s="75"/>
      <c r="I328" s="75"/>
      <c r="J328" s="70"/>
      <c r="K328" s="70"/>
    </row>
    <row r="329" spans="1:11">
      <c r="A329" s="65"/>
      <c r="B329" s="75"/>
      <c r="C329" s="87"/>
      <c r="D329" s="66"/>
      <c r="E329" s="111"/>
      <c r="F329" s="75"/>
      <c r="G329" s="75"/>
      <c r="H329" s="75"/>
      <c r="I329" s="75"/>
      <c r="J329" s="70"/>
      <c r="K329" s="70"/>
    </row>
    <row r="330" spans="1:11">
      <c r="A330" s="65"/>
      <c r="B330" s="75"/>
      <c r="C330" s="87"/>
      <c r="D330" s="66"/>
      <c r="E330" s="111"/>
      <c r="F330" s="75"/>
      <c r="G330" s="75"/>
      <c r="H330" s="75"/>
      <c r="I330" s="75"/>
      <c r="J330" s="70"/>
      <c r="K330" s="70"/>
    </row>
    <row r="331" spans="1:11">
      <c r="A331" s="65"/>
      <c r="B331" s="75"/>
      <c r="C331" s="87"/>
      <c r="D331" s="66"/>
      <c r="E331" s="111"/>
      <c r="F331" s="75"/>
      <c r="G331" s="75"/>
      <c r="H331" s="75"/>
      <c r="I331" s="75"/>
      <c r="J331" s="70"/>
      <c r="K331" s="70"/>
    </row>
    <row r="332" spans="1:11">
      <c r="A332" s="65"/>
      <c r="B332" s="75"/>
      <c r="C332" s="87"/>
      <c r="D332" s="66"/>
      <c r="E332" s="111"/>
      <c r="F332" s="75"/>
      <c r="G332" s="75"/>
      <c r="H332" s="75"/>
      <c r="I332" s="75"/>
      <c r="J332" s="70"/>
      <c r="K332" s="70"/>
    </row>
    <row r="333" spans="1:11">
      <c r="A333" s="65"/>
      <c r="B333" s="75"/>
      <c r="C333" s="87"/>
      <c r="D333" s="66"/>
      <c r="E333" s="111"/>
      <c r="F333" s="75"/>
      <c r="G333" s="75"/>
      <c r="H333" s="75"/>
      <c r="I333" s="75"/>
      <c r="J333" s="70"/>
      <c r="K333" s="70"/>
    </row>
    <row r="334" spans="1:11">
      <c r="A334" s="65"/>
      <c r="B334" s="75"/>
      <c r="C334" s="87"/>
      <c r="D334" s="66"/>
      <c r="E334" s="111"/>
      <c r="F334" s="75"/>
      <c r="G334" s="75"/>
      <c r="H334" s="75"/>
      <c r="I334" s="75"/>
      <c r="J334" s="70"/>
      <c r="K334" s="70"/>
    </row>
    <row r="335" spans="1:11">
      <c r="A335" s="65"/>
      <c r="B335" s="75"/>
      <c r="C335" s="87"/>
      <c r="D335" s="66"/>
      <c r="E335" s="111"/>
      <c r="F335" s="75"/>
      <c r="G335" s="75"/>
      <c r="H335" s="75"/>
      <c r="I335" s="75"/>
      <c r="J335" s="70"/>
      <c r="K335" s="70"/>
    </row>
    <row r="336" spans="1:11">
      <c r="A336" s="65"/>
      <c r="B336" s="75"/>
      <c r="C336" s="87"/>
      <c r="D336" s="66"/>
      <c r="E336" s="111"/>
      <c r="F336" s="75"/>
      <c r="G336" s="75"/>
      <c r="H336" s="75"/>
      <c r="I336" s="75"/>
      <c r="J336" s="70"/>
      <c r="K336" s="70"/>
    </row>
    <row r="337" spans="1:11">
      <c r="A337" s="65"/>
      <c r="B337" s="75"/>
      <c r="C337" s="87"/>
      <c r="D337" s="66"/>
      <c r="E337" s="111"/>
      <c r="F337" s="75"/>
      <c r="G337" s="75"/>
      <c r="H337" s="75"/>
      <c r="I337" s="75"/>
      <c r="J337" s="70"/>
      <c r="K337" s="70"/>
    </row>
    <row r="338" spans="1:11">
      <c r="A338" s="65"/>
      <c r="B338" s="75"/>
      <c r="C338" s="87"/>
      <c r="D338" s="66"/>
      <c r="E338" s="111"/>
      <c r="F338" s="75"/>
      <c r="G338" s="75"/>
      <c r="H338" s="75"/>
      <c r="I338" s="75"/>
      <c r="J338" s="70"/>
      <c r="K338" s="70"/>
    </row>
    <row r="339" spans="1:11">
      <c r="A339" s="65"/>
      <c r="B339" s="75"/>
      <c r="C339" s="87"/>
      <c r="D339" s="66"/>
      <c r="E339" s="111"/>
      <c r="F339" s="75"/>
      <c r="G339" s="75"/>
      <c r="H339" s="75"/>
      <c r="I339" s="75"/>
      <c r="J339" s="70"/>
      <c r="K339" s="70"/>
    </row>
    <row r="340" spans="1:11">
      <c r="A340" s="65"/>
      <c r="B340" s="75"/>
      <c r="C340" s="87"/>
      <c r="D340" s="66"/>
      <c r="E340" s="111"/>
      <c r="F340" s="75"/>
      <c r="G340" s="75"/>
      <c r="H340" s="75"/>
      <c r="I340" s="75"/>
      <c r="J340" s="70"/>
      <c r="K340" s="70"/>
    </row>
    <row r="341" spans="1:11">
      <c r="A341" s="65"/>
      <c r="B341" s="75"/>
      <c r="C341" s="87"/>
      <c r="D341" s="66"/>
      <c r="E341" s="111"/>
      <c r="F341" s="75"/>
      <c r="G341" s="75"/>
      <c r="H341" s="75"/>
      <c r="I341" s="75"/>
      <c r="J341" s="70"/>
      <c r="K341" s="70"/>
    </row>
    <row r="342" spans="1:11">
      <c r="A342" s="65"/>
      <c r="B342" s="75"/>
      <c r="C342" s="87"/>
      <c r="D342" s="66"/>
      <c r="E342" s="111"/>
      <c r="F342" s="75"/>
      <c r="G342" s="75"/>
      <c r="H342" s="75"/>
      <c r="I342" s="75"/>
      <c r="J342" s="70"/>
      <c r="K342" s="70"/>
    </row>
    <row r="343" spans="1:11">
      <c r="A343" s="65"/>
      <c r="B343" s="75"/>
      <c r="C343" s="87"/>
      <c r="D343" s="66"/>
      <c r="E343" s="111"/>
      <c r="F343" s="75"/>
      <c r="G343" s="75"/>
      <c r="H343" s="75"/>
      <c r="I343" s="75"/>
      <c r="J343" s="70"/>
      <c r="K343" s="70"/>
    </row>
    <row r="344" spans="1:11">
      <c r="A344" s="65"/>
      <c r="B344" s="75"/>
      <c r="C344" s="87"/>
      <c r="D344" s="66"/>
      <c r="E344" s="111"/>
      <c r="F344" s="75"/>
      <c r="G344" s="75"/>
      <c r="H344" s="75"/>
      <c r="I344" s="75"/>
      <c r="J344" s="70"/>
      <c r="K344" s="70"/>
    </row>
    <row r="345" spans="1:11">
      <c r="A345" s="65"/>
      <c r="B345" s="75"/>
      <c r="C345" s="87"/>
      <c r="D345" s="66"/>
      <c r="E345" s="111"/>
      <c r="F345" s="75"/>
      <c r="G345" s="75"/>
      <c r="H345" s="75"/>
      <c r="I345" s="75"/>
      <c r="J345" s="70"/>
      <c r="K345" s="70"/>
    </row>
    <row r="346" spans="1:11">
      <c r="A346" s="65"/>
      <c r="B346" s="75"/>
      <c r="C346" s="87"/>
      <c r="D346" s="66"/>
      <c r="E346" s="111"/>
      <c r="F346" s="75"/>
      <c r="G346" s="75"/>
      <c r="H346" s="75"/>
      <c r="I346" s="75"/>
      <c r="J346" s="70"/>
      <c r="K346" s="70"/>
    </row>
    <row r="347" spans="1:11">
      <c r="A347" s="65"/>
      <c r="B347" s="75"/>
      <c r="C347" s="87"/>
      <c r="D347" s="66"/>
      <c r="E347" s="111"/>
      <c r="F347" s="75"/>
      <c r="G347" s="75"/>
      <c r="H347" s="75"/>
      <c r="I347" s="75"/>
      <c r="J347" s="70"/>
      <c r="K347" s="70"/>
    </row>
    <row r="348" spans="1:11">
      <c r="A348" s="65"/>
      <c r="B348" s="75"/>
      <c r="C348" s="87"/>
      <c r="D348" s="66"/>
      <c r="E348" s="111"/>
      <c r="F348" s="75"/>
      <c r="G348" s="75"/>
      <c r="H348" s="75"/>
      <c r="I348" s="75"/>
      <c r="J348" s="70"/>
      <c r="K348" s="70"/>
    </row>
    <row r="349" spans="1:11">
      <c r="A349" s="65"/>
      <c r="B349" s="75"/>
      <c r="C349" s="87"/>
      <c r="D349" s="66"/>
      <c r="E349" s="111"/>
      <c r="F349" s="75"/>
      <c r="G349" s="75"/>
      <c r="H349" s="75"/>
      <c r="I349" s="75"/>
      <c r="J349" s="70"/>
      <c r="K349" s="70"/>
    </row>
    <row r="350" spans="1:11">
      <c r="A350" s="65"/>
      <c r="B350" s="75"/>
      <c r="C350" s="87"/>
      <c r="D350" s="66"/>
      <c r="E350" s="111"/>
      <c r="F350" s="75"/>
      <c r="G350" s="75"/>
      <c r="H350" s="75"/>
      <c r="I350" s="75"/>
      <c r="J350" s="70"/>
      <c r="K350" s="70"/>
    </row>
    <row r="351" spans="1:11">
      <c r="A351" s="65"/>
      <c r="B351" s="75"/>
      <c r="C351" s="87"/>
      <c r="D351" s="66"/>
      <c r="E351" s="111"/>
      <c r="F351" s="75"/>
      <c r="G351" s="75"/>
      <c r="H351" s="75"/>
      <c r="I351" s="75"/>
      <c r="J351" s="70"/>
      <c r="K351" s="70"/>
    </row>
    <row r="352" spans="1:11">
      <c r="A352" s="65"/>
      <c r="B352" s="75"/>
      <c r="C352" s="87"/>
      <c r="D352" s="66"/>
      <c r="E352" s="111"/>
      <c r="F352" s="75"/>
      <c r="G352" s="75"/>
      <c r="H352" s="75"/>
      <c r="I352" s="75"/>
      <c r="J352" s="70"/>
      <c r="K352" s="70"/>
    </row>
    <row r="353" spans="1:11">
      <c r="A353" s="65"/>
      <c r="B353" s="75"/>
      <c r="C353" s="87"/>
      <c r="D353" s="66"/>
      <c r="E353" s="111"/>
      <c r="F353" s="75"/>
      <c r="G353" s="75"/>
      <c r="H353" s="75"/>
      <c r="I353" s="75"/>
      <c r="J353" s="70"/>
      <c r="K353" s="70"/>
    </row>
    <row r="354" spans="1:11">
      <c r="A354" s="65"/>
      <c r="B354" s="75"/>
      <c r="C354" s="87"/>
      <c r="D354" s="66"/>
      <c r="E354" s="111"/>
      <c r="F354" s="75"/>
      <c r="G354" s="75"/>
      <c r="H354" s="75"/>
      <c r="I354" s="75"/>
      <c r="J354" s="70"/>
      <c r="K354" s="70"/>
    </row>
    <row r="355" spans="1:11">
      <c r="A355" s="65"/>
      <c r="B355" s="75"/>
      <c r="C355" s="87"/>
      <c r="D355" s="66"/>
      <c r="E355" s="111"/>
      <c r="F355" s="75"/>
      <c r="G355" s="75"/>
      <c r="H355" s="75"/>
      <c r="I355" s="75"/>
      <c r="J355" s="70"/>
      <c r="K355" s="70"/>
    </row>
    <row r="356" spans="1:11">
      <c r="A356" s="65"/>
      <c r="B356" s="75"/>
      <c r="C356" s="87"/>
      <c r="D356" s="66"/>
      <c r="E356" s="111"/>
      <c r="F356" s="75"/>
      <c r="G356" s="75"/>
      <c r="H356" s="75"/>
      <c r="I356" s="75"/>
      <c r="J356" s="70"/>
      <c r="K356" s="70"/>
    </row>
    <row r="357" spans="1:11">
      <c r="A357" s="65"/>
      <c r="B357" s="75"/>
      <c r="C357" s="87"/>
      <c r="D357" s="66"/>
      <c r="E357" s="111"/>
      <c r="F357" s="75"/>
      <c r="G357" s="75"/>
      <c r="H357" s="75"/>
      <c r="I357" s="75"/>
      <c r="J357" s="70"/>
      <c r="K357" s="70"/>
    </row>
    <row r="358" spans="1:11">
      <c r="A358" s="65"/>
      <c r="B358" s="75"/>
      <c r="C358" s="87"/>
      <c r="D358" s="66"/>
      <c r="E358" s="111"/>
      <c r="F358" s="75"/>
      <c r="G358" s="75"/>
      <c r="H358" s="75"/>
      <c r="I358" s="75"/>
      <c r="J358" s="70"/>
      <c r="K358" s="70"/>
    </row>
    <row r="359" spans="1:11">
      <c r="A359" s="65"/>
      <c r="B359" s="75"/>
      <c r="C359" s="87"/>
      <c r="D359" s="66"/>
      <c r="E359" s="111"/>
      <c r="F359" s="75"/>
      <c r="G359" s="75"/>
      <c r="H359" s="75"/>
      <c r="I359" s="75"/>
      <c r="J359" s="69"/>
      <c r="K359" s="70"/>
    </row>
    <row r="360" spans="1:11">
      <c r="A360" s="65"/>
      <c r="B360" s="75"/>
      <c r="C360" s="87"/>
      <c r="D360" s="66"/>
      <c r="E360" s="111"/>
      <c r="F360" s="75"/>
      <c r="G360" s="75"/>
      <c r="H360" s="75"/>
      <c r="I360" s="75"/>
      <c r="J360" s="69"/>
      <c r="K360" s="70"/>
    </row>
    <row r="361" spans="1:11">
      <c r="A361" s="65"/>
      <c r="B361" s="75"/>
      <c r="C361" s="87"/>
      <c r="D361" s="66"/>
      <c r="E361" s="111"/>
      <c r="F361" s="75"/>
      <c r="G361" s="75"/>
      <c r="H361" s="75"/>
      <c r="I361" s="75"/>
      <c r="J361" s="69"/>
      <c r="K361" s="70"/>
    </row>
    <row r="362" spans="1:11">
      <c r="A362" s="65"/>
      <c r="B362" s="75"/>
      <c r="C362" s="87"/>
      <c r="D362" s="66"/>
      <c r="E362" s="111"/>
      <c r="F362" s="75"/>
      <c r="G362" s="75"/>
      <c r="H362" s="75"/>
      <c r="I362" s="75"/>
      <c r="J362" s="69"/>
      <c r="K362" s="70"/>
    </row>
    <row r="363" spans="1:11">
      <c r="A363" s="65"/>
      <c r="B363" s="75"/>
      <c r="C363" s="87"/>
      <c r="D363" s="66"/>
      <c r="E363" s="111"/>
      <c r="F363" s="75"/>
      <c r="G363" s="75"/>
      <c r="H363" s="75"/>
      <c r="I363" s="75"/>
      <c r="J363" s="69"/>
      <c r="K363" s="70"/>
    </row>
    <row r="364" spans="1:11">
      <c r="A364" s="65"/>
      <c r="B364" s="75"/>
      <c r="C364" s="87"/>
      <c r="D364" s="66"/>
      <c r="E364" s="111"/>
      <c r="F364" s="75"/>
      <c r="G364" s="75"/>
      <c r="H364" s="75"/>
      <c r="I364" s="75"/>
      <c r="J364" s="69"/>
      <c r="K364" s="70"/>
    </row>
    <row r="365" spans="1:11">
      <c r="A365" s="65"/>
      <c r="B365" s="75"/>
      <c r="C365" s="87"/>
      <c r="D365" s="66"/>
      <c r="E365" s="111"/>
      <c r="F365" s="75"/>
      <c r="G365" s="75"/>
      <c r="H365" s="75"/>
      <c r="I365" s="75"/>
      <c r="J365" s="69"/>
      <c r="K365" s="70"/>
    </row>
    <row r="366" spans="1:11">
      <c r="A366" s="65"/>
      <c r="B366" s="75"/>
      <c r="C366" s="87"/>
      <c r="D366" s="66"/>
      <c r="E366" s="111"/>
      <c r="F366" s="75"/>
      <c r="G366" s="75"/>
      <c r="H366" s="75"/>
      <c r="I366" s="75"/>
      <c r="J366" s="69"/>
      <c r="K366" s="70"/>
    </row>
    <row r="367" spans="1:11">
      <c r="A367" s="65"/>
      <c r="B367" s="75"/>
      <c r="C367" s="87"/>
      <c r="D367" s="66"/>
      <c r="E367" s="111"/>
      <c r="F367" s="75"/>
      <c r="G367" s="75"/>
      <c r="H367" s="75"/>
      <c r="I367" s="75"/>
      <c r="J367" s="69"/>
      <c r="K367" s="70"/>
    </row>
    <row r="368" spans="1:11">
      <c r="A368" s="65"/>
      <c r="B368" s="75"/>
      <c r="C368" s="87"/>
      <c r="D368" s="66"/>
      <c r="E368" s="111"/>
      <c r="F368" s="75"/>
      <c r="G368" s="75"/>
      <c r="H368" s="75"/>
      <c r="I368" s="75"/>
      <c r="J368" s="69"/>
      <c r="K368" s="70"/>
    </row>
    <row r="369" spans="1:11">
      <c r="A369" s="65"/>
      <c r="B369" s="75"/>
      <c r="C369" s="87"/>
      <c r="D369" s="66"/>
      <c r="E369" s="111"/>
      <c r="F369" s="75"/>
      <c r="G369" s="75"/>
      <c r="H369" s="75"/>
      <c r="I369" s="75"/>
      <c r="J369" s="69"/>
      <c r="K369" s="70"/>
    </row>
    <row r="370" spans="1:11">
      <c r="A370" s="65"/>
      <c r="B370" s="75"/>
      <c r="C370" s="87"/>
      <c r="D370" s="66"/>
      <c r="E370" s="111"/>
      <c r="F370" s="75"/>
      <c r="G370" s="75"/>
      <c r="H370" s="75"/>
      <c r="I370" s="75"/>
      <c r="J370" s="69"/>
      <c r="K370" s="70"/>
    </row>
    <row r="371" spans="1:11">
      <c r="A371" s="65"/>
      <c r="B371" s="75"/>
      <c r="C371" s="87"/>
      <c r="D371" s="66"/>
      <c r="E371" s="111"/>
      <c r="F371" s="75"/>
      <c r="G371" s="75"/>
      <c r="H371" s="75"/>
      <c r="I371" s="75"/>
      <c r="J371" s="69"/>
      <c r="K371" s="70"/>
    </row>
    <row r="372" spans="1:11">
      <c r="A372" s="65"/>
      <c r="B372" s="75"/>
      <c r="C372" s="87"/>
      <c r="D372" s="66"/>
      <c r="E372" s="111"/>
      <c r="F372" s="75"/>
      <c r="G372" s="75"/>
      <c r="H372" s="75"/>
      <c r="I372" s="75"/>
      <c r="J372" s="69"/>
      <c r="K372" s="70"/>
    </row>
    <row r="373" spans="1:11">
      <c r="A373" s="65"/>
      <c r="B373" s="75"/>
      <c r="C373" s="87"/>
      <c r="D373" s="66"/>
      <c r="E373" s="111"/>
      <c r="F373" s="75"/>
      <c r="G373" s="75"/>
      <c r="H373" s="75"/>
      <c r="I373" s="75"/>
      <c r="J373" s="69"/>
      <c r="K373" s="70"/>
    </row>
    <row r="374" spans="1:11">
      <c r="A374" s="65"/>
      <c r="B374" s="75"/>
      <c r="C374" s="87"/>
      <c r="D374" s="66"/>
      <c r="E374" s="111"/>
      <c r="F374" s="75"/>
      <c r="G374" s="75"/>
      <c r="H374" s="75"/>
      <c r="I374" s="75"/>
      <c r="J374" s="69"/>
      <c r="K374" s="70"/>
    </row>
    <row r="375" spans="1:11">
      <c r="A375" s="65"/>
      <c r="B375" s="75"/>
      <c r="C375" s="87"/>
      <c r="D375" s="66"/>
      <c r="E375" s="111"/>
      <c r="F375" s="75"/>
      <c r="G375" s="75"/>
      <c r="H375" s="75"/>
      <c r="I375" s="75"/>
      <c r="J375" s="69"/>
      <c r="K375" s="70"/>
    </row>
    <row r="376" spans="1:11">
      <c r="A376" s="65"/>
      <c r="B376" s="75"/>
      <c r="C376" s="87"/>
      <c r="D376" s="66"/>
      <c r="E376" s="111"/>
      <c r="F376" s="75"/>
      <c r="G376" s="75"/>
      <c r="H376" s="75"/>
      <c r="I376" s="75"/>
      <c r="J376" s="69"/>
      <c r="K376" s="70"/>
    </row>
    <row r="377" spans="1:11">
      <c r="A377" s="65"/>
      <c r="B377" s="75"/>
      <c r="C377" s="87"/>
      <c r="D377" s="66"/>
      <c r="E377" s="111"/>
      <c r="F377" s="75"/>
      <c r="G377" s="75"/>
      <c r="H377" s="75"/>
      <c r="I377" s="75"/>
      <c r="J377" s="69"/>
      <c r="K377" s="70"/>
    </row>
    <row r="378" spans="1:11">
      <c r="A378" s="65"/>
      <c r="B378" s="75"/>
      <c r="C378" s="87"/>
      <c r="D378" s="66"/>
      <c r="E378" s="111"/>
      <c r="F378" s="75"/>
      <c r="G378" s="75"/>
      <c r="H378" s="75"/>
      <c r="I378" s="75"/>
      <c r="J378" s="69"/>
      <c r="K378" s="70"/>
    </row>
    <row r="379" spans="1:11">
      <c r="A379" s="65"/>
      <c r="B379" s="75"/>
      <c r="C379" s="87"/>
      <c r="D379" s="66"/>
      <c r="E379" s="111"/>
      <c r="F379" s="75"/>
      <c r="G379" s="75"/>
      <c r="H379" s="75"/>
      <c r="I379" s="75"/>
      <c r="J379" s="69"/>
      <c r="K379" s="70"/>
    </row>
    <row r="380" spans="1:11">
      <c r="A380" s="65"/>
      <c r="B380" s="75"/>
      <c r="C380" s="87"/>
      <c r="D380" s="66"/>
      <c r="E380" s="111"/>
      <c r="F380" s="75"/>
      <c r="G380" s="75"/>
      <c r="H380" s="75"/>
      <c r="I380" s="75"/>
      <c r="J380" s="69"/>
      <c r="K380" s="70"/>
    </row>
    <row r="381" spans="1:11">
      <c r="A381" s="65"/>
      <c r="B381" s="75"/>
      <c r="C381" s="87"/>
      <c r="D381" s="66"/>
      <c r="E381" s="111"/>
      <c r="F381" s="75"/>
      <c r="G381" s="75"/>
      <c r="H381" s="75"/>
      <c r="I381" s="75"/>
      <c r="J381" s="69"/>
      <c r="K381" s="70"/>
    </row>
    <row r="382" spans="1:11">
      <c r="A382" s="65"/>
      <c r="B382" s="75"/>
      <c r="C382" s="87"/>
      <c r="D382" s="66"/>
      <c r="E382" s="111"/>
      <c r="F382" s="75"/>
      <c r="G382" s="75"/>
      <c r="H382" s="75"/>
      <c r="I382" s="75"/>
      <c r="J382" s="69"/>
      <c r="K382" s="70"/>
    </row>
    <row r="383" spans="1:11">
      <c r="A383" s="65"/>
      <c r="B383" s="75"/>
      <c r="C383" s="87"/>
      <c r="D383" s="66"/>
      <c r="E383" s="111"/>
      <c r="F383" s="75"/>
      <c r="G383" s="75"/>
      <c r="H383" s="75"/>
      <c r="I383" s="75"/>
      <c r="J383" s="69"/>
      <c r="K383" s="70"/>
    </row>
    <row r="384" spans="1:11">
      <c r="A384" s="65"/>
      <c r="B384" s="75"/>
      <c r="C384" s="87"/>
      <c r="D384" s="66"/>
      <c r="E384" s="111"/>
      <c r="F384" s="75"/>
      <c r="G384" s="75"/>
      <c r="H384" s="75"/>
      <c r="I384" s="75"/>
      <c r="J384" s="69"/>
      <c r="K384" s="70"/>
    </row>
    <row r="385" spans="1:11">
      <c r="A385" s="65"/>
      <c r="B385" s="75"/>
      <c r="C385" s="87"/>
      <c r="D385" s="66"/>
      <c r="E385" s="111"/>
      <c r="F385" s="75"/>
      <c r="G385" s="75"/>
      <c r="H385" s="75"/>
      <c r="I385" s="75"/>
      <c r="J385" s="69"/>
      <c r="K385" s="70"/>
    </row>
    <row r="386" spans="1:11">
      <c r="A386" s="65"/>
      <c r="B386" s="75"/>
      <c r="C386" s="87"/>
      <c r="D386" s="66"/>
      <c r="E386" s="111"/>
      <c r="F386" s="75"/>
      <c r="G386" s="75"/>
      <c r="H386" s="75"/>
      <c r="I386" s="75"/>
      <c r="J386" s="69"/>
      <c r="K386" s="70"/>
    </row>
    <row r="387" spans="1:11">
      <c r="A387" s="65"/>
      <c r="B387" s="75"/>
      <c r="C387" s="87"/>
      <c r="D387" s="66"/>
      <c r="E387" s="111"/>
      <c r="F387" s="75"/>
      <c r="G387" s="75"/>
      <c r="H387" s="75"/>
      <c r="I387" s="75"/>
      <c r="J387" s="69"/>
      <c r="K387" s="70"/>
    </row>
    <row r="388" spans="1:11">
      <c r="A388" s="65"/>
      <c r="B388" s="75"/>
      <c r="C388" s="87"/>
      <c r="D388" s="66"/>
      <c r="E388" s="111"/>
      <c r="F388" s="75"/>
      <c r="G388" s="75"/>
      <c r="H388" s="75"/>
      <c r="I388" s="75"/>
      <c r="J388" s="69"/>
      <c r="K388" s="70"/>
    </row>
    <row r="389" spans="1:11">
      <c r="A389" s="65"/>
      <c r="B389" s="75"/>
      <c r="C389" s="87"/>
      <c r="D389" s="66"/>
      <c r="E389" s="111"/>
      <c r="F389" s="75"/>
      <c r="G389" s="75"/>
      <c r="H389" s="75"/>
      <c r="I389" s="75"/>
      <c r="J389" s="69"/>
      <c r="K389" s="70"/>
    </row>
    <row r="390" spans="1:11">
      <c r="A390" s="65"/>
      <c r="B390" s="75"/>
      <c r="C390" s="87"/>
      <c r="D390" s="66"/>
      <c r="E390" s="111"/>
      <c r="F390" s="75"/>
      <c r="G390" s="75"/>
      <c r="H390" s="75"/>
      <c r="I390" s="75"/>
      <c r="J390" s="69"/>
      <c r="K390" s="70"/>
    </row>
    <row r="391" spans="1:11">
      <c r="A391" s="65"/>
      <c r="B391" s="75"/>
      <c r="C391" s="87"/>
      <c r="D391" s="66"/>
      <c r="E391" s="111"/>
      <c r="F391" s="75"/>
      <c r="G391" s="75"/>
      <c r="H391" s="75"/>
      <c r="I391" s="75"/>
      <c r="J391" s="69"/>
      <c r="K391" s="70"/>
    </row>
    <row r="392" spans="1:11">
      <c r="A392" s="65"/>
      <c r="B392" s="75"/>
      <c r="C392" s="87"/>
      <c r="D392" s="66"/>
      <c r="E392" s="111"/>
      <c r="F392" s="75"/>
      <c r="G392" s="75"/>
      <c r="H392" s="75"/>
      <c r="I392" s="75"/>
      <c r="J392" s="69"/>
      <c r="K392" s="70"/>
    </row>
    <row r="393" spans="1:11">
      <c r="A393" s="65"/>
      <c r="B393" s="75"/>
      <c r="C393" s="87"/>
      <c r="D393" s="66"/>
      <c r="E393" s="111"/>
      <c r="F393" s="75"/>
      <c r="G393" s="75"/>
      <c r="H393" s="75"/>
      <c r="I393" s="75"/>
      <c r="J393" s="69"/>
      <c r="K393" s="70"/>
    </row>
    <row r="394" spans="1:11">
      <c r="A394" s="65"/>
      <c r="B394" s="75"/>
      <c r="C394" s="87"/>
      <c r="D394" s="66"/>
      <c r="E394" s="111"/>
      <c r="F394" s="75"/>
      <c r="G394" s="75"/>
      <c r="H394" s="75"/>
      <c r="I394" s="75"/>
      <c r="J394" s="69"/>
      <c r="K394" s="70"/>
    </row>
    <row r="395" spans="1:11">
      <c r="A395" s="65"/>
      <c r="B395" s="75"/>
      <c r="C395" s="87"/>
      <c r="D395" s="66"/>
      <c r="E395" s="111"/>
      <c r="F395" s="75"/>
      <c r="G395" s="75"/>
      <c r="H395" s="75"/>
      <c r="I395" s="75"/>
      <c r="J395" s="69"/>
      <c r="K395" s="70"/>
    </row>
    <row r="396" spans="1:11">
      <c r="A396" s="65"/>
      <c r="B396" s="75"/>
      <c r="C396" s="87"/>
      <c r="D396" s="66"/>
      <c r="E396" s="111"/>
      <c r="F396" s="75"/>
      <c r="G396" s="75"/>
      <c r="H396" s="75"/>
      <c r="I396" s="75"/>
      <c r="J396" s="69"/>
      <c r="K396" s="70"/>
    </row>
    <row r="397" spans="1:11">
      <c r="A397" s="65"/>
      <c r="B397" s="75"/>
      <c r="C397" s="87"/>
      <c r="D397" s="66"/>
      <c r="E397" s="111"/>
      <c r="F397" s="75"/>
      <c r="G397" s="75"/>
      <c r="H397" s="75"/>
      <c r="I397" s="75"/>
      <c r="J397" s="69"/>
      <c r="K397" s="70"/>
    </row>
    <row r="398" spans="1:11">
      <c r="A398" s="65"/>
      <c r="B398" s="75"/>
      <c r="C398" s="87"/>
      <c r="D398" s="66"/>
      <c r="E398" s="111"/>
      <c r="F398" s="75"/>
      <c r="G398" s="75"/>
      <c r="H398" s="75"/>
      <c r="I398" s="75"/>
      <c r="J398" s="69"/>
      <c r="K398" s="70"/>
    </row>
    <row r="399" spans="1:11">
      <c r="A399" s="65"/>
      <c r="B399" s="75"/>
      <c r="C399" s="87"/>
      <c r="D399" s="66"/>
      <c r="E399" s="111"/>
      <c r="F399" s="75"/>
      <c r="G399" s="75"/>
      <c r="H399" s="75"/>
      <c r="I399" s="75"/>
      <c r="J399" s="70"/>
      <c r="K399" s="70"/>
    </row>
    <row r="400" spans="1:11">
      <c r="A400" s="65"/>
      <c r="B400" s="75"/>
      <c r="C400" s="87"/>
      <c r="D400" s="66"/>
      <c r="E400" s="111"/>
      <c r="F400" s="75"/>
      <c r="G400" s="75"/>
      <c r="H400" s="75"/>
      <c r="I400" s="75"/>
      <c r="J400" s="69"/>
      <c r="K400" s="70"/>
    </row>
    <row r="401" spans="1:11">
      <c r="A401" s="65"/>
      <c r="B401" s="75"/>
      <c r="C401" s="87"/>
      <c r="D401" s="66"/>
      <c r="E401" s="111"/>
      <c r="F401" s="75"/>
      <c r="G401" s="75"/>
      <c r="H401" s="75"/>
      <c r="I401" s="75"/>
      <c r="J401" s="69"/>
      <c r="K401" s="70"/>
    </row>
    <row r="402" spans="1:11">
      <c r="A402" s="65"/>
      <c r="B402" s="75"/>
      <c r="C402" s="87"/>
      <c r="D402" s="66"/>
      <c r="E402" s="111"/>
      <c r="F402" s="75"/>
      <c r="G402" s="75"/>
      <c r="H402" s="75"/>
      <c r="I402" s="75"/>
      <c r="J402" s="69"/>
      <c r="K402" s="70"/>
    </row>
    <row r="403" spans="1:11">
      <c r="A403" s="65"/>
      <c r="B403" s="75"/>
      <c r="C403" s="87"/>
      <c r="D403" s="66"/>
      <c r="E403" s="111"/>
      <c r="F403" s="75"/>
      <c r="G403" s="75"/>
      <c r="H403" s="75"/>
      <c r="I403" s="75"/>
      <c r="J403" s="69"/>
      <c r="K403" s="70"/>
    </row>
    <row r="404" spans="1:11">
      <c r="A404" s="65"/>
      <c r="B404" s="75"/>
      <c r="C404" s="87"/>
      <c r="D404" s="66"/>
      <c r="E404" s="111"/>
      <c r="F404" s="75"/>
      <c r="G404" s="75"/>
      <c r="H404" s="75"/>
      <c r="I404" s="75"/>
      <c r="J404" s="69"/>
      <c r="K404" s="70"/>
    </row>
    <row r="405" spans="1:11">
      <c r="A405" s="65"/>
      <c r="B405" s="75"/>
      <c r="C405" s="87"/>
      <c r="D405" s="66"/>
      <c r="E405" s="111"/>
      <c r="F405" s="75"/>
      <c r="G405" s="75"/>
      <c r="H405" s="75"/>
      <c r="I405" s="75"/>
      <c r="J405" s="69"/>
      <c r="K405" s="70"/>
    </row>
    <row r="406" spans="1:11">
      <c r="A406" s="65"/>
      <c r="B406" s="75"/>
      <c r="C406" s="87"/>
      <c r="D406" s="66"/>
      <c r="E406" s="111"/>
      <c r="F406" s="75"/>
      <c r="G406" s="75"/>
      <c r="H406" s="75"/>
      <c r="I406" s="75"/>
      <c r="J406" s="70"/>
      <c r="K406" s="70"/>
    </row>
    <row r="407" spans="1:11">
      <c r="A407" s="65"/>
      <c r="B407" s="75"/>
      <c r="C407" s="87"/>
      <c r="D407" s="66"/>
      <c r="E407" s="111"/>
      <c r="F407" s="75"/>
      <c r="G407" s="75"/>
      <c r="H407" s="75"/>
      <c r="I407" s="75"/>
      <c r="J407" s="70"/>
      <c r="K407" s="70"/>
    </row>
    <row r="408" spans="1:11">
      <c r="A408" s="65"/>
      <c r="B408" s="75"/>
      <c r="C408" s="87"/>
      <c r="D408" s="66"/>
      <c r="E408" s="111"/>
      <c r="F408" s="75"/>
      <c r="G408" s="75"/>
      <c r="H408" s="75"/>
      <c r="I408" s="75"/>
      <c r="J408" s="70"/>
      <c r="K408" s="70"/>
    </row>
    <row r="409" spans="1:11">
      <c r="A409" s="65"/>
      <c r="B409" s="75"/>
      <c r="C409" s="87"/>
      <c r="D409" s="66"/>
      <c r="E409" s="111"/>
      <c r="F409" s="75"/>
      <c r="G409" s="75"/>
      <c r="H409" s="75"/>
      <c r="I409" s="75"/>
      <c r="J409" s="70"/>
      <c r="K409" s="70"/>
    </row>
    <row r="410" spans="1:11">
      <c r="A410" s="65"/>
      <c r="B410" s="75"/>
      <c r="C410" s="87"/>
      <c r="D410" s="66"/>
      <c r="E410" s="111"/>
      <c r="F410" s="75"/>
      <c r="G410" s="75"/>
      <c r="H410" s="75"/>
      <c r="I410" s="75"/>
      <c r="J410" s="70"/>
      <c r="K410" s="70"/>
    </row>
    <row r="411" spans="1:11">
      <c r="A411" s="65"/>
      <c r="B411" s="75"/>
      <c r="C411" s="87"/>
      <c r="D411" s="66"/>
      <c r="E411" s="111"/>
      <c r="F411" s="75"/>
      <c r="G411" s="75"/>
      <c r="H411" s="75"/>
      <c r="I411" s="75"/>
      <c r="J411" s="70"/>
      <c r="K411" s="70"/>
    </row>
    <row r="412" spans="1:11">
      <c r="A412" s="65"/>
      <c r="B412" s="75"/>
      <c r="C412" s="87"/>
      <c r="D412" s="66"/>
      <c r="E412" s="111"/>
      <c r="F412" s="75"/>
      <c r="G412" s="75"/>
      <c r="H412" s="75"/>
      <c r="I412" s="75"/>
      <c r="J412" s="70"/>
      <c r="K412" s="70"/>
    </row>
    <row r="413" spans="1:11">
      <c r="A413" s="65"/>
      <c r="B413" s="75"/>
      <c r="C413" s="87"/>
      <c r="D413" s="66"/>
      <c r="E413" s="111"/>
      <c r="F413" s="75"/>
      <c r="G413" s="75"/>
      <c r="H413" s="75"/>
      <c r="I413" s="75"/>
      <c r="J413" s="69"/>
      <c r="K413" s="70"/>
    </row>
    <row r="414" spans="1:11">
      <c r="A414" s="65"/>
      <c r="B414" s="75"/>
      <c r="C414" s="87"/>
      <c r="D414" s="66"/>
      <c r="E414" s="111"/>
      <c r="F414" s="75"/>
      <c r="G414" s="75"/>
      <c r="H414" s="75"/>
      <c r="I414" s="75"/>
      <c r="J414" s="70"/>
      <c r="K414" s="70"/>
    </row>
    <row r="415" spans="1:11">
      <c r="A415" s="65"/>
      <c r="B415" s="75"/>
      <c r="C415" s="87"/>
      <c r="D415" s="66"/>
      <c r="E415" s="111"/>
      <c r="F415" s="75"/>
      <c r="G415" s="75"/>
      <c r="H415" s="75"/>
      <c r="I415" s="75"/>
      <c r="J415" s="69"/>
      <c r="K415" s="70"/>
    </row>
    <row r="416" spans="1:11">
      <c r="A416" s="65"/>
      <c r="B416" s="75"/>
      <c r="C416" s="87"/>
      <c r="D416" s="66"/>
      <c r="E416" s="111"/>
      <c r="F416" s="75"/>
      <c r="G416" s="75"/>
      <c r="H416" s="75"/>
      <c r="I416" s="75"/>
      <c r="J416" s="70"/>
      <c r="K416" s="70"/>
    </row>
    <row r="417" spans="1:11">
      <c r="A417" s="65"/>
      <c r="B417" s="75"/>
      <c r="C417" s="87"/>
      <c r="D417" s="66"/>
      <c r="E417" s="111"/>
      <c r="F417" s="75"/>
      <c r="G417" s="75"/>
      <c r="H417" s="75"/>
      <c r="I417" s="75"/>
      <c r="J417" s="70"/>
      <c r="K417" s="70"/>
    </row>
    <row r="418" spans="1:11">
      <c r="A418" s="65"/>
      <c r="B418" s="75"/>
      <c r="C418" s="87"/>
      <c r="D418" s="66"/>
      <c r="E418" s="111"/>
      <c r="F418" s="75"/>
      <c r="G418" s="75"/>
      <c r="H418" s="75"/>
      <c r="I418" s="75"/>
      <c r="J418" s="70"/>
      <c r="K418" s="70"/>
    </row>
    <row r="419" spans="1:11">
      <c r="A419" s="65"/>
      <c r="B419" s="75"/>
      <c r="C419" s="87"/>
      <c r="D419" s="66"/>
      <c r="E419" s="111"/>
      <c r="F419" s="75"/>
      <c r="G419" s="75"/>
      <c r="H419" s="75"/>
      <c r="I419" s="75"/>
      <c r="J419" s="70"/>
      <c r="K419" s="70"/>
    </row>
    <row r="420" spans="1:11">
      <c r="A420" s="65"/>
      <c r="B420" s="75"/>
      <c r="C420" s="87"/>
      <c r="D420" s="66"/>
      <c r="E420" s="111"/>
      <c r="F420" s="75"/>
      <c r="G420" s="75"/>
      <c r="H420" s="75"/>
      <c r="I420" s="75"/>
      <c r="J420" s="70"/>
      <c r="K420" s="70"/>
    </row>
    <row r="421" spans="1:11">
      <c r="A421" s="65"/>
      <c r="B421" s="75"/>
      <c r="C421" s="87"/>
      <c r="D421" s="66"/>
      <c r="E421" s="111"/>
      <c r="F421" s="75"/>
      <c r="G421" s="75"/>
      <c r="H421" s="75"/>
      <c r="I421" s="75"/>
      <c r="J421" s="69"/>
      <c r="K421" s="70"/>
    </row>
    <row r="422" spans="1:11">
      <c r="A422" s="65"/>
      <c r="B422" s="75"/>
      <c r="C422" s="87"/>
      <c r="D422" s="66"/>
      <c r="E422" s="111"/>
      <c r="F422" s="75"/>
      <c r="G422" s="75"/>
      <c r="H422" s="75"/>
      <c r="I422" s="75"/>
      <c r="J422" s="70"/>
      <c r="K422" s="70"/>
    </row>
    <row r="423" spans="1:11">
      <c r="A423" s="65"/>
      <c r="B423" s="75"/>
      <c r="C423" s="87"/>
      <c r="D423" s="66"/>
      <c r="E423" s="111"/>
      <c r="F423" s="75"/>
      <c r="G423" s="75"/>
      <c r="H423" s="75"/>
      <c r="I423" s="75"/>
      <c r="J423" s="70"/>
      <c r="K423" s="70"/>
    </row>
    <row r="424" spans="1:11">
      <c r="A424" s="65"/>
      <c r="B424" s="75"/>
      <c r="C424" s="87"/>
      <c r="D424" s="66"/>
      <c r="E424" s="111"/>
      <c r="F424" s="75"/>
      <c r="G424" s="75"/>
      <c r="H424" s="75"/>
      <c r="I424" s="75"/>
      <c r="J424" s="69"/>
      <c r="K424" s="70"/>
    </row>
    <row r="425" spans="1:11">
      <c r="A425" s="65"/>
      <c r="B425" s="75"/>
      <c r="C425" s="87"/>
      <c r="D425" s="66"/>
      <c r="E425" s="111"/>
      <c r="F425" s="75"/>
      <c r="G425" s="75"/>
      <c r="H425" s="75"/>
      <c r="I425" s="75"/>
      <c r="J425" s="69"/>
      <c r="K425" s="70"/>
    </row>
    <row r="426" spans="1:11">
      <c r="A426" s="65"/>
      <c r="B426" s="75"/>
      <c r="C426" s="87"/>
      <c r="D426" s="66"/>
      <c r="E426" s="111"/>
      <c r="F426" s="75"/>
      <c r="G426" s="75"/>
      <c r="H426" s="75"/>
      <c r="I426" s="75"/>
      <c r="J426" s="69"/>
      <c r="K426" s="70"/>
    </row>
    <row r="427" spans="1:11">
      <c r="A427" s="65"/>
      <c r="B427" s="75"/>
      <c r="C427" s="87"/>
      <c r="D427" s="66"/>
      <c r="E427" s="111"/>
      <c r="F427" s="75"/>
      <c r="G427" s="75"/>
      <c r="H427" s="75"/>
      <c r="I427" s="75"/>
      <c r="J427" s="69"/>
      <c r="K427" s="70"/>
    </row>
    <row r="428" spans="1:11">
      <c r="A428" s="65"/>
      <c r="B428" s="75"/>
      <c r="C428" s="87"/>
      <c r="D428" s="66"/>
      <c r="E428" s="111"/>
      <c r="F428" s="75"/>
      <c r="G428" s="75"/>
      <c r="H428" s="75"/>
      <c r="I428" s="75"/>
      <c r="J428" s="69"/>
      <c r="K428" s="70"/>
    </row>
    <row r="429" spans="1:11">
      <c r="A429" s="65"/>
      <c r="B429" s="75"/>
      <c r="C429" s="87"/>
      <c r="D429" s="66"/>
      <c r="E429" s="111"/>
      <c r="F429" s="75"/>
      <c r="G429" s="75"/>
      <c r="H429" s="75"/>
      <c r="I429" s="75"/>
      <c r="J429" s="69"/>
      <c r="K429" s="70"/>
    </row>
    <row r="430" spans="1:11">
      <c r="A430" s="65"/>
      <c r="B430" s="75"/>
      <c r="C430" s="87"/>
      <c r="D430" s="66"/>
      <c r="E430" s="111"/>
      <c r="F430" s="75"/>
      <c r="G430" s="75"/>
      <c r="H430" s="75"/>
      <c r="I430" s="75"/>
      <c r="J430" s="69"/>
      <c r="K430" s="70"/>
    </row>
    <row r="431" spans="1:11">
      <c r="A431" s="65"/>
      <c r="B431" s="75"/>
      <c r="C431" s="87"/>
      <c r="D431" s="66"/>
      <c r="E431" s="111"/>
      <c r="F431" s="75"/>
      <c r="G431" s="75"/>
      <c r="H431" s="75"/>
      <c r="I431" s="75"/>
      <c r="J431" s="69"/>
      <c r="K431" s="70"/>
    </row>
    <row r="432" spans="1:11">
      <c r="A432" s="65"/>
      <c r="B432" s="75"/>
      <c r="C432" s="87"/>
      <c r="D432" s="66"/>
      <c r="E432" s="111"/>
      <c r="F432" s="75"/>
      <c r="G432" s="75"/>
      <c r="H432" s="75"/>
      <c r="I432" s="75"/>
      <c r="J432" s="70"/>
      <c r="K432" s="70"/>
    </row>
    <row r="433" spans="1:11">
      <c r="A433" s="65"/>
      <c r="B433" s="75"/>
      <c r="C433" s="87"/>
      <c r="D433" s="66"/>
      <c r="E433" s="111"/>
      <c r="F433" s="75"/>
      <c r="G433" s="75"/>
      <c r="H433" s="75"/>
      <c r="I433" s="75"/>
      <c r="J433" s="69"/>
      <c r="K433" s="70"/>
    </row>
    <row r="434" spans="1:11">
      <c r="A434" s="65"/>
      <c r="B434" s="75"/>
      <c r="C434" s="87"/>
      <c r="D434" s="66"/>
      <c r="E434" s="111"/>
      <c r="F434" s="75"/>
      <c r="G434" s="75"/>
      <c r="H434" s="75"/>
      <c r="I434" s="75"/>
      <c r="J434" s="70"/>
      <c r="K434" s="70"/>
    </row>
    <row r="435" spans="1:11">
      <c r="A435" s="65"/>
      <c r="B435" s="75"/>
      <c r="C435" s="87"/>
      <c r="D435" s="66"/>
      <c r="E435" s="111"/>
      <c r="F435" s="75"/>
      <c r="G435" s="75"/>
      <c r="H435" s="75"/>
      <c r="I435" s="75"/>
      <c r="J435" s="69"/>
      <c r="K435" s="70"/>
    </row>
    <row r="436" spans="1:11">
      <c r="A436" s="65"/>
      <c r="B436" s="75"/>
      <c r="C436" s="87"/>
      <c r="D436" s="66"/>
      <c r="E436" s="111"/>
      <c r="F436" s="75"/>
      <c r="G436" s="75"/>
      <c r="H436" s="75"/>
      <c r="I436" s="75"/>
      <c r="J436" s="69"/>
      <c r="K436" s="70"/>
    </row>
    <row r="437" spans="1:11">
      <c r="A437" s="65"/>
      <c r="B437" s="75"/>
      <c r="C437" s="87"/>
      <c r="D437" s="66"/>
      <c r="E437" s="111"/>
      <c r="F437" s="75"/>
      <c r="G437" s="75"/>
      <c r="H437" s="75"/>
      <c r="I437" s="75"/>
      <c r="J437" s="69"/>
      <c r="K437" s="70"/>
    </row>
    <row r="438" spans="1:11">
      <c r="A438" s="65"/>
      <c r="B438" s="75"/>
      <c r="C438" s="87"/>
      <c r="D438" s="66"/>
      <c r="E438" s="111"/>
      <c r="F438" s="75"/>
      <c r="G438" s="75"/>
      <c r="H438" s="75"/>
      <c r="I438" s="75"/>
      <c r="J438" s="69"/>
      <c r="K438" s="70"/>
    </row>
    <row r="439" spans="1:11">
      <c r="A439" s="65"/>
      <c r="B439" s="75"/>
      <c r="C439" s="87"/>
      <c r="D439" s="66"/>
      <c r="E439" s="111"/>
      <c r="F439" s="75"/>
      <c r="G439" s="75"/>
      <c r="H439" s="75"/>
      <c r="I439" s="75"/>
      <c r="J439" s="70"/>
      <c r="K439" s="70"/>
    </row>
    <row r="440" spans="1:11">
      <c r="A440" s="65"/>
      <c r="B440" s="75"/>
      <c r="C440" s="87"/>
      <c r="D440" s="66"/>
      <c r="E440" s="111"/>
      <c r="F440" s="75"/>
      <c r="G440" s="75"/>
      <c r="H440" s="75"/>
      <c r="I440" s="75"/>
      <c r="J440" s="69"/>
      <c r="K440" s="70"/>
    </row>
    <row r="441" spans="1:11">
      <c r="A441" s="65"/>
      <c r="B441" s="75"/>
      <c r="C441" s="87"/>
      <c r="D441" s="66"/>
      <c r="E441" s="111"/>
      <c r="F441" s="75"/>
      <c r="G441" s="75"/>
      <c r="H441" s="75"/>
      <c r="I441" s="75"/>
      <c r="J441" s="70"/>
      <c r="K441" s="70"/>
    </row>
    <row r="442" spans="1:11">
      <c r="A442" s="65"/>
      <c r="B442" s="75"/>
      <c r="C442" s="87"/>
      <c r="D442" s="66"/>
      <c r="E442" s="111"/>
      <c r="F442" s="75"/>
      <c r="G442" s="75"/>
      <c r="H442" s="75"/>
      <c r="I442" s="75"/>
      <c r="J442" s="70"/>
      <c r="K442" s="70"/>
    </row>
    <row r="443" spans="1:11">
      <c r="A443" s="65"/>
      <c r="B443" s="75"/>
      <c r="C443" s="87"/>
      <c r="D443" s="66"/>
      <c r="E443" s="111"/>
      <c r="F443" s="75"/>
      <c r="G443" s="75"/>
      <c r="H443" s="75"/>
      <c r="I443" s="75"/>
      <c r="J443" s="70"/>
      <c r="K443" s="70"/>
    </row>
    <row r="444" spans="1:11">
      <c r="A444" s="65"/>
      <c r="B444" s="75"/>
      <c r="C444" s="87"/>
      <c r="D444" s="66"/>
      <c r="E444" s="111"/>
      <c r="F444" s="75"/>
      <c r="G444" s="75"/>
      <c r="H444" s="75"/>
      <c r="I444" s="75"/>
      <c r="J444" s="69"/>
      <c r="K444" s="70"/>
    </row>
    <row r="445" spans="1:11">
      <c r="A445" s="65"/>
      <c r="B445" s="75"/>
      <c r="C445" s="87"/>
      <c r="D445" s="66"/>
      <c r="E445" s="111"/>
      <c r="F445" s="75"/>
      <c r="G445" s="75"/>
      <c r="H445" s="75"/>
      <c r="I445" s="75"/>
      <c r="J445" s="70"/>
      <c r="K445" s="70"/>
    </row>
    <row r="446" spans="1:11">
      <c r="A446" s="65"/>
      <c r="B446" s="75"/>
      <c r="C446" s="87"/>
      <c r="D446" s="66"/>
      <c r="E446" s="111"/>
      <c r="F446" s="75"/>
      <c r="G446" s="75"/>
      <c r="H446" s="75"/>
      <c r="I446" s="75"/>
      <c r="J446" s="70"/>
      <c r="K446" s="70"/>
    </row>
    <row r="447" spans="1:11">
      <c r="A447" s="65"/>
      <c r="B447" s="75"/>
      <c r="C447" s="87"/>
      <c r="D447" s="66"/>
      <c r="E447" s="111"/>
      <c r="F447" s="75"/>
      <c r="G447" s="75"/>
      <c r="H447" s="75"/>
      <c r="I447" s="75"/>
      <c r="J447" s="70"/>
      <c r="K447" s="70"/>
    </row>
    <row r="448" spans="1:11">
      <c r="A448" s="65"/>
      <c r="B448" s="75"/>
      <c r="C448" s="87"/>
      <c r="D448" s="66"/>
      <c r="E448" s="111"/>
      <c r="F448" s="75"/>
      <c r="G448" s="75"/>
      <c r="H448" s="75"/>
      <c r="I448" s="75"/>
      <c r="J448" s="70"/>
      <c r="K448" s="70"/>
    </row>
    <row r="449" spans="1:11">
      <c r="A449" s="65"/>
      <c r="B449" s="75"/>
      <c r="C449" s="87"/>
      <c r="D449" s="66"/>
      <c r="E449" s="111"/>
      <c r="F449" s="75"/>
      <c r="G449" s="75"/>
      <c r="H449" s="75"/>
      <c r="I449" s="75"/>
      <c r="J449" s="70"/>
      <c r="K449" s="70"/>
    </row>
    <row r="450" spans="1:11">
      <c r="A450" s="65"/>
      <c r="B450" s="75"/>
      <c r="C450" s="87"/>
      <c r="D450" s="66"/>
      <c r="E450" s="111"/>
      <c r="F450" s="75"/>
      <c r="G450" s="75"/>
      <c r="H450" s="75"/>
      <c r="I450" s="75"/>
      <c r="J450" s="69"/>
      <c r="K450" s="70"/>
    </row>
    <row r="451" spans="1:11">
      <c r="A451" s="65"/>
      <c r="B451" s="75"/>
      <c r="C451" s="87"/>
      <c r="D451" s="66"/>
      <c r="E451" s="111"/>
      <c r="F451" s="75"/>
      <c r="G451" s="75"/>
      <c r="H451" s="75"/>
      <c r="I451" s="75"/>
      <c r="J451" s="69"/>
      <c r="K451" s="70"/>
    </row>
    <row r="452" spans="1:11">
      <c r="A452" s="65"/>
      <c r="B452" s="75"/>
      <c r="C452" s="87"/>
      <c r="D452" s="66"/>
      <c r="E452" s="111"/>
      <c r="F452" s="75"/>
      <c r="G452" s="75"/>
      <c r="H452" s="75"/>
      <c r="I452" s="75"/>
      <c r="J452" s="70"/>
      <c r="K452" s="70"/>
    </row>
    <row r="453" spans="1:11">
      <c r="A453" s="65"/>
      <c r="B453" s="75"/>
      <c r="C453" s="87"/>
      <c r="D453" s="66"/>
      <c r="E453" s="111"/>
      <c r="F453" s="75"/>
      <c r="G453" s="75"/>
      <c r="H453" s="75"/>
      <c r="I453" s="75"/>
      <c r="J453" s="70"/>
      <c r="K453" s="70"/>
    </row>
    <row r="454" spans="1:11">
      <c r="A454" s="65"/>
      <c r="B454" s="75"/>
      <c r="C454" s="87"/>
      <c r="D454" s="66"/>
      <c r="E454" s="111"/>
      <c r="F454" s="75"/>
      <c r="G454" s="75"/>
      <c r="H454" s="75"/>
      <c r="I454" s="75"/>
      <c r="J454" s="70"/>
      <c r="K454" s="70"/>
    </row>
    <row r="455" spans="1:11">
      <c r="A455" s="65"/>
      <c r="B455" s="75"/>
      <c r="C455" s="87"/>
      <c r="D455" s="66"/>
      <c r="E455" s="111"/>
      <c r="F455" s="75"/>
      <c r="G455" s="75"/>
      <c r="H455" s="75"/>
      <c r="I455" s="75"/>
      <c r="J455" s="70"/>
      <c r="K455" s="70"/>
    </row>
    <row r="456" spans="1:11">
      <c r="A456" s="65"/>
      <c r="B456" s="75"/>
      <c r="C456" s="87"/>
      <c r="D456" s="66"/>
      <c r="E456" s="111"/>
      <c r="F456" s="75"/>
      <c r="G456" s="75"/>
      <c r="H456" s="75"/>
      <c r="I456" s="75"/>
      <c r="J456" s="70"/>
      <c r="K456" s="70"/>
    </row>
    <row r="457" spans="1:11">
      <c r="A457" s="65"/>
      <c r="B457" s="75"/>
      <c r="C457" s="87"/>
      <c r="D457" s="66"/>
      <c r="E457" s="111"/>
      <c r="F457" s="75"/>
      <c r="G457" s="75"/>
      <c r="H457" s="75"/>
      <c r="I457" s="75"/>
      <c r="J457" s="70"/>
      <c r="K457" s="70"/>
    </row>
    <row r="458" spans="1:11">
      <c r="A458" s="65"/>
      <c r="B458" s="75"/>
      <c r="C458" s="87"/>
      <c r="D458" s="66"/>
      <c r="E458" s="111"/>
      <c r="F458" s="75"/>
      <c r="G458" s="75"/>
      <c r="H458" s="75"/>
      <c r="I458" s="75"/>
      <c r="J458" s="70"/>
      <c r="K458" s="70"/>
    </row>
    <row r="459" spans="1:11">
      <c r="A459" s="65"/>
      <c r="B459" s="75"/>
      <c r="C459" s="87"/>
      <c r="D459" s="66"/>
      <c r="E459" s="111"/>
      <c r="F459" s="75"/>
      <c r="G459" s="75"/>
      <c r="H459" s="75"/>
      <c r="I459" s="75"/>
      <c r="J459" s="70"/>
      <c r="K459" s="70"/>
    </row>
    <row r="460" spans="1:11">
      <c r="A460" s="65"/>
      <c r="B460" s="75"/>
      <c r="C460" s="87"/>
      <c r="D460" s="66"/>
      <c r="E460" s="111"/>
      <c r="F460" s="75"/>
      <c r="G460" s="75"/>
      <c r="H460" s="75"/>
      <c r="I460" s="75"/>
      <c r="J460" s="70"/>
      <c r="K460" s="70"/>
    </row>
    <row r="461" spans="1:11">
      <c r="A461" s="65"/>
      <c r="B461" s="75"/>
      <c r="C461" s="87"/>
      <c r="D461" s="66"/>
      <c r="E461" s="111"/>
      <c r="F461" s="75"/>
      <c r="G461" s="75"/>
      <c r="H461" s="75"/>
      <c r="I461" s="75"/>
      <c r="J461" s="70"/>
      <c r="K461" s="70"/>
    </row>
    <row r="462" spans="1:11">
      <c r="A462" s="65"/>
      <c r="B462" s="75"/>
      <c r="C462" s="87"/>
      <c r="D462" s="66"/>
      <c r="E462" s="111"/>
      <c r="F462" s="75"/>
      <c r="G462" s="75"/>
      <c r="H462" s="75"/>
      <c r="I462" s="75"/>
      <c r="J462" s="70"/>
      <c r="K462" s="70"/>
    </row>
    <row r="463" spans="1:11">
      <c r="A463" s="65"/>
      <c r="B463" s="75"/>
      <c r="C463" s="87"/>
      <c r="D463" s="66"/>
      <c r="E463" s="111"/>
      <c r="F463" s="75"/>
      <c r="G463" s="75"/>
      <c r="H463" s="75"/>
      <c r="I463" s="75"/>
      <c r="J463" s="70"/>
      <c r="K463" s="70"/>
    </row>
    <row r="464" spans="1:11">
      <c r="A464" s="65"/>
      <c r="B464" s="75"/>
      <c r="C464" s="87"/>
      <c r="D464" s="66"/>
      <c r="E464" s="111"/>
      <c r="F464" s="75"/>
      <c r="G464" s="75"/>
      <c r="H464" s="75"/>
      <c r="I464" s="75"/>
      <c r="J464" s="70"/>
      <c r="K464" s="70"/>
    </row>
    <row r="465" spans="1:11">
      <c r="A465" s="65"/>
      <c r="B465" s="75"/>
      <c r="C465" s="87"/>
      <c r="D465" s="66"/>
      <c r="E465" s="111"/>
      <c r="F465" s="75"/>
      <c r="G465" s="75"/>
      <c r="H465" s="75"/>
      <c r="I465" s="75"/>
      <c r="J465" s="70"/>
      <c r="K465" s="70"/>
    </row>
    <row r="466" spans="1:11">
      <c r="A466" s="65"/>
      <c r="B466" s="75"/>
      <c r="C466" s="87"/>
      <c r="D466" s="66"/>
      <c r="E466" s="111"/>
      <c r="F466" s="75"/>
      <c r="G466" s="75"/>
      <c r="H466" s="75"/>
      <c r="I466" s="75"/>
      <c r="J466" s="70"/>
      <c r="K466" s="70"/>
    </row>
    <row r="467" spans="1:11">
      <c r="A467" s="65"/>
      <c r="B467" s="75"/>
      <c r="C467" s="87"/>
      <c r="D467" s="66"/>
      <c r="E467" s="111"/>
      <c r="F467" s="75"/>
      <c r="G467" s="75"/>
      <c r="H467" s="75"/>
      <c r="I467" s="75"/>
      <c r="J467" s="70"/>
      <c r="K467" s="70"/>
    </row>
    <row r="468" spans="1:11">
      <c r="A468" s="65"/>
      <c r="B468" s="75"/>
      <c r="C468" s="87"/>
      <c r="D468" s="66"/>
      <c r="E468" s="111"/>
      <c r="F468" s="75"/>
      <c r="G468" s="75"/>
      <c r="H468" s="75"/>
      <c r="I468" s="75"/>
      <c r="J468" s="70"/>
      <c r="K468" s="70"/>
    </row>
    <row r="469" spans="1:11">
      <c r="A469" s="65"/>
      <c r="B469" s="75"/>
      <c r="C469" s="87"/>
      <c r="D469" s="66"/>
      <c r="E469" s="111"/>
      <c r="F469" s="75"/>
      <c r="G469" s="75"/>
      <c r="H469" s="75"/>
      <c r="I469" s="75"/>
      <c r="J469" s="70"/>
      <c r="K469" s="70"/>
    </row>
    <row r="470" spans="1:11">
      <c r="A470" s="65"/>
      <c r="B470" s="75"/>
      <c r="C470" s="87"/>
      <c r="D470" s="66"/>
      <c r="E470" s="111"/>
      <c r="F470" s="75"/>
      <c r="G470" s="75"/>
      <c r="H470" s="75"/>
      <c r="I470" s="75"/>
      <c r="J470" s="70"/>
      <c r="K470" s="70"/>
    </row>
    <row r="471" spans="1:11">
      <c r="A471" s="65"/>
      <c r="B471" s="75"/>
      <c r="C471" s="87"/>
      <c r="D471" s="66"/>
      <c r="E471" s="111"/>
      <c r="F471" s="75"/>
      <c r="G471" s="75"/>
      <c r="H471" s="75"/>
      <c r="I471" s="75"/>
      <c r="J471" s="70"/>
      <c r="K471" s="70"/>
    </row>
    <row r="472" spans="1:11">
      <c r="A472" s="65"/>
      <c r="B472" s="75"/>
      <c r="C472" s="87"/>
      <c r="D472" s="66"/>
      <c r="E472" s="111"/>
      <c r="F472" s="75"/>
      <c r="G472" s="75"/>
      <c r="H472" s="75"/>
      <c r="I472" s="75"/>
      <c r="J472" s="69"/>
      <c r="K472" s="70"/>
    </row>
    <row r="473" spans="1:11">
      <c r="A473" s="65"/>
      <c r="B473" s="75"/>
      <c r="C473" s="87"/>
      <c r="D473" s="66"/>
      <c r="E473" s="111"/>
      <c r="F473" s="75"/>
      <c r="G473" s="75"/>
      <c r="H473" s="75"/>
      <c r="I473" s="75"/>
      <c r="J473" s="70"/>
      <c r="K473" s="70"/>
    </row>
    <row r="474" spans="1:11">
      <c r="A474" s="65"/>
      <c r="B474" s="75"/>
      <c r="C474" s="87"/>
      <c r="D474" s="66"/>
      <c r="E474" s="111"/>
      <c r="F474" s="75"/>
      <c r="G474" s="75"/>
      <c r="H474" s="75"/>
      <c r="I474" s="75"/>
      <c r="J474" s="70"/>
      <c r="K474" s="70"/>
    </row>
    <row r="475" spans="1:11">
      <c r="A475" s="65"/>
      <c r="B475" s="75"/>
      <c r="C475" s="87"/>
      <c r="D475" s="66"/>
      <c r="E475" s="111"/>
      <c r="F475" s="75"/>
      <c r="G475" s="75"/>
      <c r="H475" s="75"/>
      <c r="I475" s="75"/>
      <c r="J475" s="70"/>
      <c r="K475" s="70"/>
    </row>
    <row r="476" spans="1:11">
      <c r="A476" s="65"/>
      <c r="B476" s="75"/>
      <c r="C476" s="87"/>
      <c r="D476" s="66"/>
      <c r="E476" s="111"/>
      <c r="F476" s="75"/>
      <c r="G476" s="75"/>
      <c r="H476" s="75"/>
      <c r="I476" s="75"/>
      <c r="J476" s="70"/>
      <c r="K476" s="70"/>
    </row>
    <row r="477" spans="1:11">
      <c r="A477" s="65"/>
      <c r="B477" s="75"/>
      <c r="C477" s="87"/>
      <c r="D477" s="66"/>
      <c r="E477" s="111"/>
      <c r="F477" s="75"/>
      <c r="G477" s="75"/>
      <c r="H477" s="75"/>
      <c r="I477" s="75"/>
      <c r="J477" s="70"/>
      <c r="K477" s="70"/>
    </row>
    <row r="478" spans="1:11">
      <c r="A478" s="65"/>
      <c r="B478" s="75"/>
      <c r="C478" s="87"/>
      <c r="D478" s="66"/>
      <c r="E478" s="111"/>
      <c r="F478" s="75"/>
      <c r="G478" s="75"/>
      <c r="H478" s="75"/>
      <c r="I478" s="75"/>
      <c r="J478" s="70"/>
      <c r="K478" s="70"/>
    </row>
    <row r="479" spans="1:11">
      <c r="A479" s="65"/>
      <c r="B479" s="75"/>
      <c r="C479" s="87"/>
      <c r="D479" s="66"/>
      <c r="E479" s="111"/>
      <c r="F479" s="75"/>
      <c r="G479" s="75"/>
      <c r="H479" s="75"/>
      <c r="I479" s="75"/>
      <c r="J479" s="70"/>
      <c r="K479" s="70"/>
    </row>
    <row r="480" spans="1:11">
      <c r="A480" s="65"/>
      <c r="B480" s="75"/>
      <c r="C480" s="87"/>
      <c r="D480" s="66"/>
      <c r="E480" s="111"/>
      <c r="F480" s="75"/>
      <c r="G480" s="75"/>
      <c r="H480" s="75"/>
      <c r="I480" s="75"/>
      <c r="J480" s="70"/>
      <c r="K480" s="70"/>
    </row>
    <row r="481" spans="1:11">
      <c r="A481" s="65"/>
      <c r="B481" s="75"/>
      <c r="C481" s="87"/>
      <c r="D481" s="66"/>
      <c r="E481" s="111"/>
      <c r="F481" s="75"/>
      <c r="G481" s="75"/>
      <c r="H481" s="75"/>
      <c r="I481" s="75"/>
      <c r="J481" s="70"/>
      <c r="K481" s="70"/>
    </row>
    <row r="482" spans="1:11">
      <c r="A482" s="65"/>
      <c r="B482" s="75"/>
      <c r="C482" s="87"/>
      <c r="D482" s="66"/>
      <c r="E482" s="111"/>
      <c r="F482" s="75"/>
      <c r="G482" s="75"/>
      <c r="H482" s="75"/>
      <c r="I482" s="75"/>
      <c r="J482" s="70"/>
      <c r="K482" s="70"/>
    </row>
    <row r="483" spans="1:11">
      <c r="A483" s="65"/>
      <c r="B483" s="75"/>
      <c r="C483" s="87"/>
      <c r="D483" s="66"/>
      <c r="E483" s="111"/>
      <c r="F483" s="75"/>
      <c r="G483" s="75"/>
      <c r="H483" s="75"/>
      <c r="I483" s="75"/>
      <c r="J483" s="70"/>
      <c r="K483" s="70"/>
    </row>
    <row r="484" spans="1:11">
      <c r="A484" s="65"/>
      <c r="B484" s="75"/>
      <c r="C484" s="87"/>
      <c r="D484" s="66"/>
      <c r="E484" s="111"/>
      <c r="F484" s="75"/>
      <c r="G484" s="75"/>
      <c r="H484" s="75"/>
      <c r="I484" s="75"/>
      <c r="J484" s="70"/>
      <c r="K484" s="70"/>
    </row>
    <row r="485" spans="1:11">
      <c r="A485" s="65"/>
      <c r="B485" s="75"/>
      <c r="C485" s="87"/>
      <c r="D485" s="66"/>
      <c r="E485" s="111"/>
      <c r="F485" s="75"/>
      <c r="G485" s="75"/>
      <c r="H485" s="75"/>
      <c r="I485" s="75"/>
      <c r="J485" s="70"/>
      <c r="K485" s="70"/>
    </row>
    <row r="486" spans="1:11">
      <c r="A486" s="65"/>
      <c r="B486" s="75"/>
      <c r="C486" s="87"/>
      <c r="D486" s="66"/>
      <c r="E486" s="111"/>
      <c r="F486" s="75"/>
      <c r="G486" s="75"/>
      <c r="H486" s="75"/>
      <c r="I486" s="75"/>
      <c r="J486" s="70"/>
      <c r="K486" s="70"/>
    </row>
    <row r="487" spans="1:11">
      <c r="A487" s="65"/>
      <c r="B487" s="75"/>
      <c r="C487" s="87"/>
      <c r="D487" s="66"/>
      <c r="E487" s="111"/>
      <c r="F487" s="75"/>
      <c r="G487" s="75"/>
      <c r="H487" s="75"/>
      <c r="I487" s="75"/>
      <c r="J487" s="70"/>
      <c r="K487" s="70"/>
    </row>
    <row r="488" spans="1:11">
      <c r="A488" s="65"/>
      <c r="B488" s="75"/>
      <c r="C488" s="87"/>
      <c r="D488" s="66"/>
      <c r="E488" s="111"/>
      <c r="F488" s="75"/>
      <c r="G488" s="75"/>
      <c r="H488" s="75"/>
      <c r="I488" s="75"/>
      <c r="J488" s="70"/>
      <c r="K488" s="70"/>
    </row>
    <row r="489" spans="1:11">
      <c r="A489" s="65"/>
      <c r="B489" s="75"/>
      <c r="C489" s="87"/>
      <c r="D489" s="66"/>
      <c r="E489" s="111"/>
      <c r="F489" s="75"/>
      <c r="G489" s="75"/>
      <c r="H489" s="75"/>
      <c r="I489" s="75"/>
      <c r="J489" s="70"/>
      <c r="K489" s="70"/>
    </row>
    <row r="490" spans="1:11">
      <c r="A490" s="65"/>
      <c r="B490" s="75"/>
      <c r="C490" s="87"/>
      <c r="D490" s="66"/>
      <c r="E490" s="111"/>
      <c r="F490" s="75"/>
      <c r="G490" s="75"/>
      <c r="H490" s="75"/>
      <c r="I490" s="75"/>
      <c r="J490" s="70"/>
      <c r="K490" s="70"/>
    </row>
    <row r="491" spans="1:11">
      <c r="A491" s="65"/>
      <c r="B491" s="75"/>
      <c r="C491" s="87"/>
      <c r="D491" s="66"/>
      <c r="E491" s="111"/>
      <c r="F491" s="75"/>
      <c r="G491" s="75"/>
      <c r="H491" s="75"/>
      <c r="I491" s="75"/>
      <c r="J491" s="70"/>
      <c r="K491" s="70"/>
    </row>
    <row r="492" spans="1:11">
      <c r="A492" s="65"/>
      <c r="B492" s="75"/>
      <c r="C492" s="87"/>
      <c r="D492" s="66"/>
      <c r="E492" s="111"/>
      <c r="F492" s="75"/>
      <c r="G492" s="75"/>
      <c r="H492" s="75"/>
      <c r="I492" s="75"/>
      <c r="J492" s="69"/>
      <c r="K492" s="70"/>
    </row>
    <row r="493" spans="1:11">
      <c r="A493" s="65"/>
      <c r="B493" s="75"/>
      <c r="C493" s="87"/>
      <c r="D493" s="66"/>
      <c r="E493" s="111"/>
      <c r="F493" s="75"/>
      <c r="G493" s="75"/>
      <c r="H493" s="75"/>
      <c r="I493" s="75"/>
      <c r="J493" s="69"/>
      <c r="K493" s="70"/>
    </row>
    <row r="494" spans="1:11">
      <c r="A494" s="65"/>
      <c r="B494" s="75"/>
      <c r="C494" s="87"/>
      <c r="D494" s="66"/>
      <c r="E494" s="111"/>
      <c r="F494" s="75"/>
      <c r="G494" s="75"/>
      <c r="H494" s="75"/>
      <c r="I494" s="75"/>
      <c r="J494" s="69"/>
      <c r="K494" s="70"/>
    </row>
    <row r="495" spans="1:11">
      <c r="A495" s="65"/>
      <c r="B495" s="75"/>
      <c r="C495" s="87"/>
      <c r="D495" s="66"/>
      <c r="E495" s="111"/>
      <c r="F495" s="75"/>
      <c r="G495" s="75"/>
      <c r="H495" s="75"/>
      <c r="I495" s="75"/>
      <c r="J495" s="69"/>
      <c r="K495" s="70"/>
    </row>
    <row r="496" spans="1:11">
      <c r="A496" s="65"/>
      <c r="B496" s="75"/>
      <c r="C496" s="87"/>
      <c r="D496" s="66"/>
      <c r="E496" s="111"/>
      <c r="F496" s="75"/>
      <c r="G496" s="75"/>
      <c r="H496" s="75"/>
      <c r="I496" s="75"/>
      <c r="J496" s="69"/>
      <c r="K496" s="70"/>
    </row>
    <row r="497" spans="1:11">
      <c r="A497" s="65"/>
      <c r="B497" s="75"/>
      <c r="C497" s="87"/>
      <c r="D497" s="66"/>
      <c r="E497" s="111"/>
      <c r="F497" s="75"/>
      <c r="G497" s="75"/>
      <c r="H497" s="75"/>
      <c r="I497" s="75"/>
      <c r="J497" s="70"/>
      <c r="K497" s="70"/>
    </row>
    <row r="498" spans="1:11">
      <c r="A498" s="65"/>
      <c r="B498" s="75"/>
      <c r="C498" s="87"/>
      <c r="D498" s="66"/>
      <c r="E498" s="111"/>
      <c r="F498" s="75"/>
      <c r="G498" s="75"/>
      <c r="H498" s="75"/>
      <c r="I498" s="75"/>
      <c r="J498" s="69"/>
      <c r="K498" s="70"/>
    </row>
    <row r="499" spans="1:11">
      <c r="A499" s="65"/>
      <c r="B499" s="75"/>
      <c r="C499" s="87"/>
      <c r="D499" s="66"/>
      <c r="E499" s="111"/>
      <c r="F499" s="75"/>
      <c r="G499" s="75"/>
      <c r="H499" s="75"/>
      <c r="I499" s="75"/>
      <c r="J499" s="69"/>
      <c r="K499" s="70"/>
    </row>
    <row r="500" spans="1:11">
      <c r="A500" s="65"/>
      <c r="B500" s="75"/>
      <c r="C500" s="87"/>
      <c r="D500" s="66"/>
      <c r="E500" s="111"/>
      <c r="F500" s="75"/>
      <c r="G500" s="75"/>
      <c r="H500" s="75"/>
      <c r="I500" s="75"/>
      <c r="J500" s="70"/>
      <c r="K500" s="70"/>
    </row>
    <row r="501" spans="1:11">
      <c r="A501" s="65"/>
      <c r="B501" s="75"/>
      <c r="C501" s="87"/>
      <c r="D501" s="66"/>
      <c r="E501" s="111"/>
      <c r="F501" s="75"/>
      <c r="G501" s="75"/>
      <c r="H501" s="75"/>
      <c r="I501" s="75"/>
      <c r="J501" s="70"/>
      <c r="K501" s="70"/>
    </row>
    <row r="502" spans="1:11">
      <c r="A502" s="65"/>
      <c r="B502" s="75"/>
      <c r="C502" s="87"/>
      <c r="D502" s="66"/>
      <c r="E502" s="111"/>
      <c r="F502" s="75"/>
      <c r="G502" s="75"/>
      <c r="H502" s="75"/>
      <c r="I502" s="75"/>
      <c r="J502" s="70"/>
      <c r="K502" s="70"/>
    </row>
    <row r="503" spans="1:11">
      <c r="A503" s="65"/>
      <c r="B503" s="75"/>
      <c r="C503" s="87"/>
      <c r="D503" s="66"/>
      <c r="E503" s="111"/>
      <c r="F503" s="75"/>
      <c r="G503" s="75"/>
      <c r="H503" s="75"/>
      <c r="I503" s="75"/>
      <c r="J503" s="70"/>
      <c r="K503" s="70"/>
    </row>
    <row r="504" spans="1:11">
      <c r="A504" s="65"/>
      <c r="B504" s="75"/>
      <c r="C504" s="87"/>
      <c r="D504" s="66"/>
      <c r="E504" s="111"/>
      <c r="F504" s="75"/>
      <c r="G504" s="75"/>
      <c r="H504" s="75"/>
      <c r="I504" s="75"/>
      <c r="J504" s="70"/>
      <c r="K504" s="70"/>
    </row>
    <row r="505" spans="1:11">
      <c r="A505" s="65"/>
      <c r="B505" s="75"/>
      <c r="C505" s="87"/>
      <c r="D505" s="66"/>
      <c r="E505" s="111"/>
      <c r="F505" s="75"/>
      <c r="G505" s="75"/>
      <c r="H505" s="75"/>
      <c r="I505" s="75"/>
      <c r="J505" s="70"/>
      <c r="K505" s="70"/>
    </row>
  </sheetData>
  <autoFilter ref="A3:K505" xr:uid="{00000000-0009-0000-0000-000001000000}"/>
  <mergeCells count="9">
    <mergeCell ref="A88:C88"/>
    <mergeCell ref="A84:C84"/>
    <mergeCell ref="A49:C49"/>
    <mergeCell ref="A2:C2"/>
    <mergeCell ref="A1:H1"/>
    <mergeCell ref="A5:C5"/>
    <mergeCell ref="A10:C10"/>
    <mergeCell ref="A19:C19"/>
    <mergeCell ref="A45:C45"/>
  </mergeCells>
  <phoneticPr fontId="45" type="noConversion"/>
  <conditionalFormatting sqref="A56">
    <cfRule type="cellIs" dxfId="93" priority="115" operator="equal">
      <formula>"withdrawn"</formula>
    </cfRule>
    <cfRule type="cellIs" dxfId="92" priority="117" operator="equal">
      <formula>"work"</formula>
    </cfRule>
    <cfRule type="cellIs" dxfId="91" priority="118" operator="equal">
      <formula>"open"</formula>
    </cfRule>
    <cfRule type="cellIs" dxfId="90" priority="114" operator="equal">
      <formula>"implemented"</formula>
    </cfRule>
    <cfRule type="cellIs" dxfId="89" priority="116" operator="equal">
      <formula>"done"</formula>
    </cfRule>
    <cfRule type="expression" dxfId="88" priority="113">
      <formula>$J56="not ready specified"</formula>
    </cfRule>
  </conditionalFormatting>
  <conditionalFormatting sqref="A50:C50">
    <cfRule type="cellIs" dxfId="87" priority="281" operator="equal">
      <formula>"withdrawn"</formula>
    </cfRule>
    <cfRule type="expression" dxfId="86" priority="279">
      <formula>$J51="not ready specified"</formula>
    </cfRule>
    <cfRule type="cellIs" dxfId="85" priority="280" operator="equal">
      <formula>"implemented"</formula>
    </cfRule>
    <cfRule type="cellIs" dxfId="84" priority="282" operator="equal">
      <formula>"done"</formula>
    </cfRule>
    <cfRule type="cellIs" dxfId="83" priority="283" operator="equal">
      <formula>"work"</formula>
    </cfRule>
    <cfRule type="cellIs" dxfId="82" priority="284" operator="equal">
      <formula>"open"</formula>
    </cfRule>
  </conditionalFormatting>
  <conditionalFormatting sqref="A51:C52">
    <cfRule type="expression" dxfId="81" priority="298">
      <formula>$J53="not ready specified"</formula>
    </cfRule>
    <cfRule type="cellIs" dxfId="80" priority="299" operator="equal">
      <formula>"implemented"</formula>
    </cfRule>
    <cfRule type="cellIs" dxfId="79" priority="300" operator="equal">
      <formula>"withdrawn"</formula>
    </cfRule>
    <cfRule type="cellIs" dxfId="78" priority="301" operator="equal">
      <formula>"done"</formula>
    </cfRule>
    <cfRule type="cellIs" dxfId="77" priority="302" operator="equal">
      <formula>"work"</formula>
    </cfRule>
    <cfRule type="cellIs" dxfId="76" priority="303" operator="equal">
      <formula>"open"</formula>
    </cfRule>
  </conditionalFormatting>
  <conditionalFormatting sqref="A53:C53 A54:B55">
    <cfRule type="cellIs" dxfId="75" priority="271" operator="equal">
      <formula>"open"</formula>
    </cfRule>
    <cfRule type="cellIs" dxfId="74" priority="270" operator="equal">
      <formula>"work"</formula>
    </cfRule>
    <cfRule type="cellIs" dxfId="73" priority="269" operator="equal">
      <formula>"done"</formula>
    </cfRule>
    <cfRule type="cellIs" dxfId="72" priority="268" operator="equal">
      <formula>"withdrawn"</formula>
    </cfRule>
    <cfRule type="cellIs" dxfId="71" priority="267" operator="equal">
      <formula>"implemented"</formula>
    </cfRule>
    <cfRule type="expression" dxfId="70" priority="266">
      <formula>$J50="not ready specified"</formula>
    </cfRule>
  </conditionalFormatting>
  <conditionalFormatting sqref="A4:K5 A6:D6 F6:K6 A7:K10 A11:D11 F11:K11 A12:K13 A14:D16 F14:K16 A17:K44 A45 D45:K45 A46:K47 D48:K56 A49 A76:K76 A90:K195">
    <cfRule type="cellIs" dxfId="69" priority="219" operator="equal">
      <formula>"open"</formula>
    </cfRule>
    <cfRule type="cellIs" dxfId="68" priority="161" operator="equal">
      <formula>"work"</formula>
    </cfRule>
    <cfRule type="cellIs" dxfId="67" priority="160" operator="equal">
      <formula>"done"</formula>
    </cfRule>
    <cfRule type="cellIs" dxfId="66" priority="159" operator="equal">
      <formula>"withdrawn"</formula>
    </cfRule>
    <cfRule type="cellIs" dxfId="65" priority="158" operator="equal">
      <formula>"implemented"</formula>
    </cfRule>
  </conditionalFormatting>
  <conditionalFormatting sqref="A57:K81">
    <cfRule type="cellIs" dxfId="64" priority="47" operator="equal">
      <formula>"work"</formula>
    </cfRule>
    <cfRule type="cellIs" dxfId="63" priority="46" operator="equal">
      <formula>"done"</formula>
    </cfRule>
    <cfRule type="cellIs" dxfId="62" priority="45" operator="equal">
      <formula>"withdrawn"</formula>
    </cfRule>
    <cfRule type="cellIs" dxfId="61" priority="44" operator="equal">
      <formula>"implemented"</formula>
    </cfRule>
    <cfRule type="expression" dxfId="60" priority="43">
      <formula>$J57="not ready specified"</formula>
    </cfRule>
    <cfRule type="cellIs" dxfId="59" priority="48" operator="equal">
      <formula>"open"</formula>
    </cfRule>
  </conditionalFormatting>
  <conditionalFormatting sqref="A76:K76 A90:K195 A4:K5 A6:D6 F6:K6 A7:K10 A11:D11 F11:K11 A12:K13 A14:D16 F14:K16 A17:K44 A45 D45:K45 A46:K47 D48:K56 A49">
    <cfRule type="expression" dxfId="58" priority="145">
      <formula>$J4="not ready specified"</formula>
    </cfRule>
  </conditionalFormatting>
  <conditionalFormatting sqref="A77:K81">
    <cfRule type="cellIs" dxfId="57" priority="41" operator="equal">
      <formula>"open"</formula>
    </cfRule>
    <cfRule type="cellIs" dxfId="56" priority="39" operator="equal">
      <formula>"done"</formula>
    </cfRule>
    <cfRule type="cellIs" dxfId="55" priority="38" operator="equal">
      <formula>"withdrawn"</formula>
    </cfRule>
    <cfRule type="cellIs" dxfId="54" priority="37" operator="equal">
      <formula>"implemented"</formula>
    </cfRule>
    <cfRule type="expression" dxfId="53" priority="36">
      <formula>$J77="not ready specified"</formula>
    </cfRule>
    <cfRule type="cellIs" dxfId="52" priority="40" operator="equal">
      <formula>"work"</formula>
    </cfRule>
  </conditionalFormatting>
  <conditionalFormatting sqref="A82:K87">
    <cfRule type="cellIs" dxfId="51" priority="104" operator="equal">
      <formula>"open"</formula>
    </cfRule>
    <cfRule type="cellIs" dxfId="50" priority="103" operator="equal">
      <formula>"work"</formula>
    </cfRule>
    <cfRule type="cellIs" dxfId="49" priority="101" operator="equal">
      <formula>"withdrawn"</formula>
    </cfRule>
    <cfRule type="cellIs" dxfId="48" priority="100" operator="equal">
      <formula>"implemented"</formula>
    </cfRule>
    <cfRule type="expression" dxfId="47" priority="99">
      <formula>$J82="not ready specified"</formula>
    </cfRule>
    <cfRule type="cellIs" dxfId="46" priority="102" operator="equal">
      <formula>"done"</formula>
    </cfRule>
  </conditionalFormatting>
  <conditionalFormatting sqref="A88:K89">
    <cfRule type="cellIs" dxfId="45" priority="25" operator="equal">
      <formula>"done"</formula>
    </cfRule>
    <cfRule type="cellIs" dxfId="44" priority="24" operator="equal">
      <formula>"withdrawn"</formula>
    </cfRule>
    <cfRule type="cellIs" dxfId="43" priority="23" operator="equal">
      <formula>"implemented"</formula>
    </cfRule>
    <cfRule type="expression" dxfId="42" priority="22">
      <formula>$J88="not ready specified"</formula>
    </cfRule>
    <cfRule type="cellIs" dxfId="41" priority="27" operator="equal">
      <formula>"open"</formula>
    </cfRule>
    <cfRule type="cellIs" dxfId="40" priority="26" operator="equal">
      <formula>"work"</formula>
    </cfRule>
  </conditionalFormatting>
  <conditionalFormatting sqref="B50:B55 B82:B83 B85:B87 B46:B47 B4:B44 B76 B90:B195 B57:B74">
    <cfRule type="duplicateValues" dxfId="39" priority="355"/>
  </conditionalFormatting>
  <conditionalFormatting sqref="B56">
    <cfRule type="cellIs" dxfId="38" priority="107" operator="equal">
      <formula>"implemented"</formula>
    </cfRule>
    <cfRule type="cellIs" dxfId="37" priority="109" operator="equal">
      <formula>"done"</formula>
    </cfRule>
    <cfRule type="cellIs" dxfId="36" priority="110" operator="equal">
      <formula>"work"</formula>
    </cfRule>
    <cfRule type="cellIs" dxfId="35" priority="111" operator="equal">
      <formula>"open"</formula>
    </cfRule>
    <cfRule type="duplicateValues" dxfId="34" priority="112"/>
    <cfRule type="cellIs" dxfId="33" priority="108" operator="equal">
      <formula>"withdrawn"</formula>
    </cfRule>
    <cfRule type="expression" dxfId="32" priority="106">
      <formula>$J51="not ready specified"</formula>
    </cfRule>
  </conditionalFormatting>
  <conditionalFormatting sqref="B75">
    <cfRule type="duplicateValues" dxfId="31" priority="56"/>
  </conditionalFormatting>
  <conditionalFormatting sqref="B76">
    <cfRule type="duplicateValues" dxfId="30" priority="91"/>
  </conditionalFormatting>
  <conditionalFormatting sqref="B77:B81">
    <cfRule type="duplicateValues" dxfId="29" priority="49"/>
    <cfRule type="duplicateValues" dxfId="28" priority="42"/>
  </conditionalFormatting>
  <conditionalFormatting sqref="B84">
    <cfRule type="duplicateValues" dxfId="27" priority="105"/>
  </conditionalFormatting>
  <conditionalFormatting sqref="B86">
    <cfRule type="expression" dxfId="26" priority="78">
      <formula>$J86="not ready specified"</formula>
    </cfRule>
    <cfRule type="cellIs" dxfId="25" priority="83" operator="equal">
      <formula>"open"</formula>
    </cfRule>
    <cfRule type="duplicateValues" dxfId="24" priority="84"/>
    <cfRule type="cellIs" dxfId="23" priority="82" operator="equal">
      <formula>"work"</formula>
    </cfRule>
    <cfRule type="cellIs" dxfId="22" priority="81" operator="equal">
      <formula>"done"</formula>
    </cfRule>
    <cfRule type="cellIs" dxfId="21" priority="80" operator="equal">
      <formula>"withdrawn"</formula>
    </cfRule>
    <cfRule type="cellIs" dxfId="20" priority="79" operator="equal">
      <formula>"implemented"</formula>
    </cfRule>
  </conditionalFormatting>
  <conditionalFormatting sqref="B88">
    <cfRule type="duplicateValues" dxfId="19" priority="35"/>
  </conditionalFormatting>
  <conditionalFormatting sqref="B89">
    <cfRule type="duplicateValues" dxfId="18" priority="28"/>
    <cfRule type="duplicateValues" dxfId="17" priority="21"/>
  </conditionalFormatting>
  <conditionalFormatting sqref="B89:B93">
    <cfRule type="cellIs" dxfId="16" priority="13" operator="equal">
      <formula>"open"</formula>
    </cfRule>
    <cfRule type="cellIs" dxfId="15" priority="11" operator="equal">
      <formula>"done"</formula>
    </cfRule>
    <cfRule type="cellIs" dxfId="14" priority="10" operator="equal">
      <formula>"withdrawn"</formula>
    </cfRule>
    <cfRule type="cellIs" dxfId="13" priority="9" operator="equal">
      <formula>"implemented"</formula>
    </cfRule>
    <cfRule type="expression" dxfId="12" priority="8">
      <formula>$J89="not ready specified"</formula>
    </cfRule>
    <cfRule type="cellIs" dxfId="11" priority="12" operator="equal">
      <formula>"work"</formula>
    </cfRule>
  </conditionalFormatting>
  <conditionalFormatting sqref="B90:B91">
    <cfRule type="duplicateValues" dxfId="10" priority="70"/>
  </conditionalFormatting>
  <conditionalFormatting sqref="B92">
    <cfRule type="duplicateValues" dxfId="9" priority="63"/>
  </conditionalFormatting>
  <conditionalFormatting sqref="B93">
    <cfRule type="duplicateValues" dxfId="8" priority="14"/>
  </conditionalFormatting>
  <conditionalFormatting sqref="B95">
    <cfRule type="expression" dxfId="7" priority="1">
      <formula>$J95="not ready specified"</formula>
    </cfRule>
    <cfRule type="duplicateValues" dxfId="6" priority="7"/>
    <cfRule type="cellIs" dxfId="5" priority="6" operator="equal">
      <formula>"open"</formula>
    </cfRule>
    <cfRule type="cellIs" dxfId="4" priority="5" operator="equal">
      <formula>"work"</formula>
    </cfRule>
    <cfRule type="cellIs" dxfId="3" priority="4" operator="equal">
      <formula>"done"</formula>
    </cfRule>
    <cfRule type="cellIs" dxfId="2" priority="3" operator="equal">
      <formula>"withdrawn"</formula>
    </cfRule>
    <cfRule type="cellIs" dxfId="1" priority="2" operator="equal">
      <formula>"implemented"</formula>
    </cfRule>
  </conditionalFormatting>
  <hyperlinks>
    <hyperlink ref="C27" location="'Zuordnung Temperatursensoren'!A1" display="Da die Anzahl der Temperatursensoren nicht mit der Anzahl der gemessenen Zellspannung übereinstimmt, werden die gemessenen Temperaturen den Spannungen wie folgt zugeordnet. " xr:uid="{2C87AAF7-302D-484F-9D02-CE5146F56BC5}"/>
    <hyperlink ref="C35" location="'isoSPI Error Flags'!A1" display="'isoSPI Error Flags'!A1" xr:uid="{FE84CAE0-AA99-4F62-A7AA-43A06C046360}"/>
    <hyperlink ref="C33" location="'isoSPI Error Flags'!A1" display="Liegt innerhalb 10 ms kein Poll-Ergebnis vor, ist das Message timeout-errorflag BMU_ISOSPI_Error_Timeout zu etzen." xr:uid="{B650424F-8595-42AD-9358-1E497F2407C7}"/>
    <hyperlink ref="E6" r:id="rId1" display="http://jira.akasol:8080/browse/AKATOOL-156" xr:uid="{B4601C34-4233-4530-85FC-536277AC772F}"/>
    <hyperlink ref="E11" r:id="rId2" display="http://jira.akasol:8080/browse/AKATOOL-156" xr:uid="{32112D3E-66FA-4277-96A2-2BAE6C2E9CAA}"/>
    <hyperlink ref="E14" r:id="rId3" display="http://jira.akasol:8080/browse/AKATOOL-156" xr:uid="{43E2FC6F-B7F5-4ED6-A9F8-DE693F4F3BDA}"/>
    <hyperlink ref="E15" r:id="rId4" display="http://jira.akasol:8080/browse/AKATOOL-156" xr:uid="{9CAF5E39-2570-4363-9E5A-8ADF8CA52AD8}"/>
    <hyperlink ref="E16" r:id="rId5" display="http://jira.akasol:8080/browse/AKATOOL-156" xr:uid="{4A060A03-5D9F-4602-9645-BBD1C01C8CCC}"/>
    <hyperlink ref="C23" r:id="rId6" display="Der isoSPI Task soll CAN messages senden, welche der angepassten akaCAN Matrix entsprechen." xr:uid="{2973015C-09FD-4814-BB30-571CA2465D5D}"/>
    <hyperlink ref="C53" location="'EEPROM Speicheraufteilung'!A1" display="Die Speicheraufteilung der auf den Modulen verbauten EEPROMs ist wie folgt durch zu führen." xr:uid="{56E37317-A32B-40CF-B32D-1D27AE3C3E9E}"/>
    <hyperlink ref="C59" location="'isoSPI EEPROM Initialisierung'!A1" display="Der gewünschte Ablauf der Initialisierung der EEPROMs ist im Folgenden beschrieben. Außerdem ist auf der verlinkten Seite ein Ablaufplan dargestellt." xr:uid="{4418DD48-9DEC-4908-AAB7-B97CF07EAE8A}"/>
    <hyperlink ref="C61" location="'EEPROM Content Flags'!A1" display="Nach dem erfolgreichen Einlesen der EEPROM Daten ist der Inhalt der EEPROMs auf Korrektheit zu überprüfen und ggf. entsprechende Error-Flags bzw. ein write-Protection zu setzen." xr:uid="{2C1798B3-A61E-472A-831D-A77A23659B60}"/>
    <hyperlink ref="C68" location="'EEPROM Write Ablaufplan'!A1" display="Der gewünschte Ablauf des Programmes bezüglich der EEPROM Funktionalitäten ist im Folgenden beschrieben. Außerdem ist auf der verlinkten Seite ein Ablaufplan dargestellt." xr:uid="{D6EE12DD-F745-47E2-8660-533C3F9AB15A}"/>
    <hyperlink ref="C38" location="'EEPROM Speicheraufteilung'!A1" display="Die EEPROM-Speicheraufteilung ist entsprechend umzusetzen." xr:uid="{A7DE1D4E-4634-4B55-8DCD-7D9255920BA9}"/>
    <hyperlink ref="E67" r:id="rId7" xr:uid="{D30674BC-E69F-4FDF-98D6-AF99A099F355}"/>
    <hyperlink ref="E53" r:id="rId8" xr:uid="{0D93DEFB-471F-44E4-9DCE-F2977EDBF2C7}"/>
    <hyperlink ref="E56" r:id="rId9" xr:uid="{8E64F52A-D99E-4CF6-8907-2BE40A078359}"/>
    <hyperlink ref="E60" r:id="rId10" xr:uid="{EE8BE7C0-396A-4E0E-ACF2-2A3EBF2AEC09}"/>
    <hyperlink ref="E61" r:id="rId11" xr:uid="{859BF5DB-0069-4E44-A090-C4CDCAA4FED1}"/>
    <hyperlink ref="E63" r:id="rId12" xr:uid="{037B2B25-42BC-4BFD-AE8A-60B532ABCFDA}"/>
    <hyperlink ref="E64" r:id="rId13" xr:uid="{EAB348CF-8013-45EA-9588-C4BDBD53BA2A}"/>
    <hyperlink ref="E72" r:id="rId14" xr:uid="{0799399B-9265-447F-83D9-12ADF4F03E10}"/>
    <hyperlink ref="E73" r:id="rId15" xr:uid="{950177E8-FCA1-4BFB-86C9-AE59D3979B40}"/>
    <hyperlink ref="E33" r:id="rId16" xr:uid="{EA1DA29D-2131-4456-B136-D74AD6997273}"/>
    <hyperlink ref="E37" r:id="rId17" xr:uid="{214DF446-0A1F-4435-B491-ECC90090C5C4}"/>
    <hyperlink ref="E34" r:id="rId18" xr:uid="{718E7A7B-2694-475B-865E-9A66615AE84D}"/>
    <hyperlink ref="E55" r:id="rId19" xr:uid="{69721950-E22F-4CAD-A285-7EA2EE9CDA81}"/>
    <hyperlink ref="E77" r:id="rId20" xr:uid="{5F6EC3B3-B70A-4ECF-AD48-F7F2A95E5572}"/>
  </hyperlinks>
  <pageMargins left="0.7" right="0.7" top="0.78740157499999996" bottom="0.78740157499999996" header="0.3" footer="0.3"/>
  <pageSetup paperSize="9" scale="76" orientation="portrait" r:id="rId21"/>
  <headerFooter>
    <oddHeader>&amp;LProjekt iLINT 
Prototyp and Pre-Series&amp;CDRAFT 0.4&amp;R&amp;P/&amp;N</oddHeader>
    <oddFooter>&amp;C1034001TEN0003</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xr:uid="{3B91956F-54C7-45A8-9806-A384C07021B9}">
          <x14:formula1>
            <xm:f>Listen!$N$2:$N$4</xm:f>
          </x14:formula1>
          <xm:sqref>A4 A6:A9 A11:A18 A50:A55 A20:A44 A46:A47 A89:A505 A85:A87 A57:A83</xm:sqref>
        </x14:dataValidation>
        <x14:dataValidation type="list" allowBlank="1" showInputMessage="1" showErrorMessage="1" xr:uid="{D977F744-7B59-4A86-8C0B-E735EAB01F8D}">
          <x14:formula1>
            <xm:f>Listen!$F$2:$F$5</xm:f>
          </x14:formula1>
          <xm:sqref>F1:F1048576</xm:sqref>
        </x14:dataValidation>
        <x14:dataValidation type="list" allowBlank="1" showInputMessage="1" showErrorMessage="1" xr:uid="{7081CBCB-A609-4390-94AE-01945A112087}">
          <x14:formula1>
            <xm:f>Listen!$B$2:$B$21</xm:f>
          </x14:formula1>
          <xm:sqref>D1:D1048576</xm:sqref>
        </x14:dataValidation>
        <x14:dataValidation type="list" allowBlank="1" showInputMessage="1" showErrorMessage="1" xr:uid="{D334CD3E-5209-40D1-BACE-ECC75CB22927}">
          <x14:formula1>
            <xm:f>Listen!$G$2:$G$9</xm:f>
          </x14:formula1>
          <xm:sqref>J1:J1048576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0"/>
  <sheetViews>
    <sheetView topLeftCell="A31" zoomScaleNormal="100" zoomScaleSheetLayoutView="70" workbookViewId="0">
      <selection activeCell="K36" sqref="K36"/>
    </sheetView>
  </sheetViews>
  <sheetFormatPr defaultColWidth="3.85546875" defaultRowHeight="15"/>
  <cols>
    <col min="1" max="1" width="5.85546875" customWidth="1"/>
    <col min="2" max="2" width="18.28515625" customWidth="1"/>
    <col min="3" max="3" width="11.42578125" customWidth="1"/>
    <col min="4" max="4" width="49.85546875" customWidth="1"/>
    <col min="5" max="5" width="10.140625" customWidth="1"/>
    <col min="6" max="6" width="10.5703125" style="6" customWidth="1"/>
    <col min="7" max="7" width="21" customWidth="1"/>
    <col min="8" max="8" width="7.42578125" customWidth="1"/>
    <col min="12" max="12" width="13.140625" customWidth="1"/>
  </cols>
  <sheetData>
    <row r="1" spans="1:8">
      <c r="A1" s="298" t="s">
        <v>60</v>
      </c>
      <c r="B1" s="298"/>
      <c r="C1" s="298"/>
      <c r="D1" s="298"/>
      <c r="E1" s="298"/>
      <c r="F1" s="298"/>
      <c r="G1" s="298"/>
      <c r="H1" s="298"/>
    </row>
    <row r="2" spans="1:8" ht="26.25" thickBot="1">
      <c r="A2" s="305" t="s">
        <v>255</v>
      </c>
      <c r="B2" s="305"/>
      <c r="C2" s="305"/>
      <c r="D2" s="306"/>
      <c r="E2" s="47" t="s">
        <v>62</v>
      </c>
      <c r="F2" s="44" t="s">
        <v>64</v>
      </c>
      <c r="G2" s="38" t="s">
        <v>256</v>
      </c>
      <c r="H2" s="38" t="s">
        <v>66</v>
      </c>
    </row>
    <row r="3" spans="1:8" ht="51">
      <c r="A3" s="46" t="s">
        <v>257</v>
      </c>
      <c r="B3" s="50" t="s">
        <v>70</v>
      </c>
      <c r="C3" s="50" t="s">
        <v>258</v>
      </c>
      <c r="D3" s="48" t="s">
        <v>71</v>
      </c>
      <c r="E3" s="48" t="s">
        <v>259</v>
      </c>
      <c r="F3" s="49" t="s">
        <v>260</v>
      </c>
      <c r="G3" s="51" t="s">
        <v>75</v>
      </c>
      <c r="H3" s="53" t="s">
        <v>261</v>
      </c>
    </row>
    <row r="4" spans="1:8" ht="51">
      <c r="A4" s="191">
        <v>0</v>
      </c>
      <c r="B4" s="191" t="s">
        <v>262</v>
      </c>
      <c r="C4" s="191" t="s">
        <v>263</v>
      </c>
      <c r="D4" s="191" t="s">
        <v>264</v>
      </c>
      <c r="E4" s="191" t="s">
        <v>82</v>
      </c>
      <c r="F4" s="191" t="s">
        <v>265</v>
      </c>
      <c r="G4" s="191"/>
      <c r="H4" s="192" t="s">
        <v>266</v>
      </c>
    </row>
    <row r="5" spans="1:8" ht="38.25">
      <c r="A5" s="191">
        <v>0</v>
      </c>
      <c r="B5" s="191" t="s">
        <v>267</v>
      </c>
      <c r="C5" s="191" t="s">
        <v>263</v>
      </c>
      <c r="D5" s="191" t="s">
        <v>268</v>
      </c>
      <c r="E5" s="191" t="s">
        <v>82</v>
      </c>
      <c r="F5" s="191" t="s">
        <v>265</v>
      </c>
      <c r="G5" s="191"/>
      <c r="H5" s="192" t="s">
        <v>269</v>
      </c>
    </row>
    <row r="6" spans="1:8" ht="25.5">
      <c r="A6" s="191">
        <v>0</v>
      </c>
      <c r="B6" s="191" t="s">
        <v>270</v>
      </c>
      <c r="C6" s="191" t="s">
        <v>263</v>
      </c>
      <c r="D6" s="191" t="s">
        <v>271</v>
      </c>
      <c r="E6" s="191" t="s">
        <v>82</v>
      </c>
      <c r="F6" s="191" t="s">
        <v>265</v>
      </c>
      <c r="G6" s="191"/>
      <c r="H6" s="192" t="s">
        <v>269</v>
      </c>
    </row>
    <row r="7" spans="1:8" ht="63.75">
      <c r="A7" s="191">
        <v>0</v>
      </c>
      <c r="B7" s="191" t="s">
        <v>272</v>
      </c>
      <c r="C7" s="191" t="s">
        <v>273</v>
      </c>
      <c r="D7" s="191" t="s">
        <v>274</v>
      </c>
      <c r="E7" s="191" t="s">
        <v>82</v>
      </c>
      <c r="F7" s="191" t="s">
        <v>265</v>
      </c>
      <c r="G7" s="191"/>
      <c r="H7" s="192" t="s">
        <v>269</v>
      </c>
    </row>
    <row r="8" spans="1:8" ht="63.75">
      <c r="A8" s="191">
        <v>0</v>
      </c>
      <c r="B8" s="191" t="s">
        <v>275</v>
      </c>
      <c r="C8" s="191" t="s">
        <v>273</v>
      </c>
      <c r="D8" s="191" t="s">
        <v>276</v>
      </c>
      <c r="E8" s="191" t="s">
        <v>277</v>
      </c>
      <c r="F8" s="191" t="s">
        <v>265</v>
      </c>
      <c r="G8" s="191"/>
      <c r="H8" s="192" t="s">
        <v>269</v>
      </c>
    </row>
    <row r="9" spans="1:8" ht="25.5">
      <c r="A9" s="191"/>
      <c r="B9" s="191" t="s">
        <v>278</v>
      </c>
      <c r="C9" s="191"/>
      <c r="D9" s="193" t="s">
        <v>279</v>
      </c>
      <c r="E9" s="191"/>
      <c r="F9" s="191"/>
      <c r="G9" s="191"/>
      <c r="H9" s="192"/>
    </row>
    <row r="10" spans="1:8" ht="63.75">
      <c r="A10" s="191">
        <v>0</v>
      </c>
      <c r="B10" s="191" t="s">
        <v>280</v>
      </c>
      <c r="C10" s="191" t="s">
        <v>281</v>
      </c>
      <c r="D10" s="191" t="s">
        <v>282</v>
      </c>
      <c r="E10" s="191" t="s">
        <v>82</v>
      </c>
      <c r="F10" s="191" t="s">
        <v>265</v>
      </c>
      <c r="G10" s="191"/>
      <c r="H10" s="192" t="s">
        <v>269</v>
      </c>
    </row>
    <row r="11" spans="1:8" ht="63.75">
      <c r="A11" s="191">
        <v>0</v>
      </c>
      <c r="B11" s="191" t="s">
        <v>283</v>
      </c>
      <c r="C11" s="191" t="s">
        <v>281</v>
      </c>
      <c r="D11" s="191" t="s">
        <v>284</v>
      </c>
      <c r="E11" s="191" t="s">
        <v>82</v>
      </c>
      <c r="F11" s="191" t="s">
        <v>265</v>
      </c>
      <c r="G11" s="191"/>
      <c r="H11" s="192" t="s">
        <v>269</v>
      </c>
    </row>
    <row r="12" spans="1:8" ht="63.75">
      <c r="A12" s="191">
        <v>0</v>
      </c>
      <c r="B12" s="191" t="s">
        <v>285</v>
      </c>
      <c r="C12" s="191"/>
      <c r="D12" s="191" t="s">
        <v>286</v>
      </c>
      <c r="E12" s="191" t="s">
        <v>277</v>
      </c>
      <c r="F12" s="191" t="s">
        <v>265</v>
      </c>
      <c r="G12" s="191"/>
      <c r="H12" s="192" t="s">
        <v>269</v>
      </c>
    </row>
    <row r="13" spans="1:8" ht="25.5">
      <c r="A13" s="191"/>
      <c r="B13" s="191" t="s">
        <v>287</v>
      </c>
      <c r="C13" s="191"/>
      <c r="D13" s="193" t="s">
        <v>279</v>
      </c>
      <c r="E13" s="191"/>
      <c r="F13" s="191"/>
      <c r="G13" s="191"/>
      <c r="H13" s="192"/>
    </row>
    <row r="14" spans="1:8" ht="38.25">
      <c r="A14" s="191">
        <v>0</v>
      </c>
      <c r="B14" s="191" t="s">
        <v>288</v>
      </c>
      <c r="C14" s="191" t="s">
        <v>289</v>
      </c>
      <c r="D14" s="191" t="s">
        <v>290</v>
      </c>
      <c r="E14" s="191" t="s">
        <v>82</v>
      </c>
      <c r="F14" s="191" t="s">
        <v>265</v>
      </c>
      <c r="G14" s="191"/>
      <c r="H14" s="192" t="s">
        <v>269</v>
      </c>
    </row>
    <row r="15" spans="1:8" ht="63.75">
      <c r="A15" s="191">
        <v>0</v>
      </c>
      <c r="B15" s="191" t="s">
        <v>291</v>
      </c>
      <c r="C15" s="191" t="s">
        <v>292</v>
      </c>
      <c r="D15" s="191" t="s">
        <v>293</v>
      </c>
      <c r="E15" s="191" t="s">
        <v>82</v>
      </c>
      <c r="F15" s="191" t="s">
        <v>265</v>
      </c>
      <c r="G15" s="191"/>
      <c r="H15" s="192" t="s">
        <v>269</v>
      </c>
    </row>
    <row r="16" spans="1:8" ht="38.25">
      <c r="A16" s="191">
        <v>0</v>
      </c>
      <c r="B16" s="191" t="s">
        <v>294</v>
      </c>
      <c r="C16" s="191" t="s">
        <v>295</v>
      </c>
      <c r="D16" s="191" t="s">
        <v>296</v>
      </c>
      <c r="E16" s="191" t="s">
        <v>82</v>
      </c>
      <c r="F16" s="191" t="s">
        <v>265</v>
      </c>
      <c r="G16" s="191"/>
      <c r="H16" s="192" t="s">
        <v>269</v>
      </c>
    </row>
    <row r="17" spans="1:8" ht="25.5">
      <c r="A17" s="191"/>
      <c r="B17" s="191" t="s">
        <v>297</v>
      </c>
      <c r="C17" s="191"/>
      <c r="D17" s="191" t="s">
        <v>298</v>
      </c>
      <c r="E17" s="191"/>
      <c r="F17" s="191"/>
      <c r="G17" s="191"/>
      <c r="H17" s="192"/>
    </row>
    <row r="18" spans="1:8" ht="63.75">
      <c r="A18" s="191">
        <v>0</v>
      </c>
      <c r="B18" s="191" t="s">
        <v>299</v>
      </c>
      <c r="C18" s="191" t="s">
        <v>295</v>
      </c>
      <c r="D18" s="191" t="s">
        <v>300</v>
      </c>
      <c r="E18" s="191" t="s">
        <v>82</v>
      </c>
      <c r="F18" s="191" t="s">
        <v>265</v>
      </c>
      <c r="G18" s="191"/>
      <c r="H18" s="192" t="s">
        <v>269</v>
      </c>
    </row>
    <row r="19" spans="1:8" ht="38.25">
      <c r="A19" s="191"/>
      <c r="B19" s="191" t="s">
        <v>301</v>
      </c>
      <c r="C19" s="191"/>
      <c r="D19" s="191" t="s">
        <v>302</v>
      </c>
      <c r="E19" s="191"/>
      <c r="F19" s="191"/>
      <c r="G19" s="191"/>
      <c r="H19" s="192"/>
    </row>
    <row r="20" spans="1:8" ht="51">
      <c r="A20" s="191">
        <v>0</v>
      </c>
      <c r="B20" s="191" t="s">
        <v>299</v>
      </c>
      <c r="C20" s="191" t="s">
        <v>303</v>
      </c>
      <c r="D20" s="191" t="s">
        <v>304</v>
      </c>
      <c r="E20" s="191" t="s">
        <v>82</v>
      </c>
      <c r="F20" s="191" t="s">
        <v>265</v>
      </c>
      <c r="G20" s="191"/>
      <c r="H20" s="192" t="s">
        <v>269</v>
      </c>
    </row>
    <row r="21" spans="1:8" ht="51">
      <c r="A21" s="191">
        <v>0</v>
      </c>
      <c r="B21" s="191" t="s">
        <v>305</v>
      </c>
      <c r="C21" s="191" t="s">
        <v>306</v>
      </c>
      <c r="D21" s="191" t="s">
        <v>307</v>
      </c>
      <c r="E21" s="191" t="s">
        <v>82</v>
      </c>
      <c r="F21" s="191" t="s">
        <v>265</v>
      </c>
      <c r="G21" s="191"/>
      <c r="H21" s="192" t="s">
        <v>269</v>
      </c>
    </row>
    <row r="22" spans="1:8" ht="51">
      <c r="A22" s="191">
        <v>0</v>
      </c>
      <c r="B22" s="191" t="s">
        <v>308</v>
      </c>
      <c r="C22" s="191" t="s">
        <v>309</v>
      </c>
      <c r="D22" s="191" t="s">
        <v>310</v>
      </c>
      <c r="E22" s="191" t="s">
        <v>82</v>
      </c>
      <c r="F22" s="191" t="s">
        <v>265</v>
      </c>
      <c r="G22" s="191"/>
      <c r="H22" s="192" t="s">
        <v>269</v>
      </c>
    </row>
    <row r="23" spans="1:8" ht="51">
      <c r="A23" s="191">
        <v>0</v>
      </c>
      <c r="B23" s="191" t="s">
        <v>311</v>
      </c>
      <c r="C23" s="191" t="s">
        <v>312</v>
      </c>
      <c r="D23" s="191" t="s">
        <v>313</v>
      </c>
      <c r="E23" s="191" t="s">
        <v>82</v>
      </c>
      <c r="F23" s="191" t="s">
        <v>265</v>
      </c>
      <c r="G23" s="191"/>
      <c r="H23" s="192" t="s">
        <v>269</v>
      </c>
    </row>
    <row r="24" spans="1:8" ht="76.5">
      <c r="A24" s="191">
        <v>0</v>
      </c>
      <c r="B24" s="199" t="s">
        <v>314</v>
      </c>
      <c r="C24" s="199" t="s">
        <v>315</v>
      </c>
      <c r="D24" s="191" t="s">
        <v>316</v>
      </c>
      <c r="E24" s="199" t="s">
        <v>82</v>
      </c>
      <c r="F24" s="199" t="s">
        <v>265</v>
      </c>
      <c r="G24" s="199"/>
      <c r="H24" s="200" t="s">
        <v>269</v>
      </c>
    </row>
    <row r="25" spans="1:8" ht="178.5">
      <c r="A25" s="191">
        <v>0</v>
      </c>
      <c r="B25" s="191" t="s">
        <v>317</v>
      </c>
      <c r="C25" s="191" t="s">
        <v>318</v>
      </c>
      <c r="D25" s="191" t="s">
        <v>319</v>
      </c>
      <c r="E25" s="191" t="s">
        <v>82</v>
      </c>
      <c r="F25" s="191" t="s">
        <v>265</v>
      </c>
      <c r="G25" s="191"/>
      <c r="H25" s="192" t="s">
        <v>269</v>
      </c>
    </row>
    <row r="26" spans="1:8" ht="38.25">
      <c r="A26" s="191"/>
      <c r="B26" s="191" t="s">
        <v>320</v>
      </c>
      <c r="C26" s="191"/>
      <c r="D26" s="191" t="s">
        <v>321</v>
      </c>
      <c r="E26" s="191"/>
      <c r="F26" s="191"/>
      <c r="G26" s="191"/>
      <c r="H26" s="192"/>
    </row>
    <row r="27" spans="1:8" ht="51">
      <c r="A27" s="191"/>
      <c r="B27" s="191" t="s">
        <v>322</v>
      </c>
      <c r="C27" s="191" t="s">
        <v>323</v>
      </c>
      <c r="D27" s="191" t="s">
        <v>324</v>
      </c>
      <c r="E27" s="191"/>
      <c r="F27" s="191"/>
      <c r="G27" s="191"/>
      <c r="H27" s="192"/>
    </row>
    <row r="28" spans="1:8" ht="38.25">
      <c r="A28" s="191">
        <v>0</v>
      </c>
      <c r="B28" s="191" t="s">
        <v>325</v>
      </c>
      <c r="C28" s="191" t="s">
        <v>326</v>
      </c>
      <c r="D28" s="191" t="s">
        <v>327</v>
      </c>
      <c r="E28" s="191" t="s">
        <v>82</v>
      </c>
      <c r="F28" s="191" t="s">
        <v>265</v>
      </c>
      <c r="G28" s="191"/>
      <c r="H28" s="192" t="s">
        <v>269</v>
      </c>
    </row>
    <row r="29" spans="1:8" ht="25.5">
      <c r="A29" s="191">
        <v>0</v>
      </c>
      <c r="B29" s="191" t="s">
        <v>328</v>
      </c>
      <c r="C29" s="191" t="s">
        <v>326</v>
      </c>
      <c r="D29" s="191" t="s">
        <v>329</v>
      </c>
      <c r="E29" s="191" t="s">
        <v>82</v>
      </c>
      <c r="F29" s="191" t="s">
        <v>265</v>
      </c>
      <c r="G29" s="191"/>
      <c r="H29" s="192" t="s">
        <v>269</v>
      </c>
    </row>
    <row r="30" spans="1:8" ht="76.5">
      <c r="A30" s="191"/>
      <c r="B30" s="199" t="s">
        <v>330</v>
      </c>
      <c r="C30" s="199" t="s">
        <v>331</v>
      </c>
      <c r="D30" s="196" t="s">
        <v>332</v>
      </c>
      <c r="E30" s="199"/>
      <c r="F30" s="199"/>
      <c r="G30" s="199"/>
      <c r="H30" s="200"/>
    </row>
    <row r="31" spans="1:8" ht="76.5">
      <c r="A31" s="191">
        <v>0</v>
      </c>
      <c r="B31" s="191" t="s">
        <v>333</v>
      </c>
      <c r="C31" s="191" t="s">
        <v>334</v>
      </c>
      <c r="D31" s="191" t="s">
        <v>335</v>
      </c>
      <c r="E31" s="191" t="s">
        <v>82</v>
      </c>
      <c r="F31" s="191" t="s">
        <v>265</v>
      </c>
      <c r="G31" s="191"/>
      <c r="H31" s="192" t="s">
        <v>269</v>
      </c>
    </row>
    <row r="32" spans="1:8" ht="76.5">
      <c r="A32" s="191">
        <v>0</v>
      </c>
      <c r="B32" s="191" t="s">
        <v>336</v>
      </c>
      <c r="C32" s="191" t="s">
        <v>337</v>
      </c>
      <c r="D32" s="191" t="s">
        <v>338</v>
      </c>
      <c r="E32" s="191" t="s">
        <v>82</v>
      </c>
      <c r="F32" s="191" t="s">
        <v>265</v>
      </c>
      <c r="G32" s="191"/>
      <c r="H32" s="192" t="s">
        <v>269</v>
      </c>
    </row>
    <row r="33" spans="1:8" ht="89.25">
      <c r="A33" s="191">
        <v>0</v>
      </c>
      <c r="B33" s="191" t="s">
        <v>339</v>
      </c>
      <c r="C33" s="191" t="s">
        <v>340</v>
      </c>
      <c r="D33" s="191" t="s">
        <v>341</v>
      </c>
      <c r="E33" s="191" t="s">
        <v>82</v>
      </c>
      <c r="F33" s="191" t="s">
        <v>265</v>
      </c>
      <c r="G33" s="191"/>
      <c r="H33" s="192" t="s">
        <v>269</v>
      </c>
    </row>
    <row r="34" spans="1:8" ht="89.25">
      <c r="A34" s="191">
        <v>0</v>
      </c>
      <c r="B34" s="191" t="s">
        <v>342</v>
      </c>
      <c r="C34" s="191" t="s">
        <v>343</v>
      </c>
      <c r="D34" s="191" t="s">
        <v>344</v>
      </c>
      <c r="E34" s="191" t="s">
        <v>82</v>
      </c>
      <c r="F34" s="191" t="s">
        <v>265</v>
      </c>
      <c r="G34" s="191"/>
      <c r="H34" s="192" t="s">
        <v>269</v>
      </c>
    </row>
    <row r="35" spans="1:8" ht="63.75">
      <c r="A35" s="191">
        <v>0</v>
      </c>
      <c r="B35" s="191" t="s">
        <v>345</v>
      </c>
      <c r="C35" s="191" t="s">
        <v>346</v>
      </c>
      <c r="D35" s="191" t="s">
        <v>347</v>
      </c>
      <c r="E35" s="191" t="s">
        <v>82</v>
      </c>
      <c r="F35" s="191" t="s">
        <v>265</v>
      </c>
      <c r="G35" s="191"/>
      <c r="H35" s="192" t="s">
        <v>269</v>
      </c>
    </row>
    <row r="36" spans="1:8" ht="63.75">
      <c r="A36" s="191">
        <v>0</v>
      </c>
      <c r="B36" s="191" t="s">
        <v>348</v>
      </c>
      <c r="C36" s="191" t="s">
        <v>349</v>
      </c>
      <c r="D36" s="191" t="s">
        <v>350</v>
      </c>
      <c r="E36" s="191" t="s">
        <v>82</v>
      </c>
      <c r="F36" s="191" t="s">
        <v>265</v>
      </c>
      <c r="G36" s="191"/>
      <c r="H36" s="192" t="s">
        <v>269</v>
      </c>
    </row>
    <row r="37" spans="1:8" ht="38.25">
      <c r="A37" s="191"/>
      <c r="B37" s="191" t="s">
        <v>351</v>
      </c>
      <c r="C37" s="191"/>
      <c r="D37" s="193" t="s">
        <v>352</v>
      </c>
      <c r="E37" s="191"/>
      <c r="F37" s="191"/>
      <c r="G37" s="191"/>
      <c r="H37" s="192"/>
    </row>
    <row r="38" spans="1:8" ht="63.75">
      <c r="A38" s="191">
        <v>0</v>
      </c>
      <c r="B38" s="191" t="s">
        <v>353</v>
      </c>
      <c r="C38" s="191" t="s">
        <v>354</v>
      </c>
      <c r="D38" s="191" t="s">
        <v>355</v>
      </c>
      <c r="E38" s="191" t="s">
        <v>82</v>
      </c>
      <c r="F38" s="191" t="s">
        <v>265</v>
      </c>
      <c r="G38" s="191"/>
      <c r="H38" s="192" t="s">
        <v>269</v>
      </c>
    </row>
    <row r="39" spans="1:8" ht="51">
      <c r="A39" s="191"/>
      <c r="B39" s="191" t="s">
        <v>356</v>
      </c>
      <c r="C39" s="191"/>
      <c r="D39" s="191" t="s">
        <v>357</v>
      </c>
      <c r="E39" s="191"/>
      <c r="F39" s="191"/>
      <c r="G39" s="191"/>
      <c r="H39" s="192"/>
    </row>
    <row r="40" spans="1:8" ht="178.5">
      <c r="A40" s="191">
        <v>0</v>
      </c>
      <c r="B40" s="191" t="s">
        <v>358</v>
      </c>
      <c r="C40" s="191" t="s">
        <v>359</v>
      </c>
      <c r="D40" s="191" t="s">
        <v>360</v>
      </c>
      <c r="E40" s="191"/>
      <c r="F40" s="191"/>
      <c r="G40" s="191"/>
      <c r="H40" s="192"/>
    </row>
    <row r="41" spans="1:8" ht="38.25">
      <c r="A41" s="191">
        <v>1</v>
      </c>
      <c r="B41" s="191" t="s">
        <v>361</v>
      </c>
      <c r="C41" s="191" t="s">
        <v>359</v>
      </c>
      <c r="D41" s="191" t="s">
        <v>362</v>
      </c>
      <c r="E41" s="191"/>
      <c r="F41" s="191"/>
      <c r="G41" s="191"/>
      <c r="H41" s="192"/>
    </row>
    <row r="42" spans="1:8" ht="117.75">
      <c r="A42" s="191">
        <v>0</v>
      </c>
      <c r="B42" s="191" t="s">
        <v>363</v>
      </c>
      <c r="C42" s="191" t="s">
        <v>364</v>
      </c>
      <c r="D42" s="191" t="s">
        <v>365</v>
      </c>
      <c r="E42" s="191" t="s">
        <v>82</v>
      </c>
      <c r="F42" s="191" t="s">
        <v>265</v>
      </c>
      <c r="G42" s="191"/>
      <c r="H42" s="192" t="s">
        <v>269</v>
      </c>
    </row>
    <row r="43" spans="1:8" ht="117.75">
      <c r="A43" s="191">
        <v>0</v>
      </c>
      <c r="B43" s="191" t="s">
        <v>366</v>
      </c>
      <c r="C43" s="191" t="s">
        <v>364</v>
      </c>
      <c r="D43" s="191" t="s">
        <v>367</v>
      </c>
      <c r="E43" s="191" t="s">
        <v>82</v>
      </c>
      <c r="F43" s="191" t="s">
        <v>265</v>
      </c>
      <c r="G43" s="191"/>
      <c r="H43" s="192" t="s">
        <v>269</v>
      </c>
    </row>
    <row r="44" spans="1:8" ht="38.25">
      <c r="A44" s="52"/>
      <c r="B44" s="191" t="s">
        <v>368</v>
      </c>
      <c r="C44" s="191"/>
      <c r="D44" s="191" t="s">
        <v>369</v>
      </c>
      <c r="E44" s="191"/>
      <c r="F44" s="191"/>
      <c r="G44" s="191"/>
      <c r="H44" s="192"/>
    </row>
    <row r="45" spans="1:8" ht="229.5">
      <c r="A45" s="191">
        <v>0</v>
      </c>
      <c r="B45" s="191" t="s">
        <v>370</v>
      </c>
      <c r="C45" s="191" t="s">
        <v>371</v>
      </c>
      <c r="D45" s="194" t="s">
        <v>372</v>
      </c>
      <c r="E45" s="191" t="s">
        <v>82</v>
      </c>
      <c r="F45" s="191" t="s">
        <v>265</v>
      </c>
      <c r="G45" s="191"/>
      <c r="H45" s="192" t="s">
        <v>269</v>
      </c>
    </row>
    <row r="46" spans="1:8" ht="117.75">
      <c r="A46" s="191">
        <v>0</v>
      </c>
      <c r="B46" s="199" t="s">
        <v>373</v>
      </c>
      <c r="C46" s="199" t="s">
        <v>374</v>
      </c>
      <c r="D46" s="199" t="s">
        <v>375</v>
      </c>
      <c r="E46" s="199" t="s">
        <v>82</v>
      </c>
      <c r="F46" s="199" t="s">
        <v>265</v>
      </c>
      <c r="G46" s="199"/>
      <c r="H46" s="200" t="s">
        <v>269</v>
      </c>
    </row>
    <row r="47" spans="1:8" ht="117.75">
      <c r="A47" s="191">
        <v>0</v>
      </c>
      <c r="B47" s="199" t="s">
        <v>376</v>
      </c>
      <c r="C47" s="199" t="s">
        <v>374</v>
      </c>
      <c r="D47" s="199" t="s">
        <v>377</v>
      </c>
      <c r="E47" s="199" t="s">
        <v>82</v>
      </c>
      <c r="F47" s="199" t="s">
        <v>265</v>
      </c>
      <c r="G47" s="199"/>
      <c r="H47" s="200" t="s">
        <v>269</v>
      </c>
    </row>
    <row r="48" spans="1:8" ht="64.5" customHeight="1">
      <c r="A48" s="191">
        <v>0</v>
      </c>
      <c r="B48" s="191" t="s">
        <v>378</v>
      </c>
      <c r="C48" s="191" t="s">
        <v>379</v>
      </c>
      <c r="D48" s="191" t="s">
        <v>380</v>
      </c>
      <c r="E48" s="194" t="s">
        <v>82</v>
      </c>
      <c r="F48" s="191" t="s">
        <v>265</v>
      </c>
      <c r="G48" s="191"/>
      <c r="H48" s="192" t="s">
        <v>269</v>
      </c>
    </row>
    <row r="49" spans="1:8" ht="76.5">
      <c r="A49" s="191">
        <v>0</v>
      </c>
      <c r="B49" s="199" t="s">
        <v>381</v>
      </c>
      <c r="C49" s="199" t="s">
        <v>331</v>
      </c>
      <c r="D49" s="194" t="s">
        <v>382</v>
      </c>
      <c r="E49" s="194" t="s">
        <v>82</v>
      </c>
      <c r="F49" s="191" t="s">
        <v>265</v>
      </c>
      <c r="G49" s="191"/>
      <c r="H49" s="192" t="s">
        <v>269</v>
      </c>
    </row>
    <row r="50" spans="1:8" ht="92.25">
      <c r="A50" s="191">
        <v>0</v>
      </c>
      <c r="B50" s="199" t="s">
        <v>383</v>
      </c>
      <c r="C50" s="199" t="s">
        <v>331</v>
      </c>
      <c r="D50" s="198" t="s">
        <v>384</v>
      </c>
      <c r="E50" s="194" t="s">
        <v>82</v>
      </c>
      <c r="F50" s="191" t="s">
        <v>265</v>
      </c>
      <c r="G50" s="191"/>
      <c r="H50" s="192" t="s">
        <v>269</v>
      </c>
    </row>
    <row r="51" spans="1:8" ht="79.5">
      <c r="A51" s="191">
        <v>0</v>
      </c>
      <c r="B51" s="199" t="s">
        <v>385</v>
      </c>
      <c r="C51" s="199" t="s">
        <v>331</v>
      </c>
      <c r="D51" s="198" t="s">
        <v>386</v>
      </c>
      <c r="E51" s="194" t="s">
        <v>82</v>
      </c>
      <c r="F51" s="191" t="s">
        <v>265</v>
      </c>
      <c r="G51" s="191"/>
      <c r="H51" s="192" t="s">
        <v>269</v>
      </c>
    </row>
    <row r="52" spans="1:8" ht="76.5">
      <c r="A52" s="191">
        <v>0</v>
      </c>
      <c r="B52" s="199" t="s">
        <v>387</v>
      </c>
      <c r="C52" s="199" t="s">
        <v>331</v>
      </c>
      <c r="D52" s="198" t="s">
        <v>388</v>
      </c>
      <c r="E52" s="194" t="s">
        <v>82</v>
      </c>
      <c r="F52" s="191" t="s">
        <v>265</v>
      </c>
      <c r="G52" s="191"/>
      <c r="H52" s="192" t="s">
        <v>269</v>
      </c>
    </row>
    <row r="53" spans="1:8" ht="79.5">
      <c r="A53" s="191">
        <v>0</v>
      </c>
      <c r="B53" s="199" t="s">
        <v>389</v>
      </c>
      <c r="C53" s="199" t="s">
        <v>331</v>
      </c>
      <c r="D53" s="198" t="s">
        <v>390</v>
      </c>
      <c r="E53" s="194" t="s">
        <v>82</v>
      </c>
      <c r="F53" s="191" t="s">
        <v>265</v>
      </c>
      <c r="G53" s="191"/>
      <c r="H53" s="192" t="s">
        <v>269</v>
      </c>
    </row>
    <row r="54" spans="1:8" ht="76.5">
      <c r="A54" s="191">
        <v>0</v>
      </c>
      <c r="B54" s="199" t="s">
        <v>391</v>
      </c>
      <c r="C54" s="199" t="s">
        <v>331</v>
      </c>
      <c r="D54" s="198" t="s">
        <v>392</v>
      </c>
      <c r="E54" s="194" t="s">
        <v>82</v>
      </c>
      <c r="F54" s="191" t="s">
        <v>265</v>
      </c>
      <c r="G54" s="191"/>
      <c r="H54" s="192" t="s">
        <v>269</v>
      </c>
    </row>
    <row r="55" spans="1:8" ht="102">
      <c r="A55" s="191">
        <v>0</v>
      </c>
      <c r="B55" s="199" t="s">
        <v>393</v>
      </c>
      <c r="C55" s="199" t="s">
        <v>331</v>
      </c>
      <c r="D55" s="198" t="s">
        <v>394</v>
      </c>
      <c r="E55" s="194" t="s">
        <v>82</v>
      </c>
      <c r="F55" s="191" t="s">
        <v>265</v>
      </c>
      <c r="G55" s="191"/>
      <c r="H55" s="192" t="s">
        <v>269</v>
      </c>
    </row>
    <row r="56" spans="1:8" ht="114.75">
      <c r="A56" s="191">
        <v>0</v>
      </c>
      <c r="B56" s="199" t="s">
        <v>395</v>
      </c>
      <c r="C56" s="199" t="s">
        <v>331</v>
      </c>
      <c r="D56" s="198" t="s">
        <v>396</v>
      </c>
      <c r="E56" s="194" t="s">
        <v>82</v>
      </c>
      <c r="F56" s="191" t="s">
        <v>265</v>
      </c>
      <c r="G56" s="191"/>
      <c r="H56" s="192" t="s">
        <v>269</v>
      </c>
    </row>
    <row r="57" spans="1:8" ht="89.25">
      <c r="A57" s="191">
        <v>0</v>
      </c>
      <c r="B57" s="199" t="s">
        <v>397</v>
      </c>
      <c r="C57" s="199" t="s">
        <v>331</v>
      </c>
      <c r="D57" s="198" t="s">
        <v>398</v>
      </c>
      <c r="E57" s="194" t="s">
        <v>82</v>
      </c>
      <c r="F57" s="191" t="s">
        <v>265</v>
      </c>
      <c r="G57" s="191"/>
      <c r="H57" s="192" t="s">
        <v>269</v>
      </c>
    </row>
    <row r="58" spans="1:8" ht="89.25">
      <c r="A58" s="191">
        <v>0</v>
      </c>
      <c r="B58" s="191" t="s">
        <v>399</v>
      </c>
      <c r="C58" s="194"/>
      <c r="D58" s="194" t="s">
        <v>400</v>
      </c>
      <c r="E58" s="194" t="s">
        <v>82</v>
      </c>
      <c r="F58" s="191" t="s">
        <v>265</v>
      </c>
      <c r="G58" s="191"/>
      <c r="H58" s="192" t="s">
        <v>269</v>
      </c>
    </row>
    <row r="59" spans="1:8" ht="38.25">
      <c r="A59" s="191">
        <v>1</v>
      </c>
      <c r="B59" s="191" t="s">
        <v>401</v>
      </c>
      <c r="C59" s="194"/>
      <c r="D59" s="194" t="s">
        <v>402</v>
      </c>
      <c r="E59" s="194" t="s">
        <v>82</v>
      </c>
      <c r="F59" s="191" t="s">
        <v>265</v>
      </c>
      <c r="G59" s="191"/>
      <c r="H59" s="192" t="s">
        <v>269</v>
      </c>
    </row>
    <row r="60" spans="1:8" ht="140.25">
      <c r="A60" s="191">
        <v>0</v>
      </c>
      <c r="B60" s="191" t="s">
        <v>403</v>
      </c>
      <c r="C60" s="194"/>
      <c r="D60" s="194" t="s">
        <v>404</v>
      </c>
      <c r="E60" s="194" t="s">
        <v>82</v>
      </c>
      <c r="F60" s="191" t="s">
        <v>265</v>
      </c>
      <c r="G60" s="191"/>
      <c r="H60" s="192" t="s">
        <v>269</v>
      </c>
    </row>
    <row r="61" spans="1:8">
      <c r="A61" s="191">
        <v>0</v>
      </c>
      <c r="B61" s="194"/>
      <c r="C61" s="194"/>
      <c r="D61" s="194"/>
      <c r="E61" s="194"/>
      <c r="F61" s="194"/>
      <c r="G61" s="194"/>
      <c r="H61" s="192"/>
    </row>
    <row r="62" spans="1:8">
      <c r="A62" s="191">
        <v>0</v>
      </c>
      <c r="B62" s="194"/>
      <c r="C62" s="194"/>
      <c r="D62" s="194"/>
      <c r="E62" s="194"/>
      <c r="F62" s="194"/>
      <c r="G62" s="194"/>
      <c r="H62" s="192"/>
    </row>
    <row r="63" spans="1:8">
      <c r="A63" s="191">
        <v>0</v>
      </c>
      <c r="B63" s="194"/>
      <c r="C63" s="194"/>
      <c r="D63" s="194"/>
      <c r="E63" s="194"/>
      <c r="F63" s="194"/>
      <c r="G63" s="194"/>
      <c r="H63" s="192"/>
    </row>
    <row r="64" spans="1:8">
      <c r="A64" s="191">
        <v>0</v>
      </c>
      <c r="B64" s="194"/>
      <c r="C64" s="194"/>
      <c r="D64" s="194"/>
      <c r="E64" s="194"/>
      <c r="F64" s="194"/>
      <c r="G64" s="194"/>
      <c r="H64" s="192"/>
    </row>
    <row r="65" spans="1:8">
      <c r="A65" s="191">
        <v>0</v>
      </c>
      <c r="B65" s="194"/>
      <c r="C65" s="194"/>
      <c r="D65" s="194"/>
      <c r="E65" s="194"/>
      <c r="F65" s="194"/>
      <c r="G65" s="194"/>
      <c r="H65" s="192"/>
    </row>
    <row r="66" spans="1:8">
      <c r="A66" s="52"/>
      <c r="B66" s="194"/>
      <c r="C66" s="194"/>
      <c r="D66" s="194"/>
      <c r="E66" s="194"/>
      <c r="F66" s="194"/>
      <c r="G66" s="194"/>
      <c r="H66" s="192"/>
    </row>
    <row r="67" spans="1:8">
      <c r="A67" s="52"/>
      <c r="B67" s="194"/>
      <c r="C67" s="194"/>
      <c r="D67" s="194"/>
      <c r="E67" s="194"/>
      <c r="F67" s="194"/>
      <c r="G67" s="194"/>
      <c r="H67" s="192"/>
    </row>
    <row r="68" spans="1:8">
      <c r="A68" s="52"/>
      <c r="B68" s="194"/>
      <c r="C68" s="194"/>
      <c r="D68" s="194"/>
      <c r="E68" s="194"/>
      <c r="F68" s="194"/>
      <c r="G68" s="194"/>
      <c r="H68" s="192"/>
    </row>
    <row r="69" spans="1:8">
      <c r="A69" s="52"/>
      <c r="B69" s="194"/>
      <c r="C69" s="194"/>
      <c r="D69" s="194"/>
      <c r="E69" s="194"/>
      <c r="F69" s="194"/>
      <c r="G69" s="194"/>
      <c r="H69" s="192"/>
    </row>
    <row r="70" spans="1:8">
      <c r="A70" s="52"/>
      <c r="B70" s="194"/>
      <c r="C70" s="194"/>
      <c r="D70" s="194"/>
      <c r="E70" s="194"/>
      <c r="F70" s="194"/>
      <c r="G70" s="194"/>
      <c r="H70" s="192"/>
    </row>
  </sheetData>
  <autoFilter ref="A3:H39" xr:uid="{00000000-0009-0000-0000-000002000000}"/>
  <mergeCells count="2">
    <mergeCell ref="A1:H1"/>
    <mergeCell ref="A2:D2"/>
  </mergeCells>
  <phoneticPr fontId="45" type="noConversion"/>
  <pageMargins left="0.7" right="0.7" top="0.78740157499999996" bottom="0.78740157499999996" header="0.3" footer="0.3"/>
  <pageSetup paperSize="9" scale="85" orientation="portrait" r:id="rId1"/>
  <headerFooter>
    <oddHeader>&amp;LProjekt iLINT 
Prototyp and Pre-Series&amp;CDRAFT 0.4
&amp;R&amp;P/&amp;N</oddHeader>
    <oddFooter>&amp;C1034001TEN0003</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
  <sheetViews>
    <sheetView workbookViewId="0">
      <selection activeCell="A3" sqref="A3"/>
    </sheetView>
  </sheetViews>
  <sheetFormatPr defaultColWidth="11.42578125" defaultRowHeight="15"/>
  <sheetData>
    <row r="1" spans="1:3">
      <c r="A1" t="s">
        <v>405</v>
      </c>
      <c r="B1" s="19" t="s">
        <v>406</v>
      </c>
      <c r="C1" t="s">
        <v>407</v>
      </c>
    </row>
    <row r="2" spans="1:3">
      <c r="A2" t="s">
        <v>408</v>
      </c>
      <c r="C2" t="s">
        <v>409</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B38"/>
  <sheetViews>
    <sheetView view="pageLayout" topLeftCell="B16" zoomScaleNormal="100" workbookViewId="0">
      <selection activeCell="B20" sqref="B20"/>
    </sheetView>
  </sheetViews>
  <sheetFormatPr defaultColWidth="11.42578125" defaultRowHeight="15"/>
  <cols>
    <col min="2" max="2" width="97.28515625" bestFit="1" customWidth="1"/>
  </cols>
  <sheetData>
    <row r="2" spans="2:2" ht="15.75" thickBot="1"/>
    <row r="3" spans="2:2" ht="16.5" thickTop="1" thickBot="1">
      <c r="B3" s="37" t="s">
        <v>410</v>
      </c>
    </row>
    <row r="4" spans="2:2" ht="16.5" thickTop="1" thickBot="1"/>
    <row r="5" spans="2:2" ht="16.5" thickTop="1" thickBot="1">
      <c r="B5" s="36" t="s">
        <v>411</v>
      </c>
    </row>
    <row r="6" spans="2:2" ht="16.5" thickTop="1" thickBot="1"/>
    <row r="7" spans="2:2" ht="16.5" thickTop="1" thickBot="1">
      <c r="B7" s="36" t="s">
        <v>412</v>
      </c>
    </row>
    <row r="8" spans="2:2" ht="15.75" thickTop="1">
      <c r="B8" t="s">
        <v>413</v>
      </c>
    </row>
    <row r="9" spans="2:2">
      <c r="B9" t="s">
        <v>414</v>
      </c>
    </row>
    <row r="10" spans="2:2">
      <c r="B10" t="s">
        <v>415</v>
      </c>
    </row>
    <row r="11" spans="2:2">
      <c r="B11" t="s">
        <v>416</v>
      </c>
    </row>
    <row r="12" spans="2:2">
      <c r="B12" t="s">
        <v>417</v>
      </c>
    </row>
    <row r="13" spans="2:2">
      <c r="B13" t="s">
        <v>418</v>
      </c>
    </row>
    <row r="14" spans="2:2" ht="15.75" thickBot="1"/>
    <row r="15" spans="2:2" ht="16.5" thickTop="1" thickBot="1">
      <c r="B15" s="36" t="s">
        <v>419</v>
      </c>
    </row>
    <row r="16" spans="2:2" ht="15.75" thickTop="1">
      <c r="B16" t="s">
        <v>420</v>
      </c>
    </row>
    <row r="17" spans="2:2">
      <c r="B17" t="s">
        <v>414</v>
      </c>
    </row>
    <row r="18" spans="2:2">
      <c r="B18" t="s">
        <v>415</v>
      </c>
    </row>
    <row r="19" spans="2:2">
      <c r="B19" t="s">
        <v>421</v>
      </c>
    </row>
    <row r="20" spans="2:2">
      <c r="B20" t="s">
        <v>418</v>
      </c>
    </row>
    <row r="26" spans="2:2" ht="15.75" thickBot="1"/>
    <row r="27" spans="2:2" ht="16.5" thickTop="1" thickBot="1">
      <c r="B27" s="37" t="s">
        <v>422</v>
      </c>
    </row>
    <row r="28" spans="2:2" ht="30.75" thickTop="1">
      <c r="B28" s="39" t="s">
        <v>423</v>
      </c>
    </row>
    <row r="29" spans="2:2" ht="15.75" thickBot="1"/>
    <row r="30" spans="2:2" ht="15.75" thickBot="1">
      <c r="B30" s="40" t="s">
        <v>424</v>
      </c>
    </row>
    <row r="31" spans="2:2" ht="15.75" thickBot="1"/>
    <row r="32" spans="2:2" ht="15.75" thickBot="1">
      <c r="B32" s="41" t="s">
        <v>425</v>
      </c>
    </row>
    <row r="33" spans="2:2" ht="15.75" thickBot="1"/>
    <row r="34" spans="2:2" ht="15.75" thickBot="1">
      <c r="B34" s="42" t="s">
        <v>426</v>
      </c>
    </row>
    <row r="35" spans="2:2" ht="15.75" thickBot="1"/>
    <row r="36" spans="2:2" ht="15.75" thickBot="1">
      <c r="B36" s="43" t="s">
        <v>427</v>
      </c>
    </row>
    <row r="37" spans="2:2" ht="15.75" thickBot="1"/>
    <row r="38" spans="2:2" ht="15.75" thickBot="1">
      <c r="B38" s="45" t="s">
        <v>428</v>
      </c>
    </row>
  </sheetData>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O15"/>
  <sheetViews>
    <sheetView workbookViewId="0">
      <selection activeCell="B7" sqref="B7"/>
    </sheetView>
  </sheetViews>
  <sheetFormatPr defaultColWidth="11.42578125" defaultRowHeight="15"/>
  <cols>
    <col min="2" max="2" width="19.5703125" customWidth="1"/>
    <col min="3" max="3" width="28.85546875" customWidth="1"/>
    <col min="4" max="4" width="23.42578125" customWidth="1"/>
    <col min="5" max="5" width="19.140625" bestFit="1" customWidth="1"/>
    <col min="14" max="15" width="11.42578125" style="19"/>
  </cols>
  <sheetData>
    <row r="2" spans="2:15">
      <c r="B2" t="s">
        <v>429</v>
      </c>
      <c r="C2" t="s">
        <v>430</v>
      </c>
      <c r="D2" t="s">
        <v>431</v>
      </c>
      <c r="E2" t="s">
        <v>432</v>
      </c>
      <c r="F2" t="s">
        <v>84</v>
      </c>
      <c r="G2" t="s">
        <v>225</v>
      </c>
      <c r="I2" t="s">
        <v>433</v>
      </c>
      <c r="J2" t="s">
        <v>434</v>
      </c>
      <c r="N2" s="19">
        <v>0</v>
      </c>
      <c r="O2" s="98"/>
    </row>
    <row r="3" spans="2:15">
      <c r="B3" t="s">
        <v>221</v>
      </c>
      <c r="D3" t="s">
        <v>435</v>
      </c>
      <c r="E3" t="s">
        <v>436</v>
      </c>
      <c r="F3" t="s">
        <v>154</v>
      </c>
      <c r="G3" t="s">
        <v>437</v>
      </c>
      <c r="I3" t="s">
        <v>438</v>
      </c>
      <c r="J3" t="s">
        <v>439</v>
      </c>
      <c r="N3" s="19">
        <v>1</v>
      </c>
    </row>
    <row r="4" spans="2:15">
      <c r="B4" t="s">
        <v>440</v>
      </c>
      <c r="D4" t="s">
        <v>441</v>
      </c>
      <c r="E4" t="s">
        <v>265</v>
      </c>
      <c r="F4" t="s">
        <v>442</v>
      </c>
      <c r="G4" t="s">
        <v>85</v>
      </c>
      <c r="N4" s="19" t="s">
        <v>86</v>
      </c>
    </row>
    <row r="5" spans="2:15">
      <c r="B5" t="s">
        <v>443</v>
      </c>
      <c r="D5" t="s">
        <v>444</v>
      </c>
      <c r="F5" t="s">
        <v>445</v>
      </c>
      <c r="G5" t="s">
        <v>131</v>
      </c>
    </row>
    <row r="6" spans="2:15">
      <c r="B6" t="s">
        <v>446</v>
      </c>
      <c r="G6" t="s">
        <v>447</v>
      </c>
    </row>
    <row r="7" spans="2:15">
      <c r="B7" t="s">
        <v>448</v>
      </c>
      <c r="G7" t="s">
        <v>212</v>
      </c>
    </row>
    <row r="8" spans="2:15">
      <c r="B8" t="s">
        <v>449</v>
      </c>
    </row>
    <row r="9" spans="2:15">
      <c r="B9" t="s">
        <v>450</v>
      </c>
      <c r="C9" t="s">
        <v>451</v>
      </c>
    </row>
    <row r="10" spans="2:15">
      <c r="B10" t="s">
        <v>452</v>
      </c>
    </row>
    <row r="11" spans="2:15">
      <c r="B11" t="s">
        <v>453</v>
      </c>
      <c r="C11" t="s">
        <v>454</v>
      </c>
    </row>
    <row r="12" spans="2:15">
      <c r="B12" t="s">
        <v>455</v>
      </c>
      <c r="C12" t="s">
        <v>456</v>
      </c>
    </row>
    <row r="13" spans="2:15">
      <c r="B13" t="s">
        <v>82</v>
      </c>
    </row>
    <row r="14" spans="2:15">
      <c r="B14" t="s">
        <v>222</v>
      </c>
    </row>
    <row r="15" spans="2:15">
      <c r="B15" t="s">
        <v>95</v>
      </c>
    </row>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C8146-522F-4D21-963C-FF4D714D0E92}">
  <dimension ref="A1"/>
  <sheetViews>
    <sheetView workbookViewId="0">
      <selection activeCell="U25" sqref="U25"/>
    </sheetView>
  </sheetViews>
  <sheetFormatPr defaultColWidth="11.42578125" defaultRowHeight="15"/>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FBA8F-D358-485C-8359-85802339E6C1}">
  <dimension ref="B4:L14"/>
  <sheetViews>
    <sheetView workbookViewId="0">
      <selection activeCell="E8" sqref="E8"/>
    </sheetView>
  </sheetViews>
  <sheetFormatPr defaultColWidth="11.42578125" defaultRowHeight="15"/>
  <cols>
    <col min="4" max="4" width="32.5703125" bestFit="1" customWidth="1"/>
    <col min="6" max="6" width="74" bestFit="1" customWidth="1"/>
    <col min="8" max="8" width="74" bestFit="1" customWidth="1"/>
    <col min="10" max="10" width="13.7109375" bestFit="1" customWidth="1"/>
    <col min="12" max="12" width="16.7109375" bestFit="1" customWidth="1"/>
  </cols>
  <sheetData>
    <row r="4" spans="2:12">
      <c r="B4" s="162" t="s">
        <v>457</v>
      </c>
    </row>
    <row r="5" spans="2:12">
      <c r="B5" s="309" t="s">
        <v>458</v>
      </c>
      <c r="C5" s="307" t="s">
        <v>459</v>
      </c>
      <c r="D5" s="308"/>
      <c r="E5" s="307" t="s">
        <v>460</v>
      </c>
      <c r="F5" s="308"/>
      <c r="G5" s="307" t="s">
        <v>461</v>
      </c>
      <c r="H5" s="308"/>
      <c r="I5" s="307" t="s">
        <v>462</v>
      </c>
      <c r="J5" s="308"/>
      <c r="K5" s="307" t="s">
        <v>463</v>
      </c>
      <c r="L5" s="308"/>
    </row>
    <row r="6" spans="2:12">
      <c r="B6" s="310"/>
      <c r="C6" s="169" t="s">
        <v>464</v>
      </c>
      <c r="D6" s="170" t="s">
        <v>465</v>
      </c>
      <c r="E6" s="169" t="s">
        <v>464</v>
      </c>
      <c r="F6" s="170" t="s">
        <v>465</v>
      </c>
      <c r="G6" s="169" t="s">
        <v>464</v>
      </c>
      <c r="H6" s="170" t="s">
        <v>466</v>
      </c>
      <c r="I6" s="169" t="s">
        <v>464</v>
      </c>
      <c r="J6" s="170" t="s">
        <v>465</v>
      </c>
      <c r="K6" s="169" t="s">
        <v>464</v>
      </c>
      <c r="L6" s="171" t="s">
        <v>465</v>
      </c>
    </row>
    <row r="7" spans="2:12">
      <c r="B7" s="172" t="s">
        <v>467</v>
      </c>
      <c r="C7" s="173" t="s">
        <v>468</v>
      </c>
      <c r="D7" s="174" t="s">
        <v>469</v>
      </c>
      <c r="E7" s="173" t="s">
        <v>470</v>
      </c>
      <c r="F7" s="174" t="s">
        <v>471</v>
      </c>
      <c r="G7" s="173" t="s">
        <v>472</v>
      </c>
      <c r="H7" s="174" t="s">
        <v>471</v>
      </c>
      <c r="I7" s="173" t="s">
        <v>473</v>
      </c>
      <c r="J7" s="175" t="s">
        <v>474</v>
      </c>
      <c r="K7" s="176" t="s">
        <v>474</v>
      </c>
      <c r="L7" s="177" t="s">
        <v>474</v>
      </c>
    </row>
    <row r="8" spans="2:12">
      <c r="B8" s="172" t="s">
        <v>475</v>
      </c>
      <c r="C8" s="173" t="s">
        <v>468</v>
      </c>
      <c r="D8" s="174" t="s">
        <v>476</v>
      </c>
      <c r="E8" s="173" t="s">
        <v>470</v>
      </c>
      <c r="F8" s="174" t="s">
        <v>477</v>
      </c>
      <c r="G8" s="173" t="s">
        <v>472</v>
      </c>
      <c r="H8" s="174" t="s">
        <v>477</v>
      </c>
      <c r="I8" s="173" t="s">
        <v>478</v>
      </c>
      <c r="J8" s="174" t="s">
        <v>479</v>
      </c>
      <c r="K8" s="175" t="s">
        <v>474</v>
      </c>
      <c r="L8" s="177" t="s">
        <v>474</v>
      </c>
    </row>
    <row r="9" spans="2:12">
      <c r="B9" s="178" t="s">
        <v>480</v>
      </c>
      <c r="C9" s="179" t="s">
        <v>468</v>
      </c>
      <c r="D9" s="180" t="s">
        <v>476</v>
      </c>
      <c r="E9" s="179" t="s">
        <v>470</v>
      </c>
      <c r="F9" s="180" t="s">
        <v>477</v>
      </c>
      <c r="G9" s="179" t="s">
        <v>472</v>
      </c>
      <c r="H9" s="180" t="s">
        <v>477</v>
      </c>
      <c r="I9" s="179" t="s">
        <v>478</v>
      </c>
      <c r="J9" s="180" t="s">
        <v>479</v>
      </c>
      <c r="K9" s="181" t="s">
        <v>474</v>
      </c>
      <c r="L9" s="182" t="s">
        <v>481</v>
      </c>
    </row>
    <row r="12" spans="2:12">
      <c r="D12" s="161" t="s">
        <v>482</v>
      </c>
    </row>
    <row r="13" spans="2:12">
      <c r="B13" t="s">
        <v>483</v>
      </c>
    </row>
    <row r="14" spans="2:12">
      <c r="B14" t="s">
        <v>484</v>
      </c>
    </row>
  </sheetData>
  <mergeCells count="6">
    <mergeCell ref="K5:L5"/>
    <mergeCell ref="B5:B6"/>
    <mergeCell ref="C5:D5"/>
    <mergeCell ref="E5:F5"/>
    <mergeCell ref="G5:H5"/>
    <mergeCell ref="I5:J5"/>
  </mergeCells>
  <pageMargins left="0.7" right="0.7" top="0.78740157499999996" bottom="0.78740157499999996"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1E5C0-D481-4D3F-9E41-B9C210F30140}">
  <dimension ref="A1"/>
  <sheetViews>
    <sheetView workbookViewId="0">
      <selection activeCell="U23" sqref="U23"/>
    </sheetView>
  </sheetViews>
  <sheetFormatPr defaultColWidth="11.42578125" defaultRowHeight="15"/>
  <sheetData/>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6D1D7-AE1C-4982-B76C-A88155513894}">
  <dimension ref="B2:X95"/>
  <sheetViews>
    <sheetView tabSelected="1" zoomScaleNormal="100" workbookViewId="0">
      <pane ySplit="4" topLeftCell="A5" activePane="bottomLeft" state="frozen"/>
      <selection pane="bottomLeft" activeCell="G83" sqref="G83"/>
    </sheetView>
  </sheetViews>
  <sheetFormatPr defaultColWidth="11.42578125" defaultRowHeight="15"/>
  <cols>
    <col min="1" max="1" width="11.42578125" style="154"/>
    <col min="2" max="2" width="14.5703125" style="154" bestFit="1" customWidth="1"/>
    <col min="3" max="3" width="11.140625" style="154" bestFit="1" customWidth="1"/>
    <col min="4" max="4" width="10.28515625" style="154" customWidth="1"/>
    <col min="5" max="5" width="9.5703125" style="154" customWidth="1"/>
    <col min="6" max="6" width="9.42578125" style="154" bestFit="1" customWidth="1"/>
    <col min="7" max="7" width="39.140625" style="154" bestFit="1" customWidth="1"/>
    <col min="8" max="8" width="11.42578125" style="154"/>
    <col min="9" max="9" width="19.140625" style="154" customWidth="1"/>
    <col min="10" max="10" width="11.42578125" style="154"/>
    <col min="12" max="13" width="11.42578125" style="154"/>
    <col min="14" max="14" width="43.7109375" style="154" customWidth="1"/>
    <col min="15" max="18" width="11.42578125" style="154"/>
    <col min="19" max="19" width="45.42578125" style="154" customWidth="1"/>
    <col min="20" max="23" width="11.42578125" style="154"/>
    <col min="24" max="24" width="37.7109375" style="154" customWidth="1"/>
    <col min="25" max="16384" width="11.42578125" style="154"/>
  </cols>
  <sheetData>
    <row r="2" spans="2:18" ht="15.75">
      <c r="B2" s="317" t="s">
        <v>485</v>
      </c>
      <c r="C2" s="318"/>
      <c r="D2" s="318"/>
      <c r="E2" s="318"/>
      <c r="F2" s="318"/>
      <c r="G2" s="319"/>
      <c r="J2"/>
      <c r="L2"/>
    </row>
    <row r="3" spans="2:18">
      <c r="B3"/>
      <c r="C3"/>
      <c r="D3"/>
      <c r="E3"/>
      <c r="F3"/>
      <c r="G3"/>
      <c r="J3"/>
      <c r="L3"/>
    </row>
    <row r="4" spans="2:18" ht="45">
      <c r="B4" s="144" t="s">
        <v>486</v>
      </c>
      <c r="C4" s="144" t="s">
        <v>487</v>
      </c>
      <c r="D4" s="144" t="s">
        <v>488</v>
      </c>
      <c r="E4" s="144" t="s">
        <v>489</v>
      </c>
      <c r="F4" s="144" t="s">
        <v>490</v>
      </c>
      <c r="G4" s="145" t="s">
        <v>491</v>
      </c>
      <c r="H4" s="146" t="s">
        <v>492</v>
      </c>
      <c r="I4" s="146" t="s">
        <v>493</v>
      </c>
      <c r="J4" s="146" t="s">
        <v>494</v>
      </c>
      <c r="L4" s="235"/>
    </row>
    <row r="5" spans="2:18">
      <c r="B5" s="313" t="s">
        <v>495</v>
      </c>
      <c r="C5" s="154">
        <v>2</v>
      </c>
      <c r="D5" s="154">
        <v>0</v>
      </c>
      <c r="E5" s="154" t="str">
        <f>"0x"&amp;DEC2HEX(D5,4)</f>
        <v>0x0000</v>
      </c>
      <c r="F5" s="311">
        <f>SUM(C5:C12)</f>
        <v>16</v>
      </c>
      <c r="G5" s="147" t="s">
        <v>496</v>
      </c>
      <c r="H5" s="154">
        <v>0</v>
      </c>
      <c r="I5" s="154" t="s">
        <v>497</v>
      </c>
      <c r="J5" s="311">
        <v>16</v>
      </c>
      <c r="L5" s="222"/>
      <c r="M5" s="147"/>
      <c r="N5" s="161" t="s">
        <v>498</v>
      </c>
      <c r="O5"/>
    </row>
    <row r="6" spans="2:18">
      <c r="B6" s="313"/>
      <c r="C6" s="154">
        <v>1</v>
      </c>
      <c r="D6" s="154">
        <f>D5+C5</f>
        <v>2</v>
      </c>
      <c r="E6" s="154" t="str">
        <f t="shared" ref="E6:E29" si="0">"0x"&amp;DEC2HEX(D6,4)</f>
        <v>0x0002</v>
      </c>
      <c r="F6" s="311"/>
      <c r="G6" s="147" t="s">
        <v>499</v>
      </c>
      <c r="H6" s="154">
        <f t="shared" ref="H6:H12" si="1">H5+C5</f>
        <v>2</v>
      </c>
      <c r="I6" s="211">
        <v>36</v>
      </c>
      <c r="J6" s="311"/>
      <c r="L6" s="222"/>
      <c r="M6" t="s">
        <v>500</v>
      </c>
      <c r="N6" t="s">
        <v>501</v>
      </c>
      <c r="O6" s="161" t="s">
        <v>502</v>
      </c>
    </row>
    <row r="7" spans="2:18">
      <c r="B7" s="313"/>
      <c r="C7" s="154">
        <v>1</v>
      </c>
      <c r="D7" s="154">
        <f t="shared" ref="D7:D12" si="2">D6+C6</f>
        <v>3</v>
      </c>
      <c r="E7" s="154" t="str">
        <f t="shared" si="0"/>
        <v>0x0003</v>
      </c>
      <c r="F7" s="311"/>
      <c r="G7" s="147" t="s">
        <v>503</v>
      </c>
      <c r="H7" s="154">
        <f t="shared" si="1"/>
        <v>3</v>
      </c>
      <c r="I7" s="211">
        <v>0</v>
      </c>
      <c r="J7" s="311"/>
      <c r="L7" s="222"/>
      <c r="M7" t="s">
        <v>504</v>
      </c>
      <c r="N7" t="s">
        <v>501</v>
      </c>
      <c r="O7" s="161" t="s">
        <v>505</v>
      </c>
    </row>
    <row r="8" spans="2:18">
      <c r="B8" s="313"/>
      <c r="C8" s="154">
        <v>1</v>
      </c>
      <c r="D8" s="154">
        <f t="shared" si="2"/>
        <v>4</v>
      </c>
      <c r="E8" s="154" t="str">
        <f t="shared" si="0"/>
        <v>0x0004</v>
      </c>
      <c r="F8" s="311"/>
      <c r="G8" s="147" t="s">
        <v>506</v>
      </c>
      <c r="H8" s="154">
        <f t="shared" si="1"/>
        <v>4</v>
      </c>
      <c r="I8" s="212">
        <v>3</v>
      </c>
      <c r="J8" s="311"/>
      <c r="L8" s="222"/>
      <c r="M8"/>
      <c r="N8" s="163"/>
      <c r="O8"/>
    </row>
    <row r="9" spans="2:18">
      <c r="B9" s="313"/>
      <c r="C9" s="154">
        <v>1</v>
      </c>
      <c r="D9" s="154">
        <f t="shared" si="2"/>
        <v>5</v>
      </c>
      <c r="E9" s="154" t="str">
        <f t="shared" si="0"/>
        <v>0x0005</v>
      </c>
      <c r="F9" s="311"/>
      <c r="G9" s="147" t="s">
        <v>507</v>
      </c>
      <c r="H9" s="154">
        <f t="shared" si="1"/>
        <v>5</v>
      </c>
      <c r="I9" s="212">
        <v>2</v>
      </c>
      <c r="J9" s="311"/>
      <c r="L9" s="222"/>
      <c r="M9"/>
      <c r="N9"/>
      <c r="O9"/>
    </row>
    <row r="10" spans="2:18">
      <c r="B10" s="313"/>
      <c r="C10" s="154">
        <v>8</v>
      </c>
      <c r="D10" s="154">
        <f t="shared" si="2"/>
        <v>6</v>
      </c>
      <c r="E10" s="154" t="str">
        <f t="shared" si="0"/>
        <v>0x0006</v>
      </c>
      <c r="F10" s="311"/>
      <c r="G10" s="147" t="s">
        <v>508</v>
      </c>
      <c r="H10" s="154">
        <f t="shared" si="1"/>
        <v>6</v>
      </c>
      <c r="I10" s="154" t="s">
        <v>509</v>
      </c>
      <c r="J10" s="311"/>
      <c r="L10" s="222"/>
      <c r="M10"/>
      <c r="N10"/>
      <c r="O10"/>
    </row>
    <row r="11" spans="2:18">
      <c r="B11" s="313"/>
      <c r="C11" s="154">
        <v>1</v>
      </c>
      <c r="D11" s="154">
        <f t="shared" si="2"/>
        <v>14</v>
      </c>
      <c r="E11" s="154" t="str">
        <f t="shared" si="0"/>
        <v>0x000E</v>
      </c>
      <c r="F11" s="311"/>
      <c r="G11" s="147" t="s">
        <v>510</v>
      </c>
      <c r="H11" s="154">
        <f t="shared" si="1"/>
        <v>14</v>
      </c>
      <c r="I11" s="213">
        <v>2</v>
      </c>
      <c r="J11" s="311"/>
      <c r="L11" s="222"/>
    </row>
    <row r="12" spans="2:18">
      <c r="B12" s="320"/>
      <c r="C12" s="158">
        <v>1</v>
      </c>
      <c r="D12" s="158">
        <f t="shared" si="2"/>
        <v>15</v>
      </c>
      <c r="E12" s="158" t="str">
        <f t="shared" si="0"/>
        <v>0x000F</v>
      </c>
      <c r="F12" s="311"/>
      <c r="G12" s="217" t="s">
        <v>511</v>
      </c>
      <c r="H12" s="158">
        <f t="shared" si="1"/>
        <v>15</v>
      </c>
      <c r="I12" s="218">
        <v>2</v>
      </c>
      <c r="J12" s="312"/>
      <c r="L12" s="222"/>
    </row>
    <row r="13" spans="2:18">
      <c r="B13" s="313" t="s">
        <v>512</v>
      </c>
      <c r="C13" s="154">
        <v>2</v>
      </c>
      <c r="D13" s="154">
        <v>0</v>
      </c>
      <c r="E13" s="154" t="str">
        <f t="shared" si="0"/>
        <v>0x0000</v>
      </c>
      <c r="F13" s="315">
        <f>SUM(C13:C20)</f>
        <v>16</v>
      </c>
      <c r="G13" s="147" t="s">
        <v>496</v>
      </c>
      <c r="H13" s="154">
        <v>0</v>
      </c>
      <c r="I13" s="154" t="s">
        <v>497</v>
      </c>
      <c r="J13" s="323">
        <v>1024</v>
      </c>
      <c r="L13" s="221"/>
      <c r="M13" s="162" t="s">
        <v>513</v>
      </c>
      <c r="N13"/>
      <c r="O13"/>
      <c r="P13"/>
    </row>
    <row r="14" spans="2:18">
      <c r="B14" s="313"/>
      <c r="C14" s="154">
        <v>1</v>
      </c>
      <c r="D14" s="154">
        <f>D13+C13</f>
        <v>2</v>
      </c>
      <c r="E14" s="154" t="str">
        <f t="shared" si="0"/>
        <v>0x0002</v>
      </c>
      <c r="F14" s="311"/>
      <c r="G14" s="147" t="s">
        <v>499</v>
      </c>
      <c r="H14" s="154">
        <f t="shared" ref="H14:H20" si="3">H13+C13</f>
        <v>2</v>
      </c>
      <c r="I14" s="211">
        <v>36</v>
      </c>
      <c r="J14" s="324"/>
      <c r="L14" s="221"/>
      <c r="M14" s="149" t="s">
        <v>514</v>
      </c>
      <c r="N14" s="149"/>
      <c r="O14" s="154" t="s">
        <v>500</v>
      </c>
      <c r="P14" s="154" t="s">
        <v>504</v>
      </c>
      <c r="Q14"/>
      <c r="R14"/>
    </row>
    <row r="15" spans="2:18">
      <c r="B15" s="313"/>
      <c r="C15" s="154">
        <v>1</v>
      </c>
      <c r="D15" s="154">
        <f t="shared" ref="D15:D20" si="4">D14+C14</f>
        <v>3</v>
      </c>
      <c r="E15" s="154" t="str">
        <f t="shared" si="0"/>
        <v>0x0003</v>
      </c>
      <c r="F15" s="311"/>
      <c r="G15" s="147" t="s">
        <v>503</v>
      </c>
      <c r="H15" s="154">
        <f t="shared" si="3"/>
        <v>3</v>
      </c>
      <c r="I15" s="211">
        <v>0</v>
      </c>
      <c r="J15" s="324"/>
      <c r="L15" s="221"/>
      <c r="M15" t="s">
        <v>515</v>
      </c>
      <c r="N15"/>
      <c r="O15" s="154">
        <v>32</v>
      </c>
      <c r="P15" s="154">
        <v>0</v>
      </c>
      <c r="Q15"/>
      <c r="R15" s="161" t="s">
        <v>516</v>
      </c>
    </row>
    <row r="16" spans="2:18">
      <c r="B16" s="313"/>
      <c r="C16" s="154">
        <v>1</v>
      </c>
      <c r="D16" s="154">
        <f t="shared" si="4"/>
        <v>4</v>
      </c>
      <c r="E16" s="154" t="str">
        <f t="shared" si="0"/>
        <v>0x0004</v>
      </c>
      <c r="F16" s="311"/>
      <c r="G16" s="147" t="s">
        <v>506</v>
      </c>
      <c r="H16" s="154">
        <f t="shared" si="3"/>
        <v>4</v>
      </c>
      <c r="I16" s="212">
        <v>3</v>
      </c>
      <c r="J16" s="324"/>
      <c r="L16" s="221"/>
      <c r="M16" t="s">
        <v>517</v>
      </c>
      <c r="N16"/>
      <c r="O16" s="154">
        <v>33</v>
      </c>
      <c r="P16" s="154">
        <v>0</v>
      </c>
    </row>
    <row r="17" spans="2:24">
      <c r="B17" s="313"/>
      <c r="C17" s="154">
        <v>1</v>
      </c>
      <c r="D17" s="154">
        <f t="shared" si="4"/>
        <v>5</v>
      </c>
      <c r="E17" s="154" t="str">
        <f t="shared" si="0"/>
        <v>0x0005</v>
      </c>
      <c r="F17" s="311"/>
      <c r="G17" s="147" t="s">
        <v>507</v>
      </c>
      <c r="H17" s="154">
        <f t="shared" si="3"/>
        <v>5</v>
      </c>
      <c r="I17" s="212">
        <v>2</v>
      </c>
      <c r="J17" s="324"/>
      <c r="L17" s="221"/>
      <c r="M17" t="s">
        <v>518</v>
      </c>
      <c r="N17"/>
      <c r="O17" s="154">
        <v>34</v>
      </c>
      <c r="P17" s="154">
        <v>0</v>
      </c>
    </row>
    <row r="18" spans="2:24">
      <c r="B18" s="313"/>
      <c r="C18" s="154">
        <v>8</v>
      </c>
      <c r="D18" s="154">
        <f t="shared" si="4"/>
        <v>6</v>
      </c>
      <c r="E18" s="154" t="str">
        <f t="shared" si="0"/>
        <v>0x0006</v>
      </c>
      <c r="F18" s="311"/>
      <c r="G18" s="147" t="s">
        <v>508</v>
      </c>
      <c r="H18" s="154">
        <f t="shared" si="3"/>
        <v>6</v>
      </c>
      <c r="I18" s="154" t="s">
        <v>509</v>
      </c>
      <c r="J18" s="324"/>
      <c r="L18" s="221"/>
      <c r="M18" t="s">
        <v>519</v>
      </c>
      <c r="N18"/>
      <c r="O18" s="154">
        <v>35</v>
      </c>
      <c r="P18" s="154">
        <v>1</v>
      </c>
    </row>
    <row r="19" spans="2:24">
      <c r="B19" s="313"/>
      <c r="C19" s="154">
        <v>1</v>
      </c>
      <c r="D19" s="154">
        <f t="shared" si="4"/>
        <v>14</v>
      </c>
      <c r="E19" s="154" t="str">
        <f t="shared" si="0"/>
        <v>0x000E</v>
      </c>
      <c r="F19" s="311"/>
      <c r="G19" s="147" t="s">
        <v>510</v>
      </c>
      <c r="H19" s="154">
        <f t="shared" si="3"/>
        <v>14</v>
      </c>
      <c r="I19" s="213">
        <v>2</v>
      </c>
      <c r="J19" s="324"/>
      <c r="L19" s="221"/>
      <c r="M19" t="s">
        <v>520</v>
      </c>
      <c r="N19"/>
      <c r="O19" s="154">
        <v>35</v>
      </c>
      <c r="P19" s="154">
        <v>0</v>
      </c>
    </row>
    <row r="20" spans="2:24" ht="15.75" thickBot="1">
      <c r="B20" s="314"/>
      <c r="C20" s="155">
        <v>1</v>
      </c>
      <c r="D20" s="155">
        <f t="shared" si="4"/>
        <v>15</v>
      </c>
      <c r="E20" s="155" t="str">
        <f t="shared" si="0"/>
        <v>0x000F</v>
      </c>
      <c r="F20" s="316"/>
      <c r="G20" s="148" t="s">
        <v>511</v>
      </c>
      <c r="H20" s="155">
        <f t="shared" si="3"/>
        <v>15</v>
      </c>
      <c r="I20" s="234">
        <v>2</v>
      </c>
      <c r="J20" s="324"/>
      <c r="L20" s="221"/>
      <c r="M20" t="s">
        <v>521</v>
      </c>
      <c r="N20"/>
      <c r="O20" s="154">
        <v>35</v>
      </c>
      <c r="P20" s="154">
        <v>1</v>
      </c>
    </row>
    <row r="21" spans="2:24">
      <c r="B21" s="321" t="s">
        <v>522</v>
      </c>
      <c r="C21" s="154">
        <v>4</v>
      </c>
      <c r="D21" s="157">
        <f>D20+C20</f>
        <v>16</v>
      </c>
      <c r="E21" s="154" t="str">
        <f t="shared" si="0"/>
        <v>0x0010</v>
      </c>
      <c r="F21" s="325">
        <f>SUM(C21:C29)</f>
        <v>160</v>
      </c>
      <c r="G21" s="39" t="s">
        <v>523</v>
      </c>
      <c r="H21" s="154">
        <v>0</v>
      </c>
      <c r="I21" s="154" t="s">
        <v>524</v>
      </c>
      <c r="J21" s="324"/>
      <c r="L21" s="221"/>
      <c r="M21" t="s">
        <v>525</v>
      </c>
      <c r="N21"/>
      <c r="O21" s="154">
        <v>35</v>
      </c>
      <c r="P21" s="154">
        <v>2</v>
      </c>
      <c r="W21"/>
      <c r="X21"/>
    </row>
    <row r="22" spans="2:24">
      <c r="B22" s="313"/>
      <c r="C22" s="154">
        <v>1</v>
      </c>
      <c r="D22" s="154">
        <f>D21+C21</f>
        <v>20</v>
      </c>
      <c r="E22" s="154" t="str">
        <f t="shared" si="0"/>
        <v>0x0014</v>
      </c>
      <c r="F22" s="324"/>
      <c r="G22" s="39" t="s">
        <v>526</v>
      </c>
      <c r="H22" s="154">
        <f t="shared" ref="H22:H29" si="5">H21+C21</f>
        <v>4</v>
      </c>
      <c r="I22" s="154">
        <v>20</v>
      </c>
      <c r="J22" s="324"/>
      <c r="L22" s="221"/>
      <c r="M22" s="210" t="s">
        <v>527</v>
      </c>
      <c r="N22" s="211"/>
      <c r="O22" s="211">
        <v>36</v>
      </c>
      <c r="P22" s="211">
        <v>0</v>
      </c>
      <c r="W22" s="161"/>
    </row>
    <row r="23" spans="2:24" ht="30">
      <c r="B23" s="313"/>
      <c r="C23" s="154">
        <v>1</v>
      </c>
      <c r="D23" s="154">
        <f t="shared" ref="D23:D28" si="6">D22+C22</f>
        <v>21</v>
      </c>
      <c r="E23" s="154" t="str">
        <f t="shared" si="0"/>
        <v>0x0015</v>
      </c>
      <c r="F23" s="324"/>
      <c r="G23" s="39" t="s">
        <v>528</v>
      </c>
      <c r="H23" s="154">
        <f t="shared" si="5"/>
        <v>5</v>
      </c>
      <c r="I23" s="154">
        <v>30</v>
      </c>
      <c r="J23" s="324"/>
      <c r="L23" s="221"/>
      <c r="M23"/>
    </row>
    <row r="24" spans="2:24">
      <c r="B24" s="313"/>
      <c r="C24" s="154">
        <v>8</v>
      </c>
      <c r="D24" s="154">
        <f t="shared" si="6"/>
        <v>22</v>
      </c>
      <c r="E24" s="154" t="str">
        <f t="shared" si="0"/>
        <v>0x0016</v>
      </c>
      <c r="F24" s="324"/>
      <c r="G24" t="s">
        <v>529</v>
      </c>
      <c r="H24" s="154">
        <f t="shared" si="5"/>
        <v>6</v>
      </c>
      <c r="I24" s="154" t="s">
        <v>530</v>
      </c>
      <c r="J24" s="324"/>
      <c r="L24" s="221"/>
    </row>
    <row r="25" spans="2:24">
      <c r="B25" s="313"/>
      <c r="C25" s="154">
        <v>1</v>
      </c>
      <c r="D25" s="154">
        <f t="shared" si="6"/>
        <v>30</v>
      </c>
      <c r="E25" s="154" t="str">
        <f t="shared" si="0"/>
        <v>0x001E</v>
      </c>
      <c r="F25" s="324"/>
      <c r="G25" t="s">
        <v>531</v>
      </c>
      <c r="H25" s="154">
        <f t="shared" si="5"/>
        <v>14</v>
      </c>
      <c r="I25" s="215">
        <v>2</v>
      </c>
      <c r="J25" s="324"/>
      <c r="L25" s="221"/>
      <c r="M25" s="154" t="s">
        <v>532</v>
      </c>
    </row>
    <row r="26" spans="2:24" ht="15" customHeight="1">
      <c r="B26" s="313"/>
      <c r="C26" s="154">
        <v>1</v>
      </c>
      <c r="D26" s="154">
        <f t="shared" si="6"/>
        <v>31</v>
      </c>
      <c r="E26" s="154" t="str">
        <f t="shared" si="0"/>
        <v>0x001F</v>
      </c>
      <c r="F26" s="324"/>
      <c r="G26" t="s">
        <v>533</v>
      </c>
      <c r="H26" s="154">
        <f t="shared" si="5"/>
        <v>15</v>
      </c>
      <c r="I26" s="215">
        <v>0</v>
      </c>
      <c r="J26" s="324"/>
      <c r="L26" s="221"/>
      <c r="M26" s="154" t="s">
        <v>534</v>
      </c>
    </row>
    <row r="27" spans="2:24" ht="15" customHeight="1">
      <c r="B27" s="313"/>
      <c r="C27" s="154">
        <v>8</v>
      </c>
      <c r="D27" s="154">
        <f t="shared" si="6"/>
        <v>32</v>
      </c>
      <c r="E27" s="154" t="str">
        <f t="shared" si="0"/>
        <v>0x0020</v>
      </c>
      <c r="F27" s="324"/>
      <c r="G27" t="s">
        <v>535</v>
      </c>
      <c r="H27" s="154">
        <f t="shared" si="5"/>
        <v>16</v>
      </c>
      <c r="I27" s="154" t="s">
        <v>536</v>
      </c>
      <c r="J27" s="324"/>
      <c r="L27" s="221"/>
      <c r="M27" s="149" t="s">
        <v>537</v>
      </c>
      <c r="N27" s="149"/>
      <c r="O27" s="154" t="s">
        <v>500</v>
      </c>
      <c r="P27" s="154" t="s">
        <v>504</v>
      </c>
    </row>
    <row r="28" spans="2:24" ht="15" customHeight="1">
      <c r="B28" s="313"/>
      <c r="C28" s="154">
        <v>1</v>
      </c>
      <c r="D28" s="154">
        <f t="shared" si="6"/>
        <v>40</v>
      </c>
      <c r="E28" s="154" t="str">
        <f t="shared" si="0"/>
        <v>0x0028</v>
      </c>
      <c r="F28" s="324"/>
      <c r="G28" t="s">
        <v>538</v>
      </c>
      <c r="H28" s="154">
        <f t="shared" si="5"/>
        <v>24</v>
      </c>
      <c r="I28" s="219" t="s">
        <v>539</v>
      </c>
      <c r="J28" s="324"/>
      <c r="L28" s="221"/>
      <c r="M28" s="161" t="s">
        <v>540</v>
      </c>
      <c r="O28" s="154">
        <v>0</v>
      </c>
      <c r="P28" s="154">
        <v>0</v>
      </c>
    </row>
    <row r="29" spans="2:24" ht="15" customHeight="1">
      <c r="B29" s="320"/>
      <c r="C29" s="231">
        <v>135</v>
      </c>
      <c r="D29" s="231">
        <f>C28+D28</f>
        <v>41</v>
      </c>
      <c r="E29" s="231" t="str">
        <f t="shared" si="0"/>
        <v>0x0029</v>
      </c>
      <c r="F29" s="326"/>
      <c r="G29" s="230" t="s">
        <v>541</v>
      </c>
      <c r="H29" s="226">
        <f t="shared" si="5"/>
        <v>25</v>
      </c>
      <c r="I29" s="226"/>
      <c r="J29" s="324"/>
      <c r="L29" s="221"/>
      <c r="M29" s="154" t="s">
        <v>542</v>
      </c>
      <c r="O29" s="154">
        <v>1</v>
      </c>
      <c r="P29" s="154">
        <v>0</v>
      </c>
    </row>
    <row r="30" spans="2:24">
      <c r="B30" s="322" t="s">
        <v>543</v>
      </c>
      <c r="C30" s="154">
        <v>4</v>
      </c>
      <c r="D30" s="157">
        <f>D29+C29</f>
        <v>176</v>
      </c>
      <c r="E30" s="154" t="str">
        <f t="shared" ref="E30:E56" si="7">"0x"&amp;DEC2HEX(D30,4)</f>
        <v>0x00B0</v>
      </c>
      <c r="F30" s="324">
        <f>SUM(C30:C38)</f>
        <v>160</v>
      </c>
      <c r="G30" s="150" t="s">
        <v>523</v>
      </c>
      <c r="H30" s="154">
        <v>0</v>
      </c>
      <c r="I30" s="154" t="s">
        <v>524</v>
      </c>
      <c r="J30" s="324"/>
      <c r="L30" s="221"/>
      <c r="M30" s="154" t="s">
        <v>544</v>
      </c>
      <c r="O30" s="154">
        <v>2</v>
      </c>
      <c r="P30" s="154">
        <v>0</v>
      </c>
    </row>
    <row r="31" spans="2:24">
      <c r="B31" s="313"/>
      <c r="C31" s="154">
        <v>1</v>
      </c>
      <c r="D31" s="154">
        <f>D30+C30</f>
        <v>180</v>
      </c>
      <c r="E31" s="154" t="str">
        <f t="shared" si="7"/>
        <v>0x00B4</v>
      </c>
      <c r="F31" s="324"/>
      <c r="G31" s="39" t="s">
        <v>526</v>
      </c>
      <c r="H31" s="154">
        <f t="shared" ref="H31:H38" si="8">H30+C30</f>
        <v>4</v>
      </c>
      <c r="I31" s="154">
        <v>20</v>
      </c>
      <c r="J31" s="324"/>
      <c r="L31" s="221"/>
      <c r="M31" s="154" t="s">
        <v>545</v>
      </c>
      <c r="O31" s="154">
        <v>3</v>
      </c>
      <c r="P31" s="154">
        <v>0</v>
      </c>
    </row>
    <row r="32" spans="2:24" ht="30">
      <c r="B32" s="313"/>
      <c r="C32" s="154">
        <v>1</v>
      </c>
      <c r="D32" s="154">
        <f t="shared" ref="D32:D37" si="9">D31+C31</f>
        <v>181</v>
      </c>
      <c r="E32" s="154" t="str">
        <f t="shared" si="7"/>
        <v>0x00B5</v>
      </c>
      <c r="F32" s="324"/>
      <c r="G32" s="39" t="s">
        <v>528</v>
      </c>
      <c r="H32" s="154">
        <f t="shared" si="8"/>
        <v>5</v>
      </c>
      <c r="I32" s="154">
        <v>30</v>
      </c>
      <c r="J32" s="324"/>
      <c r="L32" s="221"/>
      <c r="M32" s="154" t="s">
        <v>545</v>
      </c>
      <c r="O32" s="154">
        <v>3</v>
      </c>
      <c r="P32" s="154">
        <v>1</v>
      </c>
    </row>
    <row r="33" spans="2:23">
      <c r="B33" s="313"/>
      <c r="C33" s="154">
        <v>8</v>
      </c>
      <c r="D33" s="154">
        <f t="shared" si="9"/>
        <v>182</v>
      </c>
      <c r="E33" s="154" t="str">
        <f t="shared" si="7"/>
        <v>0x00B6</v>
      </c>
      <c r="F33" s="324"/>
      <c r="G33" t="s">
        <v>529</v>
      </c>
      <c r="H33" s="154">
        <f t="shared" si="8"/>
        <v>6</v>
      </c>
      <c r="I33" s="154" t="s">
        <v>530</v>
      </c>
      <c r="J33" s="324"/>
      <c r="L33" s="221"/>
      <c r="M33" s="212" t="s">
        <v>545</v>
      </c>
      <c r="N33" s="212"/>
      <c r="O33" s="212">
        <v>3</v>
      </c>
      <c r="P33" s="212">
        <v>2</v>
      </c>
    </row>
    <row r="34" spans="2:23">
      <c r="B34" s="313"/>
      <c r="C34" s="154">
        <v>1</v>
      </c>
      <c r="D34" s="154">
        <f t="shared" si="9"/>
        <v>190</v>
      </c>
      <c r="E34" s="154" t="str">
        <f t="shared" si="7"/>
        <v>0x00BE</v>
      </c>
      <c r="F34" s="324"/>
      <c r="G34" t="s">
        <v>531</v>
      </c>
      <c r="H34" s="154">
        <f t="shared" si="8"/>
        <v>14</v>
      </c>
      <c r="I34" s="215">
        <v>2</v>
      </c>
      <c r="J34" s="324"/>
      <c r="L34" s="221"/>
      <c r="M34" s="154" t="s">
        <v>546</v>
      </c>
      <c r="O34" s="154">
        <v>4</v>
      </c>
      <c r="P34" s="154">
        <v>0</v>
      </c>
      <c r="W34" s="190"/>
    </row>
    <row r="35" spans="2:23">
      <c r="B35" s="313"/>
      <c r="C35" s="154">
        <v>1</v>
      </c>
      <c r="D35" s="154">
        <f t="shared" si="9"/>
        <v>191</v>
      </c>
      <c r="E35" s="154" t="str">
        <f t="shared" si="7"/>
        <v>0x00BF</v>
      </c>
      <c r="F35" s="324"/>
      <c r="G35" t="s">
        <v>533</v>
      </c>
      <c r="H35" s="154">
        <f t="shared" si="8"/>
        <v>15</v>
      </c>
      <c r="I35" s="215">
        <v>0</v>
      </c>
      <c r="J35" s="324"/>
      <c r="L35" s="221"/>
      <c r="M35" s="154" t="s">
        <v>547</v>
      </c>
      <c r="O35" s="154">
        <v>5</v>
      </c>
      <c r="P35" s="154">
        <v>0</v>
      </c>
      <c r="Q35" s="154" t="s">
        <v>548</v>
      </c>
      <c r="W35" s="190"/>
    </row>
    <row r="36" spans="2:23">
      <c r="B36" s="313"/>
      <c r="C36" s="154">
        <v>8</v>
      </c>
      <c r="D36" s="154">
        <f t="shared" si="9"/>
        <v>192</v>
      </c>
      <c r="E36" s="154" t="str">
        <f t="shared" si="7"/>
        <v>0x00C0</v>
      </c>
      <c r="F36" s="324"/>
      <c r="G36" t="s">
        <v>535</v>
      </c>
      <c r="H36" s="154">
        <f t="shared" si="8"/>
        <v>16</v>
      </c>
      <c r="I36" s="154" t="s">
        <v>536</v>
      </c>
      <c r="J36" s="324"/>
      <c r="L36" s="221"/>
      <c r="M36" s="154" t="s">
        <v>547</v>
      </c>
      <c r="O36" s="154">
        <v>5</v>
      </c>
      <c r="P36" s="154">
        <v>1</v>
      </c>
      <c r="Q36" s="154" t="s">
        <v>549</v>
      </c>
      <c r="S36" s="190"/>
      <c r="W36" s="190"/>
    </row>
    <row r="37" spans="2:23">
      <c r="B37" s="313"/>
      <c r="C37" s="154">
        <v>1</v>
      </c>
      <c r="D37" s="154">
        <f t="shared" si="9"/>
        <v>200</v>
      </c>
      <c r="E37" s="154" t="str">
        <f t="shared" si="7"/>
        <v>0x00C8</v>
      </c>
      <c r="F37" s="324"/>
      <c r="G37" t="s">
        <v>550</v>
      </c>
      <c r="H37" s="154">
        <f t="shared" si="8"/>
        <v>24</v>
      </c>
      <c r="I37" s="219" t="s">
        <v>539</v>
      </c>
      <c r="J37" s="324"/>
      <c r="L37" s="221"/>
      <c r="M37" s="154" t="s">
        <v>551</v>
      </c>
      <c r="O37" s="154">
        <v>6</v>
      </c>
      <c r="P37" s="154">
        <v>0</v>
      </c>
      <c r="S37" s="190"/>
    </row>
    <row r="38" spans="2:23" ht="15.75" thickBot="1">
      <c r="B38" s="314"/>
      <c r="C38" s="232">
        <v>135</v>
      </c>
      <c r="D38" s="232">
        <f>D37+C37</f>
        <v>201</v>
      </c>
      <c r="E38" s="233" t="str">
        <f t="shared" si="7"/>
        <v>0x00C9</v>
      </c>
      <c r="F38" s="327"/>
      <c r="G38" s="230" t="s">
        <v>541</v>
      </c>
      <c r="H38" s="224">
        <f t="shared" si="8"/>
        <v>25</v>
      </c>
      <c r="I38" s="224"/>
      <c r="J38" s="324"/>
      <c r="L38" s="221"/>
      <c r="M38" s="154" t="s">
        <v>552</v>
      </c>
      <c r="O38" s="154">
        <v>7</v>
      </c>
      <c r="P38" s="154">
        <v>0</v>
      </c>
      <c r="S38" s="190"/>
    </row>
    <row r="39" spans="2:23">
      <c r="B39" s="321" t="s">
        <v>553</v>
      </c>
      <c r="C39" s="156">
        <v>4</v>
      </c>
      <c r="D39" s="160">
        <f>D38+C38</f>
        <v>336</v>
      </c>
      <c r="E39" s="154" t="str">
        <f t="shared" si="7"/>
        <v>0x0150</v>
      </c>
      <c r="F39" s="323">
        <f>SUM(C39:C57)</f>
        <v>336</v>
      </c>
      <c r="G39" s="151" t="s">
        <v>523</v>
      </c>
      <c r="H39" s="154">
        <v>0</v>
      </c>
      <c r="I39" s="154" t="s">
        <v>554</v>
      </c>
      <c r="J39" s="324"/>
      <c r="L39" s="221"/>
      <c r="M39"/>
      <c r="N39"/>
    </row>
    <row r="40" spans="2:23">
      <c r="B40" s="313"/>
      <c r="C40" s="154">
        <v>4</v>
      </c>
      <c r="D40" s="154">
        <f>D39+C39</f>
        <v>340</v>
      </c>
      <c r="E40" s="154" t="str">
        <f t="shared" si="7"/>
        <v>0x0154</v>
      </c>
      <c r="F40" s="324"/>
      <c r="G40" s="39" t="s">
        <v>555</v>
      </c>
      <c r="H40" s="154">
        <f t="shared" ref="H40:H57" si="10">H39+C39</f>
        <v>4</v>
      </c>
      <c r="I40" s="154" t="s">
        <v>556</v>
      </c>
      <c r="J40" s="324"/>
      <c r="L40" s="221"/>
      <c r="M40" s="161"/>
    </row>
    <row r="41" spans="2:23">
      <c r="B41" s="313"/>
      <c r="C41" s="154">
        <v>8</v>
      </c>
      <c r="D41" s="154">
        <f t="shared" ref="D41:D57" si="11">D40+C40</f>
        <v>344</v>
      </c>
      <c r="E41" s="154" t="str">
        <f t="shared" si="7"/>
        <v>0x0158</v>
      </c>
      <c r="F41" s="324"/>
      <c r="G41" s="39" t="s">
        <v>557</v>
      </c>
      <c r="H41" s="154">
        <f t="shared" si="10"/>
        <v>8</v>
      </c>
      <c r="I41" s="154" t="s">
        <v>558</v>
      </c>
      <c r="J41" s="324"/>
      <c r="L41" s="221"/>
      <c r="M41" s="149" t="s">
        <v>559</v>
      </c>
      <c r="N41" s="149"/>
      <c r="O41" s="154" t="s">
        <v>500</v>
      </c>
      <c r="P41" s="154" t="s">
        <v>504</v>
      </c>
    </row>
    <row r="42" spans="2:23">
      <c r="B42" s="313"/>
      <c r="C42" s="154">
        <v>4</v>
      </c>
      <c r="D42" s="154">
        <f t="shared" si="11"/>
        <v>352</v>
      </c>
      <c r="E42" s="154" t="str">
        <f t="shared" si="7"/>
        <v>0x0160</v>
      </c>
      <c r="F42" s="324"/>
      <c r="G42" s="39" t="s">
        <v>560</v>
      </c>
      <c r="H42" s="154">
        <f t="shared" si="10"/>
        <v>16</v>
      </c>
      <c r="I42" s="154" t="s">
        <v>561</v>
      </c>
      <c r="J42" s="324"/>
      <c r="L42" s="221"/>
      <c r="M42" s="161" t="s">
        <v>540</v>
      </c>
      <c r="O42" s="154">
        <v>0</v>
      </c>
      <c r="P42" s="154">
        <v>0</v>
      </c>
    </row>
    <row r="43" spans="2:23">
      <c r="B43" s="313"/>
      <c r="C43" s="154">
        <v>4</v>
      </c>
      <c r="D43" s="154">
        <f t="shared" si="11"/>
        <v>356</v>
      </c>
      <c r="E43" s="154" t="str">
        <f t="shared" si="7"/>
        <v>0x0164</v>
      </c>
      <c r="F43" s="324"/>
      <c r="G43" s="39" t="s">
        <v>562</v>
      </c>
      <c r="H43" s="154">
        <f t="shared" si="10"/>
        <v>20</v>
      </c>
      <c r="I43" s="154" t="s">
        <v>561</v>
      </c>
      <c r="J43" s="324"/>
      <c r="L43" s="221"/>
      <c r="M43" s="163" t="s">
        <v>563</v>
      </c>
      <c r="O43" s="154">
        <v>1</v>
      </c>
      <c r="P43" s="154">
        <v>2</v>
      </c>
    </row>
    <row r="44" spans="2:23">
      <c r="B44" s="313"/>
      <c r="C44" s="154">
        <v>1</v>
      </c>
      <c r="D44" s="154">
        <f t="shared" si="11"/>
        <v>360</v>
      </c>
      <c r="E44" s="154" t="str">
        <f t="shared" si="7"/>
        <v>0x0168</v>
      </c>
      <c r="F44" s="324"/>
      <c r="G44" s="39" t="s">
        <v>564</v>
      </c>
      <c r="H44" s="154">
        <f t="shared" si="10"/>
        <v>24</v>
      </c>
      <c r="I44" s="154" t="s">
        <v>565</v>
      </c>
      <c r="J44" s="324"/>
      <c r="L44" s="221"/>
      <c r="M44" s="163" t="s">
        <v>566</v>
      </c>
      <c r="O44" s="154">
        <v>2</v>
      </c>
      <c r="P44" s="154">
        <v>1</v>
      </c>
    </row>
    <row r="45" spans="2:23">
      <c r="B45" s="313"/>
      <c r="C45" s="154">
        <v>1</v>
      </c>
      <c r="D45" s="154">
        <f t="shared" si="11"/>
        <v>361</v>
      </c>
      <c r="E45" s="154" t="str">
        <f t="shared" si="7"/>
        <v>0x0169</v>
      </c>
      <c r="F45" s="324"/>
      <c r="G45" s="39" t="s">
        <v>567</v>
      </c>
      <c r="H45" s="154">
        <f t="shared" si="10"/>
        <v>25</v>
      </c>
      <c r="I45" s="154" t="s">
        <v>565</v>
      </c>
      <c r="J45" s="324"/>
      <c r="L45" s="221"/>
      <c r="M45" s="163"/>
    </row>
    <row r="46" spans="2:23">
      <c r="B46" s="313"/>
      <c r="C46" s="154">
        <v>1</v>
      </c>
      <c r="D46" s="154">
        <f t="shared" si="11"/>
        <v>362</v>
      </c>
      <c r="E46" s="154" t="str">
        <f t="shared" si="7"/>
        <v>0x016A</v>
      </c>
      <c r="F46" s="324"/>
      <c r="G46" s="39" t="s">
        <v>568</v>
      </c>
      <c r="H46" s="154">
        <f t="shared" si="10"/>
        <v>26</v>
      </c>
      <c r="I46" s="154" t="s">
        <v>565</v>
      </c>
      <c r="J46" s="324"/>
      <c r="L46" s="221"/>
      <c r="M46" s="214" t="s">
        <v>569</v>
      </c>
      <c r="N46" s="213"/>
      <c r="O46" s="213">
        <v>2</v>
      </c>
      <c r="P46" s="213">
        <v>2</v>
      </c>
    </row>
    <row r="47" spans="2:23">
      <c r="B47" s="313"/>
      <c r="C47" s="154">
        <v>1</v>
      </c>
      <c r="D47" s="154">
        <f t="shared" si="11"/>
        <v>363</v>
      </c>
      <c r="E47" s="154" t="str">
        <f t="shared" si="7"/>
        <v>0x016B</v>
      </c>
      <c r="F47" s="324"/>
      <c r="G47" s="39" t="s">
        <v>570</v>
      </c>
      <c r="H47" s="154">
        <f t="shared" si="10"/>
        <v>27</v>
      </c>
      <c r="I47" s="154" t="s">
        <v>565</v>
      </c>
      <c r="J47" s="324"/>
      <c r="L47" s="221"/>
      <c r="M47" s="163" t="s">
        <v>571</v>
      </c>
      <c r="O47" s="154">
        <v>2</v>
      </c>
      <c r="P47" s="154">
        <v>3</v>
      </c>
    </row>
    <row r="48" spans="2:23">
      <c r="B48" s="313"/>
      <c r="C48" s="154">
        <v>1</v>
      </c>
      <c r="D48" s="154">
        <f t="shared" si="11"/>
        <v>364</v>
      </c>
      <c r="E48" s="154" t="str">
        <f t="shared" si="7"/>
        <v>0x016C</v>
      </c>
      <c r="F48" s="324"/>
      <c r="G48" s="39" t="s">
        <v>572</v>
      </c>
      <c r="H48" s="154">
        <f t="shared" si="10"/>
        <v>28</v>
      </c>
      <c r="I48" s="154" t="s">
        <v>565</v>
      </c>
      <c r="J48" s="324"/>
      <c r="L48" s="221"/>
    </row>
    <row r="49" spans="2:24">
      <c r="B49" s="313"/>
      <c r="C49" s="154">
        <v>1</v>
      </c>
      <c r="D49" s="154">
        <f t="shared" si="11"/>
        <v>365</v>
      </c>
      <c r="E49" s="154" t="str">
        <f t="shared" si="7"/>
        <v>0x016D</v>
      </c>
      <c r="F49" s="324"/>
      <c r="G49" s="39" t="s">
        <v>573</v>
      </c>
      <c r="H49" s="154">
        <f t="shared" si="10"/>
        <v>29</v>
      </c>
      <c r="I49" s="154" t="s">
        <v>565</v>
      </c>
      <c r="J49" s="324"/>
      <c r="L49" s="221"/>
      <c r="M49" s="149" t="s">
        <v>574</v>
      </c>
      <c r="N49" s="149"/>
      <c r="O49" t="s">
        <v>575</v>
      </c>
    </row>
    <row r="50" spans="2:24">
      <c r="B50" s="313"/>
      <c r="C50" s="154">
        <v>1</v>
      </c>
      <c r="D50" s="154">
        <f t="shared" si="11"/>
        <v>366</v>
      </c>
      <c r="E50" s="154" t="str">
        <f t="shared" si="7"/>
        <v>0x016E</v>
      </c>
      <c r="F50" s="324"/>
      <c r="G50" s="39" t="s">
        <v>576</v>
      </c>
      <c r="H50" s="154">
        <f t="shared" si="10"/>
        <v>30</v>
      </c>
      <c r="I50" s="154" t="s">
        <v>565</v>
      </c>
      <c r="J50" s="324"/>
      <c r="L50" s="221"/>
      <c r="M50" t="s">
        <v>577</v>
      </c>
      <c r="N50"/>
      <c r="O50"/>
    </row>
    <row r="51" spans="2:24">
      <c r="B51" s="313"/>
      <c r="C51" s="154">
        <v>1</v>
      </c>
      <c r="D51" s="154">
        <f t="shared" si="11"/>
        <v>367</v>
      </c>
      <c r="E51" s="154" t="str">
        <f t="shared" si="7"/>
        <v>0x016F</v>
      </c>
      <c r="F51" s="324"/>
      <c r="G51" s="39" t="s">
        <v>578</v>
      </c>
      <c r="H51" s="154">
        <f t="shared" si="10"/>
        <v>31</v>
      </c>
      <c r="I51" s="154" t="s">
        <v>565</v>
      </c>
      <c r="J51" s="324"/>
      <c r="K51" s="154"/>
      <c r="L51" s="221"/>
      <c r="M51" t="s">
        <v>579</v>
      </c>
      <c r="N51"/>
      <c r="O51"/>
      <c r="W51" s="162" t="s">
        <v>580</v>
      </c>
      <c r="X51"/>
    </row>
    <row r="52" spans="2:24">
      <c r="B52" s="313"/>
      <c r="C52" s="154">
        <v>1</v>
      </c>
      <c r="D52" s="154">
        <f t="shared" si="11"/>
        <v>368</v>
      </c>
      <c r="E52" s="154" t="str">
        <f t="shared" si="7"/>
        <v>0x0170</v>
      </c>
      <c r="F52" s="324"/>
      <c r="G52" s="39" t="s">
        <v>581</v>
      </c>
      <c r="H52" s="154">
        <f t="shared" si="10"/>
        <v>32</v>
      </c>
      <c r="I52" s="154" t="s">
        <v>565</v>
      </c>
      <c r="J52" s="324"/>
      <c r="K52" s="154"/>
      <c r="L52" s="221"/>
      <c r="M52"/>
      <c r="N52"/>
      <c r="O52"/>
      <c r="W52" s="162"/>
      <c r="X52"/>
    </row>
    <row r="53" spans="2:24">
      <c r="B53" s="313"/>
      <c r="C53" s="154">
        <v>1</v>
      </c>
      <c r="D53" s="154">
        <f t="shared" si="11"/>
        <v>369</v>
      </c>
      <c r="E53" s="154" t="str">
        <f t="shared" si="7"/>
        <v>0x0171</v>
      </c>
      <c r="F53" s="324"/>
      <c r="G53" s="39" t="s">
        <v>582</v>
      </c>
      <c r="H53" s="154">
        <f t="shared" si="10"/>
        <v>33</v>
      </c>
      <c r="I53" s="154" t="s">
        <v>565</v>
      </c>
      <c r="J53" s="324"/>
      <c r="K53" s="154"/>
      <c r="L53" s="221"/>
      <c r="M53" s="163"/>
      <c r="N53" s="163"/>
      <c r="W53" s="164">
        <v>8</v>
      </c>
      <c r="X53" t="s">
        <v>583</v>
      </c>
    </row>
    <row r="54" spans="2:24">
      <c r="B54" s="313"/>
      <c r="C54" s="154">
        <v>2</v>
      </c>
      <c r="D54" s="154">
        <f t="shared" si="11"/>
        <v>370</v>
      </c>
      <c r="E54" s="154" t="str">
        <f t="shared" si="7"/>
        <v>0x0172</v>
      </c>
      <c r="F54" s="324"/>
      <c r="G54" s="39" t="s">
        <v>584</v>
      </c>
      <c r="H54" s="154">
        <f t="shared" si="10"/>
        <v>34</v>
      </c>
      <c r="I54" s="154" t="s">
        <v>585</v>
      </c>
      <c r="J54" s="324"/>
      <c r="K54" s="154"/>
      <c r="L54" s="221"/>
      <c r="W54" s="164">
        <v>32</v>
      </c>
      <c r="X54" t="s">
        <v>586</v>
      </c>
    </row>
    <row r="55" spans="2:24" ht="30">
      <c r="B55" s="313"/>
      <c r="C55" s="154">
        <v>2</v>
      </c>
      <c r="D55" s="154">
        <f t="shared" si="11"/>
        <v>372</v>
      </c>
      <c r="E55" s="154" t="str">
        <f t="shared" si="7"/>
        <v>0x0174</v>
      </c>
      <c r="F55" s="324"/>
      <c r="G55" s="39" t="s">
        <v>587</v>
      </c>
      <c r="H55" s="154">
        <f t="shared" si="10"/>
        <v>36</v>
      </c>
      <c r="I55" s="154" t="s">
        <v>585</v>
      </c>
      <c r="J55" s="324"/>
      <c r="K55" s="154"/>
      <c r="L55" s="221"/>
      <c r="W55" s="164">
        <v>32</v>
      </c>
      <c r="X55"/>
    </row>
    <row r="56" spans="2:24">
      <c r="B56" s="313"/>
      <c r="C56" s="154">
        <v>4</v>
      </c>
      <c r="D56" s="154">
        <f t="shared" si="11"/>
        <v>374</v>
      </c>
      <c r="E56" s="154" t="str">
        <f t="shared" si="7"/>
        <v>0x0176</v>
      </c>
      <c r="F56" s="324"/>
      <c r="G56" s="39" t="s">
        <v>588</v>
      </c>
      <c r="H56" s="154">
        <f t="shared" si="10"/>
        <v>38</v>
      </c>
      <c r="I56" s="154" t="s">
        <v>561</v>
      </c>
      <c r="J56" s="324"/>
      <c r="K56" s="154"/>
      <c r="L56" s="221"/>
      <c r="M56" s="149" t="s">
        <v>589</v>
      </c>
      <c r="N56" s="158"/>
      <c r="O56" s="154" t="s">
        <v>500</v>
      </c>
      <c r="P56" s="154" t="s">
        <v>504</v>
      </c>
      <c r="W56" s="164">
        <v>32</v>
      </c>
      <c r="X56"/>
    </row>
    <row r="57" spans="2:24" ht="15.75" thickBot="1">
      <c r="B57" s="320"/>
      <c r="C57" s="226">
        <v>294</v>
      </c>
      <c r="D57" s="212">
        <f t="shared" si="11"/>
        <v>378</v>
      </c>
      <c r="E57" s="226" t="str">
        <f t="shared" ref="E57" si="12">"0x"&amp;DEC2HEX(D57,4)</f>
        <v>0x017A</v>
      </c>
      <c r="F57" s="327"/>
      <c r="G57" s="227" t="s">
        <v>541</v>
      </c>
      <c r="H57" s="212">
        <f t="shared" si="10"/>
        <v>42</v>
      </c>
      <c r="I57" s="212"/>
      <c r="J57" s="324"/>
      <c r="K57" s="154"/>
      <c r="L57" s="221"/>
      <c r="M57" s="161" t="s">
        <v>540</v>
      </c>
      <c r="O57" s="154">
        <v>0</v>
      </c>
      <c r="P57" s="154">
        <v>0</v>
      </c>
      <c r="W57" s="164">
        <v>32</v>
      </c>
      <c r="X57"/>
    </row>
    <row r="58" spans="2:24">
      <c r="B58" s="322" t="s">
        <v>590</v>
      </c>
      <c r="C58" s="159">
        <v>4</v>
      </c>
      <c r="D58" s="159">
        <f>D57+C57</f>
        <v>672</v>
      </c>
      <c r="E58" s="154" t="str">
        <f t="shared" ref="E58:E77" si="13">"0x"&amp;DEC2HEX(D58,4)</f>
        <v>0x02A0</v>
      </c>
      <c r="F58" s="323">
        <f>SUM(C58:C76)</f>
        <v>336</v>
      </c>
      <c r="G58" s="150" t="s">
        <v>523</v>
      </c>
      <c r="H58" s="159">
        <v>0</v>
      </c>
      <c r="I58" s="159" t="s">
        <v>554</v>
      </c>
      <c r="J58" s="324"/>
      <c r="K58" s="154"/>
      <c r="L58" s="221"/>
      <c r="M58" s="161" t="s">
        <v>591</v>
      </c>
      <c r="O58" s="154">
        <v>1</v>
      </c>
      <c r="P58" s="154">
        <v>0</v>
      </c>
      <c r="W58" s="164">
        <v>32</v>
      </c>
      <c r="X58" t="s">
        <v>592</v>
      </c>
    </row>
    <row r="59" spans="2:24">
      <c r="B59" s="313"/>
      <c r="C59" s="154">
        <v>4</v>
      </c>
      <c r="D59" s="154">
        <f>D58+C58</f>
        <v>676</v>
      </c>
      <c r="E59" s="154" t="str">
        <f t="shared" si="13"/>
        <v>0x02A4</v>
      </c>
      <c r="F59" s="324"/>
      <c r="G59" s="39" t="s">
        <v>555</v>
      </c>
      <c r="H59" s="154">
        <f t="shared" ref="H59:H76" si="14">H58+C58</f>
        <v>4</v>
      </c>
      <c r="I59" s="154" t="s">
        <v>556</v>
      </c>
      <c r="J59" s="324"/>
      <c r="K59" s="154"/>
      <c r="L59" s="221"/>
      <c r="M59" s="216" t="s">
        <v>593</v>
      </c>
      <c r="N59" s="215"/>
      <c r="O59" s="215">
        <v>2</v>
      </c>
      <c r="P59" s="215">
        <v>0</v>
      </c>
      <c r="W59" s="164">
        <v>32</v>
      </c>
      <c r="X59" t="s">
        <v>592</v>
      </c>
    </row>
    <row r="60" spans="2:24">
      <c r="B60" s="313"/>
      <c r="C60" s="154">
        <v>8</v>
      </c>
      <c r="D60" s="154">
        <f t="shared" ref="D60:D76" si="15">D59+C59</f>
        <v>680</v>
      </c>
      <c r="E60" s="154" t="str">
        <f t="shared" si="13"/>
        <v>0x02A8</v>
      </c>
      <c r="F60" s="324"/>
      <c r="G60" s="39" t="s">
        <v>557</v>
      </c>
      <c r="H60" s="154">
        <f t="shared" si="14"/>
        <v>8</v>
      </c>
      <c r="I60" s="154" t="s">
        <v>558</v>
      </c>
      <c r="J60" s="324"/>
      <c r="K60" s="154"/>
      <c r="L60" s="221"/>
      <c r="M60" s="161" t="s">
        <v>594</v>
      </c>
      <c r="O60" s="154">
        <v>3</v>
      </c>
      <c r="P60" s="154">
        <v>0</v>
      </c>
      <c r="W60" s="164">
        <v>32</v>
      </c>
      <c r="X60" t="s">
        <v>595</v>
      </c>
    </row>
    <row r="61" spans="2:24">
      <c r="B61" s="313"/>
      <c r="C61" s="154">
        <v>4</v>
      </c>
      <c r="D61" s="154">
        <f t="shared" si="15"/>
        <v>688</v>
      </c>
      <c r="E61" s="154" t="str">
        <f t="shared" si="13"/>
        <v>0x02B0</v>
      </c>
      <c r="F61" s="324"/>
      <c r="G61" s="39" t="s">
        <v>560</v>
      </c>
      <c r="H61" s="154">
        <f t="shared" si="14"/>
        <v>16</v>
      </c>
      <c r="I61" s="154" t="s">
        <v>561</v>
      </c>
      <c r="J61" s="324"/>
      <c r="K61" s="154"/>
      <c r="L61" s="221"/>
      <c r="M61" t="s">
        <v>596</v>
      </c>
      <c r="O61" s="154">
        <v>255</v>
      </c>
      <c r="P61" s="154">
        <v>255</v>
      </c>
      <c r="W61" s="164">
        <v>32</v>
      </c>
      <c r="X61" t="s">
        <v>595</v>
      </c>
    </row>
    <row r="62" spans="2:24">
      <c r="B62" s="313"/>
      <c r="C62" s="154">
        <v>4</v>
      </c>
      <c r="D62" s="154">
        <f t="shared" si="15"/>
        <v>692</v>
      </c>
      <c r="E62" s="154" t="str">
        <f t="shared" si="13"/>
        <v>0x02B4</v>
      </c>
      <c r="F62" s="324"/>
      <c r="G62" s="39" t="s">
        <v>562</v>
      </c>
      <c r="H62" s="154">
        <f t="shared" si="14"/>
        <v>20</v>
      </c>
      <c r="I62" s="154" t="s">
        <v>561</v>
      </c>
      <c r="J62" s="324"/>
      <c r="K62" s="154"/>
      <c r="L62" s="221"/>
      <c r="W62" s="164">
        <v>64</v>
      </c>
      <c r="X62" t="s">
        <v>597</v>
      </c>
    </row>
    <row r="63" spans="2:24">
      <c r="B63" s="313"/>
      <c r="C63" s="154">
        <v>1</v>
      </c>
      <c r="D63" s="154">
        <f t="shared" si="15"/>
        <v>696</v>
      </c>
      <c r="E63" s="154" t="str">
        <f t="shared" si="13"/>
        <v>0x02B8</v>
      </c>
      <c r="F63" s="324"/>
      <c r="G63" s="39" t="s">
        <v>564</v>
      </c>
      <c r="H63" s="154">
        <f t="shared" si="14"/>
        <v>24</v>
      </c>
      <c r="I63" s="154" t="s">
        <v>565</v>
      </c>
      <c r="J63" s="324"/>
      <c r="K63" s="154"/>
      <c r="L63" s="221"/>
      <c r="W63" s="164">
        <v>8</v>
      </c>
      <c r="X63" t="s">
        <v>598</v>
      </c>
    </row>
    <row r="64" spans="2:24">
      <c r="B64" s="313"/>
      <c r="C64" s="154">
        <v>1</v>
      </c>
      <c r="D64" s="154">
        <f t="shared" si="15"/>
        <v>697</v>
      </c>
      <c r="E64" s="154" t="str">
        <f t="shared" si="13"/>
        <v>0x02B9</v>
      </c>
      <c r="F64" s="324"/>
      <c r="G64" s="39" t="s">
        <v>567</v>
      </c>
      <c r="H64" s="154">
        <f t="shared" si="14"/>
        <v>25</v>
      </c>
      <c r="I64" s="154" t="s">
        <v>565</v>
      </c>
      <c r="J64" s="324"/>
      <c r="K64" s="154"/>
      <c r="L64" s="221"/>
      <c r="M64" s="149" t="s">
        <v>599</v>
      </c>
      <c r="N64" s="158"/>
      <c r="T64"/>
      <c r="U64" t="s">
        <v>600</v>
      </c>
      <c r="V64"/>
      <c r="W64" s="164">
        <v>8</v>
      </c>
      <c r="X64" t="s">
        <v>601</v>
      </c>
    </row>
    <row r="65" spans="2:24">
      <c r="B65" s="313"/>
      <c r="C65" s="154">
        <v>1</v>
      </c>
      <c r="D65" s="154">
        <f t="shared" si="15"/>
        <v>698</v>
      </c>
      <c r="E65" s="154" t="str">
        <f t="shared" si="13"/>
        <v>0x02BA</v>
      </c>
      <c r="F65" s="324"/>
      <c r="G65" s="39" t="s">
        <v>568</v>
      </c>
      <c r="H65" s="154">
        <f t="shared" si="14"/>
        <v>26</v>
      </c>
      <c r="I65" s="154" t="s">
        <v>565</v>
      </c>
      <c r="J65" s="324"/>
      <c r="K65" s="154"/>
      <c r="L65" s="221"/>
      <c r="M65" s="154" t="s">
        <v>602</v>
      </c>
      <c r="N65" t="s">
        <v>603</v>
      </c>
      <c r="T65"/>
      <c r="U65" t="s">
        <v>512</v>
      </c>
      <c r="V65"/>
      <c r="W65" s="164">
        <v>128</v>
      </c>
      <c r="X65"/>
    </row>
    <row r="66" spans="2:24">
      <c r="B66" s="313"/>
      <c r="C66" s="154">
        <v>1</v>
      </c>
      <c r="D66" s="154">
        <f t="shared" si="15"/>
        <v>699</v>
      </c>
      <c r="E66" s="154" t="str">
        <f t="shared" si="13"/>
        <v>0x02BB</v>
      </c>
      <c r="F66" s="324"/>
      <c r="G66" s="39" t="s">
        <v>570</v>
      </c>
      <c r="H66" s="154">
        <f t="shared" si="14"/>
        <v>27</v>
      </c>
      <c r="I66" s="154" t="s">
        <v>565</v>
      </c>
      <c r="J66" s="324"/>
      <c r="K66" s="154"/>
      <c r="L66" s="221"/>
      <c r="M66" s="219" t="s">
        <v>604</v>
      </c>
      <c r="N66" s="219" t="s">
        <v>605</v>
      </c>
      <c r="O66" s="219"/>
      <c r="P66" s="219"/>
      <c r="T66"/>
      <c r="U66" t="s">
        <v>606</v>
      </c>
      <c r="V66"/>
      <c r="W66" s="164" t="s">
        <v>607</v>
      </c>
      <c r="X66" t="s">
        <v>608</v>
      </c>
    </row>
    <row r="67" spans="2:24">
      <c r="B67" s="313"/>
      <c r="C67" s="154">
        <v>1</v>
      </c>
      <c r="D67" s="154">
        <f t="shared" si="15"/>
        <v>700</v>
      </c>
      <c r="E67" s="154" t="str">
        <f t="shared" si="13"/>
        <v>0x02BC</v>
      </c>
      <c r="F67" s="324"/>
      <c r="G67" s="39" t="s">
        <v>572</v>
      </c>
      <c r="H67" s="154">
        <f t="shared" si="14"/>
        <v>28</v>
      </c>
      <c r="I67" s="154" t="s">
        <v>565</v>
      </c>
      <c r="J67" s="324"/>
      <c r="K67" s="154"/>
      <c r="L67" s="221"/>
      <c r="M67" s="154" t="s">
        <v>609</v>
      </c>
      <c r="N67" s="154" t="s">
        <v>610</v>
      </c>
    </row>
    <row r="68" spans="2:24">
      <c r="B68" s="313"/>
      <c r="C68" s="154">
        <v>1</v>
      </c>
      <c r="D68" s="154">
        <f t="shared" si="15"/>
        <v>701</v>
      </c>
      <c r="E68" s="154" t="str">
        <f t="shared" si="13"/>
        <v>0x02BD</v>
      </c>
      <c r="F68" s="324"/>
      <c r="G68" s="39" t="s">
        <v>573</v>
      </c>
      <c r="H68" s="154">
        <f t="shared" si="14"/>
        <v>29</v>
      </c>
      <c r="I68" s="154" t="s">
        <v>565</v>
      </c>
      <c r="J68" s="324"/>
      <c r="K68" s="154"/>
      <c r="L68" s="221"/>
      <c r="M68" s="154" t="s">
        <v>611</v>
      </c>
      <c r="N68" s="154" t="s">
        <v>612</v>
      </c>
    </row>
    <row r="69" spans="2:24" ht="15" customHeight="1">
      <c r="B69" s="313"/>
      <c r="C69" s="154">
        <v>1</v>
      </c>
      <c r="D69" s="154">
        <f t="shared" si="15"/>
        <v>702</v>
      </c>
      <c r="E69" s="154" t="str">
        <f t="shared" si="13"/>
        <v>0x02BE</v>
      </c>
      <c r="F69" s="324"/>
      <c r="G69" s="39" t="s">
        <v>576</v>
      </c>
      <c r="H69" s="154">
        <f t="shared" si="14"/>
        <v>30</v>
      </c>
      <c r="I69" s="154" t="s">
        <v>565</v>
      </c>
      <c r="J69" s="324"/>
      <c r="K69" s="154"/>
      <c r="L69" s="221"/>
    </row>
    <row r="70" spans="2:24" ht="15" customHeight="1">
      <c r="B70" s="313"/>
      <c r="C70" s="154">
        <v>1</v>
      </c>
      <c r="D70" s="154">
        <f t="shared" si="15"/>
        <v>703</v>
      </c>
      <c r="E70" s="154" t="str">
        <f t="shared" si="13"/>
        <v>0x02BF</v>
      </c>
      <c r="F70" s="324"/>
      <c r="G70" s="39" t="s">
        <v>578</v>
      </c>
      <c r="H70" s="154">
        <f t="shared" si="14"/>
        <v>31</v>
      </c>
      <c r="I70" s="154" t="s">
        <v>565</v>
      </c>
      <c r="J70" s="324"/>
      <c r="K70" s="154"/>
      <c r="L70" s="221"/>
    </row>
    <row r="71" spans="2:24" ht="15" customHeight="1">
      <c r="B71" s="313"/>
      <c r="C71" s="154">
        <v>1</v>
      </c>
      <c r="D71" s="154">
        <f t="shared" si="15"/>
        <v>704</v>
      </c>
      <c r="E71" s="154" t="str">
        <f t="shared" si="13"/>
        <v>0x02C0</v>
      </c>
      <c r="F71" s="324"/>
      <c r="G71" s="39" t="s">
        <v>581</v>
      </c>
      <c r="H71" s="154">
        <f t="shared" si="14"/>
        <v>32</v>
      </c>
      <c r="I71" s="154" t="s">
        <v>565</v>
      </c>
      <c r="J71" s="324"/>
      <c r="K71" s="154"/>
      <c r="L71" s="221"/>
    </row>
    <row r="72" spans="2:24">
      <c r="B72" s="313"/>
      <c r="C72" s="154">
        <v>1</v>
      </c>
      <c r="D72" s="154">
        <f t="shared" si="15"/>
        <v>705</v>
      </c>
      <c r="E72" s="154" t="str">
        <f t="shared" si="13"/>
        <v>0x02C1</v>
      </c>
      <c r="F72" s="324"/>
      <c r="G72" s="39" t="s">
        <v>582</v>
      </c>
      <c r="H72" s="154">
        <f t="shared" si="14"/>
        <v>33</v>
      </c>
      <c r="I72" s="154" t="s">
        <v>565</v>
      </c>
      <c r="J72" s="324"/>
      <c r="K72" s="154"/>
      <c r="L72" s="221"/>
    </row>
    <row r="73" spans="2:24">
      <c r="B73" s="313"/>
      <c r="C73" s="154">
        <v>2</v>
      </c>
      <c r="D73" s="154">
        <f t="shared" si="15"/>
        <v>706</v>
      </c>
      <c r="E73" s="154" t="str">
        <f t="shared" si="13"/>
        <v>0x02C2</v>
      </c>
      <c r="F73" s="324"/>
      <c r="G73" s="39" t="s">
        <v>584</v>
      </c>
      <c r="H73" s="154">
        <f t="shared" si="14"/>
        <v>34</v>
      </c>
      <c r="I73" s="154" t="s">
        <v>585</v>
      </c>
      <c r="J73" s="324"/>
      <c r="K73" s="154"/>
      <c r="L73" s="221"/>
    </row>
    <row r="74" spans="2:24" ht="30">
      <c r="B74" s="313"/>
      <c r="C74" s="154">
        <v>2</v>
      </c>
      <c r="D74" s="154">
        <f t="shared" si="15"/>
        <v>708</v>
      </c>
      <c r="E74" s="154" t="str">
        <f t="shared" si="13"/>
        <v>0x02C4</v>
      </c>
      <c r="F74" s="324"/>
      <c r="G74" s="39" t="s">
        <v>587</v>
      </c>
      <c r="H74" s="154">
        <f t="shared" si="14"/>
        <v>36</v>
      </c>
      <c r="I74" s="154" t="s">
        <v>585</v>
      </c>
      <c r="J74" s="324"/>
      <c r="K74" s="154"/>
      <c r="L74" s="221"/>
    </row>
    <row r="75" spans="2:24">
      <c r="B75" s="313"/>
      <c r="C75" s="154">
        <v>4</v>
      </c>
      <c r="D75" s="154">
        <f t="shared" si="15"/>
        <v>710</v>
      </c>
      <c r="E75" s="154" t="str">
        <f t="shared" si="13"/>
        <v>0x02C6</v>
      </c>
      <c r="F75" s="324"/>
      <c r="G75" s="39" t="s">
        <v>588</v>
      </c>
      <c r="H75" s="154">
        <f t="shared" si="14"/>
        <v>38</v>
      </c>
      <c r="I75" s="154" t="s">
        <v>561</v>
      </c>
      <c r="J75" s="324"/>
      <c r="K75" s="154"/>
      <c r="L75" s="221"/>
    </row>
    <row r="76" spans="2:24" ht="15.75" thickBot="1">
      <c r="B76" s="314"/>
      <c r="C76" s="224">
        <v>294</v>
      </c>
      <c r="D76" s="224">
        <f t="shared" si="15"/>
        <v>714</v>
      </c>
      <c r="E76" s="212" t="str">
        <f t="shared" si="13"/>
        <v>0x02CA</v>
      </c>
      <c r="F76" s="327"/>
      <c r="G76" s="225" t="s">
        <v>541</v>
      </c>
      <c r="H76" s="212">
        <f t="shared" si="14"/>
        <v>42</v>
      </c>
      <c r="I76" s="212"/>
      <c r="J76" s="324"/>
      <c r="K76" s="154"/>
      <c r="L76" s="221"/>
    </row>
    <row r="77" spans="2:24" ht="45">
      <c r="B77" s="153" t="s">
        <v>611</v>
      </c>
      <c r="C77" s="229">
        <v>16</v>
      </c>
      <c r="D77" s="237">
        <f>D76+C77</f>
        <v>730</v>
      </c>
      <c r="E77" s="238" t="str">
        <f t="shared" si="13"/>
        <v>0x02DA</v>
      </c>
      <c r="F77" s="223">
        <f>C77</f>
        <v>16</v>
      </c>
      <c r="G77" s="152" t="s">
        <v>613</v>
      </c>
      <c r="H77" s="220"/>
      <c r="I77" s="220"/>
      <c r="J77" s="324"/>
      <c r="K77" s="154"/>
      <c r="L77" s="221"/>
    </row>
    <row r="78" spans="2:24">
      <c r="C78" s="154">
        <f>SUM(C13:C77)</f>
        <v>1024</v>
      </c>
      <c r="F78" s="236">
        <f>SUM(F13:F77)</f>
        <v>1024</v>
      </c>
      <c r="J78" s="228"/>
      <c r="K78" s="154"/>
      <c r="L78" s="228"/>
    </row>
    <row r="79" spans="2:24">
      <c r="J79" s="228"/>
      <c r="K79" s="154"/>
      <c r="L79" s="228"/>
    </row>
    <row r="80" spans="2:24">
      <c r="J80" s="228"/>
      <c r="K80" s="154"/>
      <c r="L80" s="228"/>
      <c r="P80" s="154" t="s">
        <v>197</v>
      </c>
    </row>
    <row r="81" spans="10:12">
      <c r="J81" s="228"/>
      <c r="K81" s="154"/>
      <c r="L81" s="228"/>
    </row>
    <row r="82" spans="10:12">
      <c r="J82" s="228"/>
      <c r="K82" s="154"/>
      <c r="L82" s="228"/>
    </row>
    <row r="83" spans="10:12">
      <c r="J83" s="228"/>
      <c r="K83" s="154"/>
      <c r="L83" s="228"/>
    </row>
    <row r="84" spans="10:12">
      <c r="J84" s="228"/>
      <c r="K84" s="154"/>
      <c r="L84" s="228"/>
    </row>
    <row r="85" spans="10:12">
      <c r="J85" s="228"/>
      <c r="K85" s="154"/>
      <c r="L85" s="228"/>
    </row>
    <row r="86" spans="10:12">
      <c r="J86" s="228"/>
      <c r="K86" s="154"/>
      <c r="L86" s="228"/>
    </row>
    <row r="87" spans="10:12">
      <c r="J87" s="228"/>
      <c r="K87" s="154"/>
      <c r="L87" s="228"/>
    </row>
    <row r="88" spans="10:12">
      <c r="J88" s="228"/>
      <c r="K88" s="154"/>
      <c r="L88" s="228"/>
    </row>
    <row r="89" spans="10:12" ht="15" customHeight="1">
      <c r="J89" s="228"/>
      <c r="K89" s="154"/>
      <c r="L89" s="228"/>
    </row>
    <row r="90" spans="10:12" ht="15" customHeight="1">
      <c r="J90" s="228"/>
      <c r="K90" s="154"/>
      <c r="L90" s="228"/>
    </row>
    <row r="91" spans="10:12">
      <c r="J91" s="228"/>
      <c r="K91" s="154"/>
      <c r="L91" s="228"/>
    </row>
    <row r="92" spans="10:12">
      <c r="K92" s="154"/>
    </row>
    <row r="94" spans="10:12">
      <c r="K94" s="154"/>
    </row>
    <row r="95" spans="10:12">
      <c r="K95" s="154"/>
    </row>
  </sheetData>
  <mergeCells count="15">
    <mergeCell ref="B21:B29"/>
    <mergeCell ref="B30:B38"/>
    <mergeCell ref="B39:B57"/>
    <mergeCell ref="B58:B76"/>
    <mergeCell ref="J13:J77"/>
    <mergeCell ref="F21:F29"/>
    <mergeCell ref="F30:F38"/>
    <mergeCell ref="F39:F57"/>
    <mergeCell ref="F58:F76"/>
    <mergeCell ref="J5:J12"/>
    <mergeCell ref="B13:B20"/>
    <mergeCell ref="F13:F20"/>
    <mergeCell ref="B2:G2"/>
    <mergeCell ref="B5:B12"/>
    <mergeCell ref="F5:F12"/>
  </mergeCells>
  <phoneticPr fontId="45" type="noConversion"/>
  <conditionalFormatting sqref="C78 F78">
    <cfRule type="cellIs" dxfId="0" priority="1" operator="notEqual">
      <formula>1024</formula>
    </cfRule>
  </conditionalFormatting>
  <pageMargins left="0.7" right="0.7" top="0.78740157499999996" bottom="0.78740157499999996"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92886-EBE0-4205-BBFE-20C502621BEF}">
  <dimension ref="A1:I58"/>
  <sheetViews>
    <sheetView workbookViewId="0">
      <selection activeCell="N9" sqref="N9"/>
    </sheetView>
  </sheetViews>
  <sheetFormatPr defaultColWidth="11.42578125" defaultRowHeight="15"/>
  <cols>
    <col min="3" max="3" width="11.42578125" style="131"/>
    <col min="5" max="5" width="11.42578125" style="139"/>
  </cols>
  <sheetData>
    <row r="1" spans="1:9">
      <c r="A1" s="328" t="s">
        <v>614</v>
      </c>
      <c r="B1" s="328"/>
      <c r="C1" s="328"/>
      <c r="D1" s="328"/>
      <c r="E1" s="328"/>
      <c r="F1" s="328"/>
      <c r="G1" s="328"/>
      <c r="H1" s="328"/>
      <c r="I1" s="328"/>
    </row>
    <row r="2" spans="1:9">
      <c r="A2" s="329"/>
      <c r="B2" s="329"/>
      <c r="C2" s="329"/>
      <c r="D2" s="329"/>
      <c r="E2" s="329"/>
      <c r="F2" s="329"/>
      <c r="G2" s="329"/>
      <c r="H2" s="329"/>
      <c r="I2" s="329"/>
    </row>
    <row r="3" spans="1:9" ht="30">
      <c r="A3" s="80" t="s">
        <v>615</v>
      </c>
      <c r="B3" s="80" t="s">
        <v>616</v>
      </c>
      <c r="C3" s="121" t="s">
        <v>617</v>
      </c>
      <c r="D3" s="80" t="s">
        <v>488</v>
      </c>
      <c r="E3" s="132" t="s">
        <v>618</v>
      </c>
      <c r="F3" s="340" t="s">
        <v>491</v>
      </c>
      <c r="G3" s="341"/>
      <c r="H3" s="80" t="s">
        <v>619</v>
      </c>
      <c r="I3" s="80"/>
    </row>
    <row r="4" spans="1:9" ht="105">
      <c r="A4" s="342" t="s">
        <v>620</v>
      </c>
      <c r="B4" s="330" t="s">
        <v>621</v>
      </c>
      <c r="C4" s="344">
        <v>16</v>
      </c>
      <c r="D4" s="360" t="s">
        <v>622</v>
      </c>
      <c r="E4" s="362">
        <f>SUM(C4:C9)</f>
        <v>80</v>
      </c>
      <c r="F4" s="85" t="s">
        <v>623</v>
      </c>
      <c r="G4" s="85" t="s">
        <v>624</v>
      </c>
      <c r="H4" s="346" t="s">
        <v>625</v>
      </c>
      <c r="I4" s="333" t="s">
        <v>626</v>
      </c>
    </row>
    <row r="5" spans="1:9">
      <c r="A5" s="343"/>
      <c r="B5" s="332"/>
      <c r="C5" s="345"/>
      <c r="D5" s="361"/>
      <c r="E5" s="362"/>
      <c r="F5" s="349" t="s">
        <v>627</v>
      </c>
      <c r="G5" s="349"/>
      <c r="H5" s="347"/>
      <c r="I5" s="333"/>
    </row>
    <row r="6" spans="1:9" ht="18">
      <c r="A6" s="81" t="s">
        <v>628</v>
      </c>
      <c r="B6" s="332"/>
      <c r="C6" s="122">
        <v>16</v>
      </c>
      <c r="D6" s="81" t="s">
        <v>629</v>
      </c>
      <c r="E6" s="362"/>
      <c r="F6" s="350"/>
      <c r="G6" s="350"/>
      <c r="H6" s="347"/>
      <c r="I6" s="333"/>
    </row>
    <row r="7" spans="1:9" ht="18">
      <c r="A7" s="81" t="s">
        <v>630</v>
      </c>
      <c r="B7" s="332"/>
      <c r="C7" s="122">
        <v>16</v>
      </c>
      <c r="D7" s="81" t="s">
        <v>631</v>
      </c>
      <c r="E7" s="362"/>
      <c r="F7" s="350"/>
      <c r="G7" s="350"/>
      <c r="H7" s="347"/>
      <c r="I7" s="333"/>
    </row>
    <row r="8" spans="1:9" ht="18">
      <c r="A8" s="81" t="s">
        <v>632</v>
      </c>
      <c r="B8" s="332"/>
      <c r="C8" s="122">
        <v>16</v>
      </c>
      <c r="D8" s="81" t="s">
        <v>633</v>
      </c>
      <c r="E8" s="362"/>
      <c r="F8" s="350"/>
      <c r="G8" s="350"/>
      <c r="H8" s="347"/>
      <c r="I8" s="333"/>
    </row>
    <row r="9" spans="1:9" ht="18">
      <c r="A9" s="81" t="s">
        <v>634</v>
      </c>
      <c r="B9" s="332"/>
      <c r="C9" s="122">
        <v>16</v>
      </c>
      <c r="D9" s="81" t="s">
        <v>635</v>
      </c>
      <c r="E9" s="362"/>
      <c r="F9" s="351"/>
      <c r="G9" s="351"/>
      <c r="H9" s="347"/>
      <c r="I9" s="333"/>
    </row>
    <row r="10" spans="1:9" ht="18">
      <c r="A10" s="81" t="s">
        <v>636</v>
      </c>
      <c r="B10" s="332"/>
      <c r="C10" s="122">
        <v>16</v>
      </c>
      <c r="D10" s="81" t="s">
        <v>637</v>
      </c>
      <c r="E10" s="133">
        <f>C10</f>
        <v>16</v>
      </c>
      <c r="F10" s="81" t="s">
        <v>638</v>
      </c>
      <c r="G10" s="90"/>
      <c r="H10" s="348"/>
      <c r="I10" s="333"/>
    </row>
    <row r="11" spans="1:9" ht="135">
      <c r="A11" s="91" t="s">
        <v>639</v>
      </c>
      <c r="B11" s="332"/>
      <c r="C11" s="123">
        <v>16</v>
      </c>
      <c r="D11" s="91" t="s">
        <v>640</v>
      </c>
      <c r="E11" s="134">
        <f t="shared" ref="E11:E12" si="0">C11</f>
        <v>16</v>
      </c>
      <c r="F11" s="91" t="s">
        <v>641</v>
      </c>
      <c r="G11" s="91" t="s">
        <v>642</v>
      </c>
      <c r="H11" s="92" t="s">
        <v>643</v>
      </c>
      <c r="I11" s="333"/>
    </row>
    <row r="12" spans="1:9" ht="75">
      <c r="A12" s="83" t="s">
        <v>644</v>
      </c>
      <c r="B12" s="332"/>
      <c r="C12" s="124">
        <v>16</v>
      </c>
      <c r="D12" s="83" t="s">
        <v>645</v>
      </c>
      <c r="E12" s="135">
        <f t="shared" si="0"/>
        <v>16</v>
      </c>
      <c r="F12" s="84" t="s">
        <v>646</v>
      </c>
      <c r="G12" s="83" t="s">
        <v>647</v>
      </c>
      <c r="H12" s="93" t="s">
        <v>648</v>
      </c>
      <c r="I12" s="333"/>
    </row>
    <row r="13" spans="1:9" ht="165">
      <c r="A13" s="85" t="s">
        <v>649</v>
      </c>
      <c r="B13" s="332"/>
      <c r="C13" s="125">
        <v>32</v>
      </c>
      <c r="D13" s="94" t="s">
        <v>650</v>
      </c>
      <c r="E13" s="136">
        <f>C13</f>
        <v>32</v>
      </c>
      <c r="F13" s="85" t="s">
        <v>651</v>
      </c>
      <c r="G13" s="85" t="s">
        <v>652</v>
      </c>
      <c r="H13" s="352" t="s">
        <v>643</v>
      </c>
      <c r="I13" s="333"/>
    </row>
    <row r="14" spans="1:9" ht="18">
      <c r="A14" s="86" t="s">
        <v>653</v>
      </c>
      <c r="B14" s="332"/>
      <c r="C14" s="126">
        <v>32</v>
      </c>
      <c r="D14" s="86" t="s">
        <v>654</v>
      </c>
      <c r="E14" s="355">
        <f>SUM(C14:C31)</f>
        <v>1888</v>
      </c>
      <c r="F14" s="357" t="s">
        <v>655</v>
      </c>
      <c r="G14" s="357" t="s">
        <v>656</v>
      </c>
      <c r="H14" s="353"/>
      <c r="I14" s="333"/>
    </row>
    <row r="15" spans="1:9" ht="18">
      <c r="A15" s="89" t="s">
        <v>657</v>
      </c>
      <c r="B15" s="332"/>
      <c r="C15" s="126">
        <v>32</v>
      </c>
      <c r="D15" s="86" t="s">
        <v>658</v>
      </c>
      <c r="E15" s="355"/>
      <c r="F15" s="358"/>
      <c r="G15" s="358"/>
      <c r="H15" s="353"/>
      <c r="I15" s="333"/>
    </row>
    <row r="16" spans="1:9" ht="18">
      <c r="A16" s="89" t="s">
        <v>659</v>
      </c>
      <c r="B16" s="332"/>
      <c r="C16" s="126">
        <v>32</v>
      </c>
      <c r="D16" s="86" t="s">
        <v>660</v>
      </c>
      <c r="E16" s="355"/>
      <c r="F16" s="358"/>
      <c r="G16" s="358"/>
      <c r="H16" s="353"/>
      <c r="I16" s="333"/>
    </row>
    <row r="17" spans="1:9" ht="18">
      <c r="A17" s="89" t="s">
        <v>661</v>
      </c>
      <c r="B17" s="332"/>
      <c r="C17" s="127">
        <v>32</v>
      </c>
      <c r="D17" s="89" t="s">
        <v>662</v>
      </c>
      <c r="E17" s="355"/>
      <c r="F17" s="358"/>
      <c r="G17" s="358"/>
      <c r="H17" s="353"/>
      <c r="I17" s="333"/>
    </row>
    <row r="18" spans="1:9" ht="18">
      <c r="A18" s="86" t="s">
        <v>663</v>
      </c>
      <c r="B18" s="332"/>
      <c r="C18" s="126">
        <v>32</v>
      </c>
      <c r="D18" s="86" t="s">
        <v>664</v>
      </c>
      <c r="E18" s="355"/>
      <c r="F18" s="358"/>
      <c r="G18" s="358"/>
      <c r="H18" s="353"/>
      <c r="I18" s="333"/>
    </row>
    <row r="19" spans="1:9" ht="18">
      <c r="A19" s="86" t="s">
        <v>665</v>
      </c>
      <c r="B19" s="332"/>
      <c r="C19" s="126">
        <v>32</v>
      </c>
      <c r="D19" s="86" t="s">
        <v>666</v>
      </c>
      <c r="E19" s="355"/>
      <c r="F19" s="358"/>
      <c r="G19" s="358"/>
      <c r="H19" s="353"/>
      <c r="I19" s="333"/>
    </row>
    <row r="20" spans="1:9" ht="18">
      <c r="A20" s="86" t="s">
        <v>667</v>
      </c>
      <c r="B20" s="332"/>
      <c r="C20" s="126">
        <v>32</v>
      </c>
      <c r="D20" s="86" t="s">
        <v>668</v>
      </c>
      <c r="E20" s="355"/>
      <c r="F20" s="358"/>
      <c r="G20" s="358"/>
      <c r="H20" s="353"/>
      <c r="I20" s="333"/>
    </row>
    <row r="21" spans="1:9" ht="18">
      <c r="A21" s="86" t="s">
        <v>669</v>
      </c>
      <c r="B21" s="332"/>
      <c r="C21" s="126">
        <v>64</v>
      </c>
      <c r="D21" s="86" t="s">
        <v>670</v>
      </c>
      <c r="E21" s="355"/>
      <c r="F21" s="358"/>
      <c r="G21" s="358"/>
      <c r="H21" s="353"/>
      <c r="I21" s="333"/>
    </row>
    <row r="22" spans="1:9" ht="18">
      <c r="A22" s="86" t="s">
        <v>671</v>
      </c>
      <c r="B22" s="331"/>
      <c r="C22" s="126">
        <v>64</v>
      </c>
      <c r="D22" s="86" t="s">
        <v>672</v>
      </c>
      <c r="E22" s="355"/>
      <c r="F22" s="358"/>
      <c r="G22" s="358"/>
      <c r="H22" s="353"/>
      <c r="I22" s="333"/>
    </row>
    <row r="23" spans="1:9" ht="18">
      <c r="A23" s="86" t="s">
        <v>673</v>
      </c>
      <c r="B23" s="330" t="s">
        <v>674</v>
      </c>
      <c r="C23" s="126">
        <v>64</v>
      </c>
      <c r="D23" s="86" t="s">
        <v>675</v>
      </c>
      <c r="E23" s="355"/>
      <c r="F23" s="358"/>
      <c r="G23" s="358"/>
      <c r="H23" s="353"/>
      <c r="I23" s="333"/>
    </row>
    <row r="24" spans="1:9" ht="18">
      <c r="A24" s="86" t="s">
        <v>676</v>
      </c>
      <c r="B24" s="332"/>
      <c r="C24" s="126">
        <v>64</v>
      </c>
      <c r="D24" s="86" t="s">
        <v>677</v>
      </c>
      <c r="E24" s="355"/>
      <c r="F24" s="358"/>
      <c r="G24" s="358"/>
      <c r="H24" s="353"/>
      <c r="I24" s="333"/>
    </row>
    <row r="25" spans="1:9" ht="18">
      <c r="A25" s="86" t="s">
        <v>678</v>
      </c>
      <c r="B25" s="332"/>
      <c r="C25" s="126">
        <v>128</v>
      </c>
      <c r="D25" s="86" t="s">
        <v>679</v>
      </c>
      <c r="E25" s="355"/>
      <c r="F25" s="358"/>
      <c r="G25" s="358"/>
      <c r="H25" s="353"/>
      <c r="I25" s="333"/>
    </row>
    <row r="26" spans="1:9" ht="18">
      <c r="A26" s="86" t="s">
        <v>680</v>
      </c>
      <c r="B26" s="332"/>
      <c r="C26" s="126">
        <v>128</v>
      </c>
      <c r="D26" s="86" t="s">
        <v>681</v>
      </c>
      <c r="E26" s="355"/>
      <c r="F26" s="358"/>
      <c r="G26" s="358"/>
      <c r="H26" s="353"/>
      <c r="I26" s="333"/>
    </row>
    <row r="27" spans="1:9" ht="18">
      <c r="A27" s="86" t="s">
        <v>682</v>
      </c>
      <c r="B27" s="331"/>
      <c r="C27" s="126">
        <v>128</v>
      </c>
      <c r="D27" s="86" t="s">
        <v>683</v>
      </c>
      <c r="E27" s="355"/>
      <c r="F27" s="358"/>
      <c r="G27" s="358"/>
      <c r="H27" s="353"/>
      <c r="I27" s="333"/>
    </row>
    <row r="28" spans="1:9" ht="18">
      <c r="A28" s="86" t="s">
        <v>684</v>
      </c>
      <c r="B28" s="330" t="s">
        <v>685</v>
      </c>
      <c r="C28" s="126">
        <v>256</v>
      </c>
      <c r="D28" s="86" t="s">
        <v>686</v>
      </c>
      <c r="E28" s="355"/>
      <c r="F28" s="358"/>
      <c r="G28" s="358"/>
      <c r="H28" s="353"/>
      <c r="I28" s="333"/>
    </row>
    <row r="29" spans="1:9" ht="18">
      <c r="A29" s="86" t="s">
        <v>687</v>
      </c>
      <c r="B29" s="332"/>
      <c r="C29" s="126">
        <v>256</v>
      </c>
      <c r="D29" s="86" t="s">
        <v>688</v>
      </c>
      <c r="E29" s="355"/>
      <c r="F29" s="358"/>
      <c r="G29" s="358"/>
      <c r="H29" s="353"/>
      <c r="I29" s="333"/>
    </row>
    <row r="30" spans="1:9" ht="18">
      <c r="A30" s="86" t="s">
        <v>689</v>
      </c>
      <c r="B30" s="330" t="s">
        <v>690</v>
      </c>
      <c r="C30" s="126">
        <v>256</v>
      </c>
      <c r="D30" s="86" t="s">
        <v>691</v>
      </c>
      <c r="E30" s="355"/>
      <c r="F30" s="358"/>
      <c r="G30" s="358"/>
      <c r="H30" s="353"/>
      <c r="I30" s="333"/>
    </row>
    <row r="31" spans="1:9" ht="18">
      <c r="A31" s="86" t="s">
        <v>692</v>
      </c>
      <c r="B31" s="331"/>
      <c r="C31" s="126">
        <v>256</v>
      </c>
      <c r="D31" s="86" t="s">
        <v>693</v>
      </c>
      <c r="E31" s="356"/>
      <c r="F31" s="359"/>
      <c r="G31" s="359"/>
      <c r="H31" s="353"/>
      <c r="I31" s="333"/>
    </row>
    <row r="32" spans="1:9" ht="45">
      <c r="A32" s="95" t="s">
        <v>620</v>
      </c>
      <c r="B32" s="330" t="s">
        <v>621</v>
      </c>
      <c r="C32" s="128">
        <v>16</v>
      </c>
      <c r="D32" s="95" t="s">
        <v>694</v>
      </c>
      <c r="E32" s="137">
        <v>16</v>
      </c>
      <c r="F32" s="95" t="s">
        <v>695</v>
      </c>
      <c r="G32" s="95"/>
      <c r="H32" s="353"/>
      <c r="I32" s="333" t="s">
        <v>696</v>
      </c>
    </row>
    <row r="33" spans="1:9" ht="30">
      <c r="A33" s="96" t="s">
        <v>628</v>
      </c>
      <c r="B33" s="332"/>
      <c r="C33" s="129">
        <v>16</v>
      </c>
      <c r="D33" s="96" t="s">
        <v>629</v>
      </c>
      <c r="E33" s="138">
        <v>16</v>
      </c>
      <c r="F33" s="97" t="s">
        <v>697</v>
      </c>
      <c r="G33" s="97"/>
      <c r="H33" s="353"/>
      <c r="I33" s="333"/>
    </row>
    <row r="34" spans="1:9" ht="18">
      <c r="A34" s="82" t="s">
        <v>630</v>
      </c>
      <c r="B34" s="332"/>
      <c r="C34" s="130">
        <v>16</v>
      </c>
      <c r="D34" s="82" t="s">
        <v>631</v>
      </c>
      <c r="E34" s="334">
        <f>SUM(C34:C58)</f>
        <v>2016</v>
      </c>
      <c r="F34" s="337" t="s">
        <v>698</v>
      </c>
      <c r="G34" s="337"/>
      <c r="H34" s="353"/>
      <c r="I34" s="333"/>
    </row>
    <row r="35" spans="1:9" ht="18">
      <c r="A35" s="82" t="s">
        <v>632</v>
      </c>
      <c r="B35" s="332"/>
      <c r="C35" s="130">
        <v>16</v>
      </c>
      <c r="D35" s="82" t="s">
        <v>633</v>
      </c>
      <c r="E35" s="335"/>
      <c r="F35" s="338"/>
      <c r="G35" s="338"/>
      <c r="H35" s="353"/>
      <c r="I35" s="333"/>
    </row>
    <row r="36" spans="1:9" ht="18">
      <c r="A36" s="82" t="s">
        <v>634</v>
      </c>
      <c r="B36" s="332"/>
      <c r="C36" s="130">
        <v>16</v>
      </c>
      <c r="D36" s="82" t="s">
        <v>635</v>
      </c>
      <c r="E36" s="335"/>
      <c r="F36" s="338"/>
      <c r="G36" s="338"/>
      <c r="H36" s="353"/>
      <c r="I36" s="333"/>
    </row>
    <row r="37" spans="1:9" ht="18">
      <c r="A37" s="82" t="s">
        <v>636</v>
      </c>
      <c r="B37" s="332"/>
      <c r="C37" s="130">
        <v>16</v>
      </c>
      <c r="D37" s="82" t="s">
        <v>637</v>
      </c>
      <c r="E37" s="335"/>
      <c r="F37" s="338"/>
      <c r="G37" s="338"/>
      <c r="H37" s="353"/>
      <c r="I37" s="333"/>
    </row>
    <row r="38" spans="1:9" ht="18">
      <c r="A38" s="82" t="s">
        <v>639</v>
      </c>
      <c r="B38" s="332"/>
      <c r="C38" s="130">
        <v>16</v>
      </c>
      <c r="D38" s="82" t="s">
        <v>640</v>
      </c>
      <c r="E38" s="335"/>
      <c r="F38" s="338"/>
      <c r="G38" s="338"/>
      <c r="H38" s="353"/>
      <c r="I38" s="333"/>
    </row>
    <row r="39" spans="1:9" ht="18">
      <c r="A39" s="82" t="s">
        <v>644</v>
      </c>
      <c r="B39" s="332"/>
      <c r="C39" s="130">
        <v>16</v>
      </c>
      <c r="D39" s="82" t="s">
        <v>645</v>
      </c>
      <c r="E39" s="335"/>
      <c r="F39" s="338"/>
      <c r="G39" s="338"/>
      <c r="H39" s="353"/>
      <c r="I39" s="333"/>
    </row>
    <row r="40" spans="1:9" ht="18">
      <c r="A40" s="82" t="s">
        <v>649</v>
      </c>
      <c r="B40" s="332"/>
      <c r="C40" s="130">
        <v>32</v>
      </c>
      <c r="D40" s="82" t="s">
        <v>699</v>
      </c>
      <c r="E40" s="335"/>
      <c r="F40" s="338"/>
      <c r="G40" s="338"/>
      <c r="H40" s="353"/>
      <c r="I40" s="333"/>
    </row>
    <row r="41" spans="1:9" ht="18">
      <c r="A41" s="82" t="s">
        <v>653</v>
      </c>
      <c r="B41" s="332"/>
      <c r="C41" s="130">
        <v>32</v>
      </c>
      <c r="D41" s="82" t="s">
        <v>654</v>
      </c>
      <c r="E41" s="335"/>
      <c r="F41" s="338"/>
      <c r="G41" s="338"/>
      <c r="H41" s="353"/>
      <c r="I41" s="333"/>
    </row>
    <row r="42" spans="1:9" ht="18">
      <c r="A42" s="82" t="s">
        <v>657</v>
      </c>
      <c r="B42" s="332"/>
      <c r="C42" s="130">
        <v>32</v>
      </c>
      <c r="D42" s="82" t="s">
        <v>658</v>
      </c>
      <c r="E42" s="335"/>
      <c r="F42" s="338"/>
      <c r="G42" s="338"/>
      <c r="H42" s="353"/>
      <c r="I42" s="333"/>
    </row>
    <row r="43" spans="1:9" ht="18">
      <c r="A43" s="82" t="s">
        <v>659</v>
      </c>
      <c r="B43" s="332"/>
      <c r="C43" s="130">
        <v>32</v>
      </c>
      <c r="D43" s="82" t="s">
        <v>660</v>
      </c>
      <c r="E43" s="335"/>
      <c r="F43" s="338"/>
      <c r="G43" s="338"/>
      <c r="H43" s="353"/>
      <c r="I43" s="333"/>
    </row>
    <row r="44" spans="1:9" ht="18">
      <c r="A44" s="82" t="s">
        <v>661</v>
      </c>
      <c r="B44" s="332"/>
      <c r="C44" s="130">
        <v>32</v>
      </c>
      <c r="D44" s="82" t="s">
        <v>662</v>
      </c>
      <c r="E44" s="335"/>
      <c r="F44" s="338"/>
      <c r="G44" s="338"/>
      <c r="H44" s="353"/>
      <c r="I44" s="333"/>
    </row>
    <row r="45" spans="1:9" ht="18">
      <c r="A45" s="82" t="s">
        <v>663</v>
      </c>
      <c r="B45" s="332"/>
      <c r="C45" s="130">
        <v>32</v>
      </c>
      <c r="D45" s="82" t="s">
        <v>664</v>
      </c>
      <c r="E45" s="335"/>
      <c r="F45" s="338"/>
      <c r="G45" s="338"/>
      <c r="H45" s="353"/>
      <c r="I45" s="333"/>
    </row>
    <row r="46" spans="1:9" ht="18">
      <c r="A46" s="82" t="s">
        <v>665</v>
      </c>
      <c r="B46" s="332"/>
      <c r="C46" s="130">
        <v>32</v>
      </c>
      <c r="D46" s="82" t="s">
        <v>666</v>
      </c>
      <c r="E46" s="335"/>
      <c r="F46" s="338"/>
      <c r="G46" s="338"/>
      <c r="H46" s="353"/>
      <c r="I46" s="333"/>
    </row>
    <row r="47" spans="1:9" ht="18">
      <c r="A47" s="82" t="s">
        <v>667</v>
      </c>
      <c r="B47" s="332"/>
      <c r="C47" s="130">
        <v>32</v>
      </c>
      <c r="D47" s="82" t="s">
        <v>668</v>
      </c>
      <c r="E47" s="335"/>
      <c r="F47" s="338"/>
      <c r="G47" s="338"/>
      <c r="H47" s="353"/>
      <c r="I47" s="333"/>
    </row>
    <row r="48" spans="1:9" ht="18">
      <c r="A48" s="82" t="s">
        <v>669</v>
      </c>
      <c r="B48" s="332"/>
      <c r="C48" s="130">
        <v>64</v>
      </c>
      <c r="D48" s="82" t="s">
        <v>670</v>
      </c>
      <c r="E48" s="335"/>
      <c r="F48" s="338"/>
      <c r="G48" s="338"/>
      <c r="H48" s="353"/>
      <c r="I48" s="333"/>
    </row>
    <row r="49" spans="1:9" ht="18">
      <c r="A49" s="82" t="s">
        <v>671</v>
      </c>
      <c r="B49" s="331"/>
      <c r="C49" s="130">
        <v>64</v>
      </c>
      <c r="D49" s="82" t="s">
        <v>672</v>
      </c>
      <c r="E49" s="335"/>
      <c r="F49" s="338"/>
      <c r="G49" s="338"/>
      <c r="H49" s="353"/>
      <c r="I49" s="333"/>
    </row>
    <row r="50" spans="1:9" ht="18">
      <c r="A50" s="82" t="s">
        <v>673</v>
      </c>
      <c r="B50" s="330" t="s">
        <v>674</v>
      </c>
      <c r="C50" s="130">
        <v>64</v>
      </c>
      <c r="D50" s="82" t="s">
        <v>675</v>
      </c>
      <c r="E50" s="335"/>
      <c r="F50" s="338"/>
      <c r="G50" s="338"/>
      <c r="H50" s="353"/>
      <c r="I50" s="333"/>
    </row>
    <row r="51" spans="1:9" ht="18">
      <c r="A51" s="82" t="s">
        <v>676</v>
      </c>
      <c r="B51" s="332"/>
      <c r="C51" s="130">
        <v>64</v>
      </c>
      <c r="D51" s="82" t="s">
        <v>677</v>
      </c>
      <c r="E51" s="335"/>
      <c r="F51" s="338"/>
      <c r="G51" s="338"/>
      <c r="H51" s="353"/>
      <c r="I51" s="333"/>
    </row>
    <row r="52" spans="1:9" ht="18">
      <c r="A52" s="82" t="s">
        <v>678</v>
      </c>
      <c r="B52" s="332"/>
      <c r="C52" s="130">
        <v>128</v>
      </c>
      <c r="D52" s="82" t="s">
        <v>679</v>
      </c>
      <c r="E52" s="335"/>
      <c r="F52" s="338"/>
      <c r="G52" s="338"/>
      <c r="H52" s="353"/>
      <c r="I52" s="333"/>
    </row>
    <row r="53" spans="1:9" ht="18">
      <c r="A53" s="82" t="s">
        <v>680</v>
      </c>
      <c r="B53" s="332"/>
      <c r="C53" s="130">
        <v>128</v>
      </c>
      <c r="D53" s="82" t="s">
        <v>681</v>
      </c>
      <c r="E53" s="335"/>
      <c r="F53" s="338"/>
      <c r="G53" s="338"/>
      <c r="H53" s="353"/>
      <c r="I53" s="333"/>
    </row>
    <row r="54" spans="1:9" ht="18">
      <c r="A54" s="82" t="s">
        <v>682</v>
      </c>
      <c r="B54" s="331"/>
      <c r="C54" s="130">
        <v>128</v>
      </c>
      <c r="D54" s="82" t="s">
        <v>683</v>
      </c>
      <c r="E54" s="335"/>
      <c r="F54" s="338"/>
      <c r="G54" s="338"/>
      <c r="H54" s="353"/>
      <c r="I54" s="333"/>
    </row>
    <row r="55" spans="1:9" ht="18">
      <c r="A55" s="82" t="s">
        <v>684</v>
      </c>
      <c r="B55" s="330" t="s">
        <v>685</v>
      </c>
      <c r="C55" s="130">
        <v>256</v>
      </c>
      <c r="D55" s="82" t="s">
        <v>686</v>
      </c>
      <c r="E55" s="335"/>
      <c r="F55" s="338"/>
      <c r="G55" s="338"/>
      <c r="H55" s="353"/>
      <c r="I55" s="333"/>
    </row>
    <row r="56" spans="1:9" ht="18">
      <c r="A56" s="82" t="s">
        <v>687</v>
      </c>
      <c r="B56" s="331"/>
      <c r="C56" s="130">
        <v>256</v>
      </c>
      <c r="D56" s="82" t="s">
        <v>688</v>
      </c>
      <c r="E56" s="335"/>
      <c r="F56" s="338"/>
      <c r="G56" s="338"/>
      <c r="H56" s="353"/>
      <c r="I56" s="333"/>
    </row>
    <row r="57" spans="1:9" ht="18">
      <c r="A57" s="82" t="s">
        <v>689</v>
      </c>
      <c r="B57" s="330" t="s">
        <v>690</v>
      </c>
      <c r="C57" s="130">
        <v>256</v>
      </c>
      <c r="D57" s="82" t="s">
        <v>691</v>
      </c>
      <c r="E57" s="335"/>
      <c r="F57" s="338"/>
      <c r="G57" s="338"/>
      <c r="H57" s="353"/>
      <c r="I57" s="333"/>
    </row>
    <row r="58" spans="1:9" ht="18">
      <c r="A58" s="82" t="s">
        <v>692</v>
      </c>
      <c r="B58" s="331"/>
      <c r="C58" s="130">
        <v>256</v>
      </c>
      <c r="D58" s="82" t="s">
        <v>693</v>
      </c>
      <c r="E58" s="336"/>
      <c r="F58" s="339"/>
      <c r="G58" s="339"/>
      <c r="H58" s="354"/>
      <c r="I58" s="333"/>
    </row>
  </sheetData>
  <mergeCells count="27">
    <mergeCell ref="B55:B56"/>
    <mergeCell ref="H4:H10"/>
    <mergeCell ref="I4:I31"/>
    <mergeCell ref="F5:F9"/>
    <mergeCell ref="H13:H58"/>
    <mergeCell ref="E14:E31"/>
    <mergeCell ref="F14:F31"/>
    <mergeCell ref="G14:G31"/>
    <mergeCell ref="D4:D5"/>
    <mergeCell ref="E4:E9"/>
    <mergeCell ref="G5:G9"/>
    <mergeCell ref="A1:I1"/>
    <mergeCell ref="A2:I2"/>
    <mergeCell ref="B57:B58"/>
    <mergeCell ref="B23:B27"/>
    <mergeCell ref="B28:B29"/>
    <mergeCell ref="B30:B31"/>
    <mergeCell ref="B32:B49"/>
    <mergeCell ref="I32:I58"/>
    <mergeCell ref="E34:E58"/>
    <mergeCell ref="F34:F58"/>
    <mergeCell ref="G34:G58"/>
    <mergeCell ref="B50:B54"/>
    <mergeCell ref="F3:G3"/>
    <mergeCell ref="A4:A5"/>
    <mergeCell ref="B4:B22"/>
    <mergeCell ref="C4:C5"/>
  </mergeCell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D6CF9-A590-4C33-A7AC-A0346ECFB9F0}">
  <dimension ref="A1"/>
  <sheetViews>
    <sheetView workbookViewId="0">
      <selection activeCell="U21" sqref="U21"/>
    </sheetView>
  </sheetViews>
  <sheetFormatPr defaultColWidth="11.42578125" defaultRowHeight="15"/>
  <sheetData/>
  <pageMargins left="0.7" right="0.7" top="0.78740157499999996" bottom="0.78740157499999996"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28672-3747-4844-8C0C-EAAC45D5A818}">
  <dimension ref="A1"/>
  <sheetViews>
    <sheetView workbookViewId="0">
      <selection activeCell="K13" sqref="K13"/>
    </sheetView>
  </sheetViews>
  <sheetFormatPr defaultColWidth="11.42578125" defaultRowHeight="15"/>
  <sheetData/>
  <pageMargins left="0.7" right="0.7" top="0.78740157499999996" bottom="0.78740157499999996"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19F3A-2577-4A73-A396-DB77E8AAF441}">
  <dimension ref="B2:G49"/>
  <sheetViews>
    <sheetView topLeftCell="A22" workbookViewId="0">
      <selection activeCell="B30" sqref="B30"/>
    </sheetView>
  </sheetViews>
  <sheetFormatPr defaultColWidth="11.42578125" defaultRowHeight="15"/>
  <cols>
    <col min="2" max="2" width="48.85546875" customWidth="1"/>
    <col min="3" max="3" width="11.42578125" style="131"/>
    <col min="4" max="4" width="85.7109375" customWidth="1"/>
    <col min="5" max="5" width="90.7109375" customWidth="1"/>
    <col min="7" max="7" width="31.28515625" customWidth="1"/>
  </cols>
  <sheetData>
    <row r="2" spans="2:3" ht="18.75">
      <c r="B2" s="140" t="s">
        <v>700</v>
      </c>
    </row>
    <row r="3" spans="2:3" ht="18.75">
      <c r="B3" s="140"/>
    </row>
    <row r="4" spans="2:3">
      <c r="B4" t="s">
        <v>701</v>
      </c>
      <c r="C4" s="131">
        <v>0</v>
      </c>
    </row>
    <row r="5" spans="2:3">
      <c r="B5" t="s">
        <v>702</v>
      </c>
      <c r="C5" s="131">
        <v>1</v>
      </c>
    </row>
    <row r="6" spans="2:3">
      <c r="B6" t="s">
        <v>703</v>
      </c>
      <c r="C6" s="131">
        <v>2</v>
      </c>
    </row>
    <row r="7" spans="2:3">
      <c r="B7" t="s">
        <v>704</v>
      </c>
      <c r="C7" s="131">
        <v>3</v>
      </c>
    </row>
    <row r="8" spans="2:3">
      <c r="B8" t="s">
        <v>705</v>
      </c>
      <c r="C8" s="131">
        <v>4</v>
      </c>
    </row>
    <row r="9" spans="2:3">
      <c r="B9" t="s">
        <v>706</v>
      </c>
      <c r="C9" s="131">
        <v>5</v>
      </c>
    </row>
    <row r="10" spans="2:3">
      <c r="B10" t="s">
        <v>707</v>
      </c>
      <c r="C10" s="131">
        <v>6</v>
      </c>
    </row>
    <row r="11" spans="2:3">
      <c r="B11" t="s">
        <v>708</v>
      </c>
      <c r="C11" s="131">
        <v>7</v>
      </c>
    </row>
    <row r="12" spans="2:3">
      <c r="B12" t="s">
        <v>709</v>
      </c>
      <c r="C12" s="131">
        <v>8</v>
      </c>
    </row>
    <row r="13" spans="2:3">
      <c r="B13" t="s">
        <v>710</v>
      </c>
      <c r="C13" s="131">
        <v>9</v>
      </c>
    </row>
    <row r="14" spans="2:3">
      <c r="B14" t="s">
        <v>711</v>
      </c>
      <c r="C14" s="131">
        <v>10</v>
      </c>
    </row>
    <row r="15" spans="2:3">
      <c r="B15" t="s">
        <v>712</v>
      </c>
      <c r="C15" s="131">
        <v>11</v>
      </c>
    </row>
    <row r="16" spans="2:3">
      <c r="B16" t="s">
        <v>713</v>
      </c>
      <c r="C16" s="131">
        <v>12</v>
      </c>
    </row>
    <row r="17" spans="2:7">
      <c r="B17" t="s">
        <v>714</v>
      </c>
      <c r="C17" s="131">
        <v>13</v>
      </c>
    </row>
    <row r="18" spans="2:7">
      <c r="B18" t="s">
        <v>715</v>
      </c>
      <c r="C18" s="131">
        <v>14</v>
      </c>
    </row>
    <row r="22" spans="2:7">
      <c r="B22" s="166" t="s">
        <v>716</v>
      </c>
      <c r="C22" s="166" t="s">
        <v>717</v>
      </c>
      <c r="D22" s="166" t="s">
        <v>718</v>
      </c>
      <c r="E22" s="166" t="s">
        <v>719</v>
      </c>
      <c r="F22" s="167" t="s">
        <v>720</v>
      </c>
      <c r="G22" s="167" t="s">
        <v>721</v>
      </c>
    </row>
    <row r="23" spans="2:7">
      <c r="B23" t="s">
        <v>722</v>
      </c>
      <c r="C23" s="154">
        <v>1</v>
      </c>
      <c r="D23" t="s">
        <v>723</v>
      </c>
      <c r="E23" t="s">
        <v>724</v>
      </c>
      <c r="F23" t="s">
        <v>725</v>
      </c>
      <c r="G23" t="s">
        <v>726</v>
      </c>
    </row>
    <row r="24" spans="2:7">
      <c r="B24" t="s">
        <v>727</v>
      </c>
      <c r="C24" s="154">
        <v>2</v>
      </c>
      <c r="D24" t="s">
        <v>728</v>
      </c>
      <c r="E24" t="s">
        <v>724</v>
      </c>
      <c r="G24" t="s">
        <v>726</v>
      </c>
    </row>
    <row r="25" spans="2:7">
      <c r="B25" t="s">
        <v>729</v>
      </c>
      <c r="C25" s="154">
        <v>3</v>
      </c>
      <c r="D25" t="s">
        <v>730</v>
      </c>
      <c r="E25" t="s">
        <v>724</v>
      </c>
      <c r="G25" t="s">
        <v>726</v>
      </c>
    </row>
    <row r="26" spans="2:7">
      <c r="B26" t="s">
        <v>731</v>
      </c>
      <c r="C26" s="154">
        <v>4</v>
      </c>
      <c r="D26" t="s">
        <v>732</v>
      </c>
      <c r="E26" t="s">
        <v>724</v>
      </c>
      <c r="G26" t="s">
        <v>726</v>
      </c>
    </row>
    <row r="27" spans="2:7">
      <c r="B27" t="s">
        <v>733</v>
      </c>
      <c r="C27" s="154">
        <v>5</v>
      </c>
      <c r="D27" t="s">
        <v>734</v>
      </c>
      <c r="E27" t="s">
        <v>735</v>
      </c>
    </row>
    <row r="28" spans="2:7">
      <c r="B28" t="s">
        <v>736</v>
      </c>
      <c r="C28" s="154">
        <v>6</v>
      </c>
      <c r="D28" t="s">
        <v>737</v>
      </c>
      <c r="E28" t="s">
        <v>738</v>
      </c>
      <c r="F28" t="s">
        <v>725</v>
      </c>
      <c r="G28" t="s">
        <v>739</v>
      </c>
    </row>
    <row r="29" spans="2:7">
      <c r="B29" t="s">
        <v>740</v>
      </c>
      <c r="C29" s="154">
        <v>7</v>
      </c>
      <c r="D29" t="s">
        <v>741</v>
      </c>
      <c r="E29" t="s">
        <v>738</v>
      </c>
      <c r="F29" t="s">
        <v>725</v>
      </c>
      <c r="G29" t="s">
        <v>739</v>
      </c>
    </row>
    <row r="30" spans="2:7">
      <c r="B30" t="s">
        <v>742</v>
      </c>
      <c r="C30" s="154">
        <v>8</v>
      </c>
      <c r="D30" t="s">
        <v>743</v>
      </c>
      <c r="E30" t="s">
        <v>744</v>
      </c>
      <c r="F30" t="s">
        <v>725</v>
      </c>
      <c r="G30" t="s">
        <v>739</v>
      </c>
    </row>
    <row r="31" spans="2:7">
      <c r="B31" t="s">
        <v>745</v>
      </c>
      <c r="C31" s="154">
        <v>9</v>
      </c>
      <c r="D31" t="s">
        <v>746</v>
      </c>
      <c r="F31" t="s">
        <v>725</v>
      </c>
      <c r="G31" t="s">
        <v>474</v>
      </c>
    </row>
    <row r="32" spans="2:7">
      <c r="B32" t="s">
        <v>747</v>
      </c>
      <c r="C32" s="154">
        <v>10</v>
      </c>
      <c r="D32" t="s">
        <v>748</v>
      </c>
      <c r="E32" t="s">
        <v>749</v>
      </c>
      <c r="F32" t="s">
        <v>725</v>
      </c>
      <c r="G32" t="s">
        <v>739</v>
      </c>
    </row>
    <row r="33" spans="2:7">
      <c r="B33" t="s">
        <v>750</v>
      </c>
      <c r="C33" s="154">
        <v>11</v>
      </c>
      <c r="D33" t="s">
        <v>751</v>
      </c>
      <c r="E33" t="s">
        <v>749</v>
      </c>
      <c r="F33" t="s">
        <v>725</v>
      </c>
      <c r="G33" t="s">
        <v>739</v>
      </c>
    </row>
    <row r="34" spans="2:7" ht="30">
      <c r="B34" t="s">
        <v>752</v>
      </c>
      <c r="C34" s="154">
        <v>12</v>
      </c>
      <c r="D34" t="s">
        <v>753</v>
      </c>
      <c r="E34" t="s">
        <v>749</v>
      </c>
      <c r="F34" t="s">
        <v>725</v>
      </c>
      <c r="G34" s="39" t="s">
        <v>754</v>
      </c>
    </row>
    <row r="35" spans="2:7">
      <c r="B35" t="s">
        <v>755</v>
      </c>
      <c r="C35" s="154">
        <v>13</v>
      </c>
      <c r="D35" s="39" t="s">
        <v>756</v>
      </c>
      <c r="E35" t="s">
        <v>757</v>
      </c>
      <c r="F35" t="s">
        <v>725</v>
      </c>
      <c r="G35" t="s">
        <v>739</v>
      </c>
    </row>
    <row r="36" spans="2:7">
      <c r="B36" t="s">
        <v>758</v>
      </c>
      <c r="C36" s="154">
        <v>14</v>
      </c>
      <c r="D36" s="39" t="s">
        <v>759</v>
      </c>
      <c r="E36" t="s">
        <v>749</v>
      </c>
      <c r="F36" t="s">
        <v>725</v>
      </c>
      <c r="G36" t="s">
        <v>739</v>
      </c>
    </row>
    <row r="37" spans="2:7" ht="30">
      <c r="B37" t="s">
        <v>481</v>
      </c>
      <c r="C37" s="154">
        <v>15</v>
      </c>
      <c r="D37" t="s">
        <v>760</v>
      </c>
      <c r="E37" t="s">
        <v>749</v>
      </c>
      <c r="F37" t="s">
        <v>725</v>
      </c>
      <c r="G37" s="39" t="s">
        <v>761</v>
      </c>
    </row>
    <row r="38" spans="2:7" ht="60">
      <c r="B38" t="s">
        <v>762</v>
      </c>
      <c r="C38" s="154">
        <v>16</v>
      </c>
      <c r="D38" t="s">
        <v>763</v>
      </c>
      <c r="E38" t="s">
        <v>764</v>
      </c>
      <c r="F38" t="s">
        <v>725</v>
      </c>
      <c r="G38" s="39" t="s">
        <v>765</v>
      </c>
    </row>
    <row r="39" spans="2:7">
      <c r="B39" t="s">
        <v>766</v>
      </c>
      <c r="C39" s="154">
        <v>17</v>
      </c>
      <c r="D39" t="s">
        <v>767</v>
      </c>
      <c r="E39" t="s">
        <v>768</v>
      </c>
      <c r="F39" t="s">
        <v>725</v>
      </c>
      <c r="G39" t="s">
        <v>739</v>
      </c>
    </row>
    <row r="40" spans="2:7">
      <c r="B40" t="s">
        <v>769</v>
      </c>
      <c r="C40" s="154">
        <v>18</v>
      </c>
      <c r="D40" t="s">
        <v>770</v>
      </c>
      <c r="E40" t="s">
        <v>771</v>
      </c>
      <c r="F40" t="s">
        <v>725</v>
      </c>
      <c r="G40" t="s">
        <v>772</v>
      </c>
    </row>
    <row r="41" spans="2:7">
      <c r="B41" t="s">
        <v>773</v>
      </c>
      <c r="C41" s="154">
        <v>19</v>
      </c>
      <c r="D41" t="s">
        <v>774</v>
      </c>
      <c r="E41" t="s">
        <v>768</v>
      </c>
      <c r="F41" t="s">
        <v>725</v>
      </c>
      <c r="G41" t="s">
        <v>775</v>
      </c>
    </row>
    <row r="42" spans="2:7">
      <c r="B42" t="s">
        <v>776</v>
      </c>
      <c r="C42" s="154">
        <v>20</v>
      </c>
      <c r="D42" t="s">
        <v>777</v>
      </c>
      <c r="E42" t="s">
        <v>768</v>
      </c>
      <c r="F42" t="s">
        <v>725</v>
      </c>
      <c r="G42" t="s">
        <v>778</v>
      </c>
    </row>
    <row r="43" spans="2:7">
      <c r="B43" t="s">
        <v>779</v>
      </c>
      <c r="C43" s="154">
        <v>21</v>
      </c>
      <c r="D43" t="s">
        <v>780</v>
      </c>
      <c r="E43" t="s">
        <v>768</v>
      </c>
      <c r="F43" t="s">
        <v>725</v>
      </c>
      <c r="G43" t="s">
        <v>781</v>
      </c>
    </row>
    <row r="44" spans="2:7" ht="30">
      <c r="B44" t="s">
        <v>782</v>
      </c>
      <c r="C44" s="154">
        <v>22</v>
      </c>
      <c r="D44" t="s">
        <v>783</v>
      </c>
      <c r="F44" t="s">
        <v>725</v>
      </c>
      <c r="G44" s="39" t="s">
        <v>784</v>
      </c>
    </row>
    <row r="45" spans="2:7">
      <c r="B45" t="s">
        <v>785</v>
      </c>
      <c r="C45" s="154">
        <v>23</v>
      </c>
      <c r="D45" t="s">
        <v>786</v>
      </c>
      <c r="F45" t="s">
        <v>725</v>
      </c>
      <c r="G45" t="s">
        <v>778</v>
      </c>
    </row>
    <row r="46" spans="2:7">
      <c r="B46" t="s">
        <v>787</v>
      </c>
      <c r="C46" s="154">
        <v>24</v>
      </c>
      <c r="D46" t="s">
        <v>788</v>
      </c>
      <c r="F46" t="s">
        <v>725</v>
      </c>
      <c r="G46" t="s">
        <v>781</v>
      </c>
    </row>
    <row r="47" spans="2:7">
      <c r="B47" t="s">
        <v>789</v>
      </c>
      <c r="C47" s="154">
        <v>25</v>
      </c>
      <c r="D47" t="s">
        <v>790</v>
      </c>
      <c r="F47" t="s">
        <v>725</v>
      </c>
      <c r="G47" t="s">
        <v>775</v>
      </c>
    </row>
    <row r="48" spans="2:7">
      <c r="B48" t="s">
        <v>791</v>
      </c>
      <c r="C48" s="154">
        <v>26</v>
      </c>
      <c r="D48" t="s">
        <v>792</v>
      </c>
      <c r="F48" t="s">
        <v>725</v>
      </c>
      <c r="G48" t="s">
        <v>778</v>
      </c>
    </row>
    <row r="49" spans="2:7">
      <c r="B49" t="s">
        <v>793</v>
      </c>
      <c r="C49" s="154">
        <v>27</v>
      </c>
      <c r="D49" t="s">
        <v>794</v>
      </c>
      <c r="F49" t="s">
        <v>725</v>
      </c>
      <c r="G49" t="s">
        <v>781</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Deckblatt</vt:lpstr>
      <vt:lpstr>Anforderung Kunde - System</vt:lpstr>
      <vt:lpstr>Anforderung Abteilungen</vt:lpstr>
      <vt:lpstr>Maßnahmen</vt:lpstr>
      <vt:lpstr>Beschreibung</vt:lpstr>
      <vt:lpstr>Listen</vt:lpstr>
      <vt:lpstr>EEPROM Write Ablaufplan</vt:lpstr>
      <vt:lpstr>EEPROM Content Flags</vt:lpstr>
      <vt:lpstr>isoSPI EEPROM Initialisierung</vt:lpstr>
      <vt:lpstr>EEPROM Speicheraufteilung</vt:lpstr>
      <vt:lpstr>Speicheraufteilung BMU</vt:lpstr>
      <vt:lpstr>Zuordnung Temperatursensoren</vt:lpstr>
      <vt:lpstr>Schematischer Aufbau </vt:lpstr>
      <vt:lpstr>isoSPI Error Flags</vt:lpstr>
      <vt:lpstr>'Anforderung Kunde - System'!Print_Area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Stefan Ihrig</dc:creator>
  <cp:keywords/>
  <dc:description/>
  <cp:lastModifiedBy>Evans, John (Seneca)</cp:lastModifiedBy>
  <cp:revision/>
  <dcterms:created xsi:type="dcterms:W3CDTF">2014-09-16T10:40:09Z</dcterms:created>
  <dcterms:modified xsi:type="dcterms:W3CDTF">2026-04-17T14:12:11Z</dcterms:modified>
  <cp:category/>
  <cp:contentStatus/>
</cp:coreProperties>
</file>