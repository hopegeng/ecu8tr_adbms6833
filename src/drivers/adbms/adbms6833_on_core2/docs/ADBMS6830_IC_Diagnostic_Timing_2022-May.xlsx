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225"/>
  <workbookPr codeName="ThisWorkbook"/>
  <mc:AlternateContent xmlns:mc="http://schemas.openxmlformats.org/markup-compatibility/2006">
    <mc:Choice Requires="x15">
      <x15ac:absPath xmlns:x15ac="http://schemas.microsoft.com/office/spreadsheetml/2010/11/ac" url="https://neutroncontrols-my.sharepoint.com/personal/rlarocque_neutroncontrols_com/Documents/Documents/Datasheets/BMS/ADI/ADBMS6830 (LION), ADBMS6832 (LION-18)/ADBMS6830/"/>
    </mc:Choice>
  </mc:AlternateContent>
  <xr:revisionPtr revIDLastSave="16" documentId="11_FDCAB9EE9B12DF157401E56D8E048C22DB65098A" xr6:coauthVersionLast="47" xr6:coauthVersionMax="47" xr10:uidLastSave="{68A63B5A-BEAA-4361-8417-549938DBB1A0}"/>
  <bookViews>
    <workbookView xWindow="-15600" yWindow="-16320" windowWidth="29040" windowHeight="16440" activeTab="2" xr2:uid="{00000000-000D-0000-FFFF-FFFF00000000}"/>
  </bookViews>
  <sheets>
    <sheet name="Configuration" sheetId="25" r:id="rId1"/>
    <sheet name="Loop Information" sheetId="30" r:id="rId2"/>
    <sheet name="Safety Mechanism Timing" sheetId="21" r:id="rId3"/>
    <sheet name="LatentFaults" sheetId="33" r:id="rId4"/>
    <sheet name="CMD Timing and Current" sheetId="6" r:id="rId5"/>
    <sheet name="SPF IDs" sheetId="37" r:id="rId6"/>
  </sheets>
  <calcPr calcId="191029" calcCompleted="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B7" i="21" l="1"/>
  <c r="AE50" i="30"/>
  <c r="Z50" i="30"/>
  <c r="Y50" i="30"/>
  <c r="Y51" i="30"/>
  <c r="Z51" i="30"/>
  <c r="AK51" i="30"/>
  <c r="G438" i="21"/>
  <c r="F438" i="21"/>
  <c r="G433" i="21"/>
  <c r="F433" i="21"/>
  <c r="J480" i="21"/>
  <c r="G480" i="21"/>
  <c r="F480" i="21"/>
  <c r="J479" i="21"/>
  <c r="F479" i="21"/>
  <c r="J478" i="21"/>
  <c r="F478" i="21"/>
  <c r="H20" i="21"/>
  <c r="H19" i="21"/>
  <c r="H18" i="21"/>
  <c r="G18" i="21"/>
  <c r="B579" i="21"/>
  <c r="D20" i="21"/>
  <c r="C16" i="33"/>
  <c r="J578" i="21"/>
  <c r="F578" i="21"/>
  <c r="J577" i="21"/>
  <c r="F577" i="21"/>
  <c r="J576" i="21"/>
  <c r="F576" i="21"/>
  <c r="J575" i="21"/>
  <c r="F575" i="21"/>
  <c r="J574" i="21"/>
  <c r="F574" i="21"/>
  <c r="J573" i="21"/>
  <c r="F573" i="21"/>
  <c r="J568" i="21"/>
  <c r="F568" i="21"/>
  <c r="F567" i="21"/>
  <c r="G566" i="21"/>
  <c r="F566" i="21"/>
  <c r="B569" i="21"/>
  <c r="D19" i="21"/>
  <c r="C15" i="33"/>
  <c r="F565" i="21"/>
  <c r="F564" i="21"/>
  <c r="J563" i="21"/>
  <c r="G562" i="21"/>
  <c r="F562" i="21"/>
  <c r="G561" i="21"/>
  <c r="F561" i="21"/>
  <c r="B557" i="21"/>
  <c r="D18" i="21"/>
  <c r="C14" i="33"/>
  <c r="J550" i="21"/>
  <c r="J547" i="21"/>
  <c r="F529" i="21"/>
  <c r="J529" i="21"/>
  <c r="J521" i="21"/>
  <c r="F521" i="21"/>
  <c r="J513" i="21"/>
  <c r="F513" i="21"/>
  <c r="J511" i="21"/>
  <c r="F511" i="21"/>
  <c r="J508" i="21"/>
  <c r="G508" i="21"/>
  <c r="F508" i="21"/>
  <c r="J503" i="21"/>
  <c r="G503" i="21"/>
  <c r="F503" i="21"/>
  <c r="J509" i="21"/>
  <c r="J504" i="21"/>
  <c r="J491" i="21"/>
  <c r="G491" i="21"/>
  <c r="F491" i="21"/>
  <c r="B559" i="21"/>
  <c r="B19" i="21"/>
  <c r="B15" i="33"/>
  <c r="M1" i="33"/>
  <c r="B571" i="21"/>
  <c r="B20" i="21"/>
  <c r="B16" i="33"/>
  <c r="N1" i="33"/>
  <c r="B554" i="21"/>
  <c r="B18" i="21"/>
  <c r="B14" i="33"/>
  <c r="L1" i="33"/>
  <c r="B544" i="21"/>
  <c r="B534" i="21"/>
  <c r="B524" i="21"/>
  <c r="B516" i="21"/>
  <c r="B499" i="21"/>
  <c r="B483" i="21"/>
  <c r="B12" i="21"/>
  <c r="B445" i="21"/>
  <c r="AG35" i="30"/>
  <c r="J218" i="21"/>
  <c r="J219" i="21"/>
  <c r="AE29" i="30"/>
  <c r="G300" i="21"/>
  <c r="F300" i="21"/>
  <c r="G299" i="21"/>
  <c r="F299" i="21"/>
  <c r="F298" i="21"/>
  <c r="F297" i="21"/>
  <c r="F296" i="21"/>
  <c r="F295" i="21"/>
  <c r="F294" i="21"/>
  <c r="F293" i="21"/>
  <c r="G292" i="21"/>
  <c r="F292" i="21"/>
  <c r="G291" i="21"/>
  <c r="F291" i="21"/>
  <c r="G139" i="21"/>
  <c r="F139" i="21"/>
  <c r="F94" i="21"/>
  <c r="G94" i="21"/>
  <c r="Y35" i="30"/>
  <c r="Y27" i="30"/>
  <c r="Y25" i="30"/>
  <c r="B197" i="21"/>
  <c r="Z25" i="30"/>
  <c r="J196" i="21"/>
  <c r="G196" i="21"/>
  <c r="F196" i="21"/>
  <c r="J195" i="21"/>
  <c r="F195" i="21"/>
  <c r="J194" i="21"/>
  <c r="F194" i="21"/>
  <c r="J193" i="21"/>
  <c r="J438" i="21"/>
  <c r="F193" i="21"/>
  <c r="J192" i="21"/>
  <c r="F192" i="21"/>
  <c r="J191" i="21"/>
  <c r="F191" i="21"/>
  <c r="J190" i="21"/>
  <c r="F190" i="21"/>
  <c r="J189" i="21"/>
  <c r="J197" i="21"/>
  <c r="AE25" i="30"/>
  <c r="G189" i="21"/>
  <c r="F189" i="21"/>
  <c r="F333" i="21"/>
  <c r="F332" i="21"/>
  <c r="F331" i="21"/>
  <c r="F330" i="21"/>
  <c r="F329" i="21"/>
  <c r="F328" i="21"/>
  <c r="F213" i="21"/>
  <c r="G213" i="21"/>
  <c r="G95" i="21"/>
  <c r="F95" i="21"/>
  <c r="F93" i="21"/>
  <c r="F92" i="21"/>
  <c r="F91" i="21"/>
  <c r="F90" i="21"/>
  <c r="F89" i="21"/>
  <c r="F88" i="21"/>
  <c r="G86" i="21"/>
  <c r="J86" i="21" s="1"/>
  <c r="J291" i="21" s="1"/>
  <c r="F86" i="21"/>
  <c r="Y29" i="30"/>
  <c r="F166" i="21"/>
  <c r="F425" i="21"/>
  <c r="F394" i="21"/>
  <c r="F395" i="21"/>
  <c r="F396" i="21"/>
  <c r="F397" i="21"/>
  <c r="F398" i="21"/>
  <c r="F399" i="21"/>
  <c r="F400" i="21"/>
  <c r="F401" i="21"/>
  <c r="F402" i="21"/>
  <c r="F403" i="21"/>
  <c r="F404" i="21"/>
  <c r="F405" i="21"/>
  <c r="F406" i="21"/>
  <c r="F407" i="21"/>
  <c r="G407" i="21"/>
  <c r="J425" i="21"/>
  <c r="I81" i="6"/>
  <c r="C81" i="6"/>
  <c r="K81" i="6" s="1"/>
  <c r="AG49" i="30"/>
  <c r="AG86" i="30"/>
  <c r="AG80" i="30"/>
  <c r="AG74" i="30"/>
  <c r="AG68" i="30"/>
  <c r="AG62" i="30"/>
  <c r="AG56" i="30"/>
  <c r="AG43" i="30"/>
  <c r="AG25" i="30"/>
  <c r="F437" i="21"/>
  <c r="F436" i="21"/>
  <c r="J427" i="21"/>
  <c r="F427" i="21"/>
  <c r="J406" i="21"/>
  <c r="J405" i="21"/>
  <c r="J404" i="21"/>
  <c r="J403" i="21"/>
  <c r="B219" i="21"/>
  <c r="Z29" i="30"/>
  <c r="F218" i="21"/>
  <c r="Y87" i="30"/>
  <c r="F435" i="21"/>
  <c r="B439" i="21"/>
  <c r="Z87" i="30"/>
  <c r="AK87" i="30"/>
  <c r="F434" i="21"/>
  <c r="Y36" i="30"/>
  <c r="B265" i="21"/>
  <c r="Z43" i="30"/>
  <c r="AK43" i="30"/>
  <c r="Z68" i="30"/>
  <c r="Z49" i="30"/>
  <c r="AK49" i="30"/>
  <c r="Z11" i="30"/>
  <c r="Z9" i="30"/>
  <c r="V13" i="30"/>
  <c r="J223" i="21"/>
  <c r="J418" i="21"/>
  <c r="J419" i="21"/>
  <c r="J420" i="21"/>
  <c r="J421" i="21"/>
  <c r="J422" i="21"/>
  <c r="J423" i="21"/>
  <c r="J424" i="21"/>
  <c r="J426" i="21"/>
  <c r="J428" i="21"/>
  <c r="J392" i="21"/>
  <c r="J393" i="21"/>
  <c r="J394" i="21"/>
  <c r="J395" i="21"/>
  <c r="J396" i="21"/>
  <c r="J397" i="21"/>
  <c r="J398" i="21"/>
  <c r="J399" i="21"/>
  <c r="J400" i="21"/>
  <c r="J401" i="21"/>
  <c r="J402" i="21"/>
  <c r="J407" i="21"/>
  <c r="B318" i="21"/>
  <c r="Q3" i="6"/>
  <c r="Q1" i="6"/>
  <c r="B14" i="30"/>
  <c r="C1" i="21"/>
  <c r="I2" i="6"/>
  <c r="Y86" i="30"/>
  <c r="Y81" i="30"/>
  <c r="B429" i="21"/>
  <c r="Z86" i="30"/>
  <c r="AK86" i="30"/>
  <c r="F428" i="21"/>
  <c r="F426" i="21"/>
  <c r="F424" i="21"/>
  <c r="F423" i="21"/>
  <c r="F422" i="21"/>
  <c r="F421" i="21"/>
  <c r="F420" i="21"/>
  <c r="F419" i="21"/>
  <c r="F418" i="21"/>
  <c r="B413" i="21"/>
  <c r="F168" i="21"/>
  <c r="F178" i="21"/>
  <c r="F177" i="21"/>
  <c r="F176" i="21"/>
  <c r="F175" i="21"/>
  <c r="F174" i="21"/>
  <c r="F173" i="21"/>
  <c r="F172" i="21"/>
  <c r="F171" i="21"/>
  <c r="F170" i="21"/>
  <c r="F97" i="21"/>
  <c r="D13" i="30"/>
  <c r="H13" i="30"/>
  <c r="L13" i="30"/>
  <c r="P13" i="30"/>
  <c r="T13" i="30"/>
  <c r="K13" i="30"/>
  <c r="O13" i="30"/>
  <c r="S13" i="30"/>
  <c r="E13" i="30"/>
  <c r="I13" i="30"/>
  <c r="M13" i="30"/>
  <c r="Q13" i="30"/>
  <c r="C13" i="30"/>
  <c r="J13" i="30"/>
  <c r="N13" i="30"/>
  <c r="R13" i="30"/>
  <c r="F13" i="30"/>
  <c r="G13" i="30"/>
  <c r="G207" i="21"/>
  <c r="Y75" i="30"/>
  <c r="B388" i="21"/>
  <c r="Z75" i="30"/>
  <c r="Y80" i="30"/>
  <c r="Y74" i="30"/>
  <c r="Y69" i="30"/>
  <c r="Y68" i="30"/>
  <c r="AK68" i="30"/>
  <c r="Y63" i="30"/>
  <c r="Y62" i="30"/>
  <c r="Y56" i="30"/>
  <c r="Y49" i="30"/>
  <c r="Y43" i="30"/>
  <c r="Y37" i="30"/>
  <c r="Y28" i="30"/>
  <c r="Y26" i="30"/>
  <c r="B383" i="21"/>
  <c r="F382" i="21"/>
  <c r="F381" i="21"/>
  <c r="F380" i="21"/>
  <c r="F379" i="21"/>
  <c r="F378" i="21"/>
  <c r="F377" i="21"/>
  <c r="F376" i="21"/>
  <c r="F375" i="21"/>
  <c r="F374" i="21"/>
  <c r="F373" i="21"/>
  <c r="F372" i="21"/>
  <c r="F371" i="21"/>
  <c r="F370" i="21"/>
  <c r="F369" i="21"/>
  <c r="B365" i="21"/>
  <c r="Z69" i="30"/>
  <c r="B360" i="21"/>
  <c r="F359" i="21"/>
  <c r="F358" i="21"/>
  <c r="F357" i="21"/>
  <c r="F356" i="21"/>
  <c r="F355" i="21"/>
  <c r="F354" i="21"/>
  <c r="F353" i="21"/>
  <c r="F352" i="21"/>
  <c r="B348" i="21"/>
  <c r="Z63" i="30"/>
  <c r="B343" i="21"/>
  <c r="F342" i="21"/>
  <c r="F341" i="21"/>
  <c r="F340" i="21"/>
  <c r="F339" i="21"/>
  <c r="F338" i="21"/>
  <c r="F337" i="21"/>
  <c r="F336" i="21"/>
  <c r="F335" i="21"/>
  <c r="F334" i="21"/>
  <c r="F327" i="21"/>
  <c r="F392" i="21"/>
  <c r="F393" i="21"/>
  <c r="B408" i="21"/>
  <c r="Z80" i="30"/>
  <c r="F447" i="21"/>
  <c r="F448" i="21"/>
  <c r="F449" i="21"/>
  <c r="F450" i="21"/>
  <c r="F451" i="21"/>
  <c r="F452" i="21"/>
  <c r="F453" i="21"/>
  <c r="F454" i="21"/>
  <c r="F455" i="21"/>
  <c r="F456" i="21"/>
  <c r="F457" i="21"/>
  <c r="F458" i="21"/>
  <c r="F459" i="21"/>
  <c r="F460" i="21"/>
  <c r="F461" i="21"/>
  <c r="F462" i="21"/>
  <c r="F463" i="21"/>
  <c r="F464" i="21"/>
  <c r="F465" i="21"/>
  <c r="F466" i="21"/>
  <c r="F467" i="21"/>
  <c r="F468" i="21"/>
  <c r="F469" i="21"/>
  <c r="F470" i="21"/>
  <c r="F471" i="21"/>
  <c r="F472" i="21"/>
  <c r="F473" i="21"/>
  <c r="F474" i="21"/>
  <c r="F475" i="21"/>
  <c r="F476" i="21"/>
  <c r="F477" i="21"/>
  <c r="B481" i="21"/>
  <c r="D11" i="21"/>
  <c r="F485" i="21"/>
  <c r="F486" i="21"/>
  <c r="F487" i="21"/>
  <c r="J488" i="21"/>
  <c r="F489" i="21"/>
  <c r="F490" i="21"/>
  <c r="J492" i="21"/>
  <c r="F493" i="21"/>
  <c r="F494" i="21"/>
  <c r="F495" i="21"/>
  <c r="F496" i="21"/>
  <c r="B323" i="21"/>
  <c r="Z56" i="30"/>
  <c r="F317" i="21"/>
  <c r="F316" i="21"/>
  <c r="F315" i="21"/>
  <c r="F314" i="21"/>
  <c r="F313" i="21"/>
  <c r="F312" i="21"/>
  <c r="F311" i="21"/>
  <c r="F310" i="21"/>
  <c r="B306" i="21"/>
  <c r="B301" i="21"/>
  <c r="B287" i="21"/>
  <c r="B282" i="21"/>
  <c r="F281" i="21"/>
  <c r="F280" i="21"/>
  <c r="F279" i="21"/>
  <c r="F278" i="21"/>
  <c r="F277" i="21"/>
  <c r="F276" i="21"/>
  <c r="F275" i="21"/>
  <c r="F274" i="21"/>
  <c r="B270" i="21"/>
  <c r="F264" i="21"/>
  <c r="F263" i="21"/>
  <c r="F262" i="21"/>
  <c r="F261" i="21"/>
  <c r="F260" i="21"/>
  <c r="F259" i="21"/>
  <c r="F258" i="21"/>
  <c r="F257" i="21"/>
  <c r="B253" i="21"/>
  <c r="B248" i="21"/>
  <c r="F247" i="21"/>
  <c r="F242" i="21"/>
  <c r="F241" i="21"/>
  <c r="F240" i="21"/>
  <c r="F235" i="21"/>
  <c r="F234" i="21"/>
  <c r="F233" i="21"/>
  <c r="F232" i="21"/>
  <c r="F231" i="21"/>
  <c r="F230" i="21"/>
  <c r="F229" i="21"/>
  <c r="F228" i="21"/>
  <c r="F212" i="21"/>
  <c r="F202" i="21"/>
  <c r="F201" i="21"/>
  <c r="J207" i="21"/>
  <c r="J208" i="21"/>
  <c r="AE27" i="30"/>
  <c r="AK80" i="30"/>
  <c r="AK56" i="30"/>
  <c r="Z74" i="30"/>
  <c r="N11" i="30"/>
  <c r="Z62" i="30"/>
  <c r="D9" i="30"/>
  <c r="I8" i="30"/>
  <c r="F8" i="30"/>
  <c r="J8" i="30"/>
  <c r="E8" i="30"/>
  <c r="K8" i="30"/>
  <c r="R8" i="30"/>
  <c r="S8" i="30"/>
  <c r="L8" i="30"/>
  <c r="T8" i="30"/>
  <c r="M8" i="30"/>
  <c r="P8" i="30"/>
  <c r="G8" i="30"/>
  <c r="H8" i="30"/>
  <c r="N8" i="30"/>
  <c r="O8" i="30"/>
  <c r="C8" i="30"/>
  <c r="Q8" i="30"/>
  <c r="D8" i="30"/>
  <c r="M12" i="30"/>
  <c r="G12" i="30"/>
  <c r="N12" i="30"/>
  <c r="S12" i="30"/>
  <c r="H12" i="30"/>
  <c r="O12" i="30"/>
  <c r="T12" i="30"/>
  <c r="D12" i="30"/>
  <c r="P12" i="30"/>
  <c r="C12" i="30"/>
  <c r="J12" i="30"/>
  <c r="E12" i="30"/>
  <c r="Q12" i="30"/>
  <c r="L12" i="30"/>
  <c r="F12" i="30"/>
  <c r="R12" i="30"/>
  <c r="I12" i="30"/>
  <c r="K12" i="30"/>
  <c r="K10" i="30"/>
  <c r="R10" i="30"/>
  <c r="T10" i="30"/>
  <c r="L10" i="30"/>
  <c r="M10" i="30"/>
  <c r="J10" i="30"/>
  <c r="N10" i="30"/>
  <c r="S10" i="30"/>
  <c r="O10" i="30"/>
  <c r="G10" i="30"/>
  <c r="D10" i="30"/>
  <c r="P10" i="30"/>
  <c r="C10" i="30"/>
  <c r="F10" i="30"/>
  <c r="I10" i="30"/>
  <c r="E10" i="30"/>
  <c r="Q10" i="30"/>
  <c r="H10" i="30"/>
  <c r="G6" i="30"/>
  <c r="S6" i="30"/>
  <c r="E6" i="30"/>
  <c r="H6" i="30"/>
  <c r="T6" i="30"/>
  <c r="I6" i="30"/>
  <c r="J6" i="30"/>
  <c r="D6" i="30"/>
  <c r="K6" i="30"/>
  <c r="L6" i="30"/>
  <c r="F6" i="30"/>
  <c r="M6" i="30"/>
  <c r="N6" i="30"/>
  <c r="O6" i="30"/>
  <c r="P6" i="30"/>
  <c r="Q6" i="30"/>
  <c r="R6" i="30"/>
  <c r="C6" i="30"/>
  <c r="N7" i="30"/>
  <c r="M7" i="30"/>
  <c r="O7" i="30"/>
  <c r="C7" i="30"/>
  <c r="D7" i="30"/>
  <c r="P7" i="30"/>
  <c r="J7" i="30"/>
  <c r="E7" i="30"/>
  <c r="Q7" i="30"/>
  <c r="L7" i="30"/>
  <c r="F7" i="30"/>
  <c r="R7" i="30"/>
  <c r="G7" i="30"/>
  <c r="S7" i="30"/>
  <c r="K7" i="30"/>
  <c r="H7" i="30"/>
  <c r="T7" i="30"/>
  <c r="I7" i="30"/>
  <c r="Z36" i="30"/>
  <c r="AK36" i="30"/>
  <c r="Z37" i="30"/>
  <c r="AK37" i="30"/>
  <c r="J449" i="21"/>
  <c r="J455" i="21"/>
  <c r="J458" i="21"/>
  <c r="J454" i="21"/>
  <c r="J451" i="21"/>
  <c r="B185" i="21"/>
  <c r="D7" i="21"/>
  <c r="B147" i="21"/>
  <c r="F184" i="21"/>
  <c r="F183" i="21"/>
  <c r="F182" i="21"/>
  <c r="F181" i="21"/>
  <c r="F180" i="21"/>
  <c r="F179" i="21"/>
  <c r="F167" i="21"/>
  <c r="F165" i="21"/>
  <c r="F164" i="21"/>
  <c r="F163" i="21"/>
  <c r="F162" i="21"/>
  <c r="F161" i="21"/>
  <c r="F160" i="21"/>
  <c r="F159" i="21"/>
  <c r="F158" i="21"/>
  <c r="F157" i="21"/>
  <c r="F156" i="21"/>
  <c r="F155" i="21"/>
  <c r="F153" i="21"/>
  <c r="F152" i="21"/>
  <c r="F151" i="21"/>
  <c r="B6" i="21"/>
  <c r="B5" i="21"/>
  <c r="B4" i="21"/>
  <c r="B3" i="21"/>
  <c r="F48" i="21"/>
  <c r="F50" i="21"/>
  <c r="F51" i="21"/>
  <c r="F54" i="21"/>
  <c r="F52" i="21"/>
  <c r="F55" i="21"/>
  <c r="F56" i="21"/>
  <c r="F57" i="21"/>
  <c r="F58" i="21"/>
  <c r="F59" i="21"/>
  <c r="F60" i="21"/>
  <c r="F61" i="21"/>
  <c r="F145" i="21"/>
  <c r="F144" i="21"/>
  <c r="F143" i="21"/>
  <c r="F142" i="21"/>
  <c r="F141" i="21"/>
  <c r="F140" i="21"/>
  <c r="F132" i="21"/>
  <c r="F130" i="21"/>
  <c r="F129" i="21"/>
  <c r="F128" i="21"/>
  <c r="F127" i="21"/>
  <c r="F126" i="21"/>
  <c r="F125" i="21"/>
  <c r="F124" i="21"/>
  <c r="F138" i="21"/>
  <c r="F137" i="21"/>
  <c r="F136" i="21"/>
  <c r="F135" i="21"/>
  <c r="F134" i="21"/>
  <c r="F133" i="21"/>
  <c r="F123" i="21"/>
  <c r="F121" i="21"/>
  <c r="F120" i="21"/>
  <c r="F119" i="21"/>
  <c r="F118" i="21"/>
  <c r="F117" i="21"/>
  <c r="F116" i="21"/>
  <c r="F115" i="21"/>
  <c r="F113" i="21"/>
  <c r="F114" i="21"/>
  <c r="F104" i="21"/>
  <c r="F103" i="21"/>
  <c r="F102" i="21"/>
  <c r="F101" i="21"/>
  <c r="F100" i="21"/>
  <c r="F99" i="21"/>
  <c r="F98" i="21"/>
  <c r="F87" i="21"/>
  <c r="O11" i="30"/>
  <c r="L11" i="30"/>
  <c r="Q11" i="30"/>
  <c r="P11" i="30"/>
  <c r="G11" i="30"/>
  <c r="E11" i="30"/>
  <c r="F11" i="30"/>
  <c r="AK62" i="30"/>
  <c r="AK74" i="30"/>
  <c r="C11" i="30"/>
  <c r="T11" i="30"/>
  <c r="D11" i="30"/>
  <c r="K9" i="30"/>
  <c r="J9" i="30"/>
  <c r="E9" i="30"/>
  <c r="I9" i="30"/>
  <c r="P9" i="30"/>
  <c r="M11" i="30"/>
  <c r="J11" i="30"/>
  <c r="H11" i="30"/>
  <c r="R11" i="30"/>
  <c r="O9" i="30"/>
  <c r="R9" i="30"/>
  <c r="F9" i="30"/>
  <c r="K11" i="30"/>
  <c r="I11" i="30"/>
  <c r="S11" i="30"/>
  <c r="H9" i="30"/>
  <c r="N9" i="30"/>
  <c r="L9" i="30"/>
  <c r="S9" i="30"/>
  <c r="Q9" i="30"/>
  <c r="C9" i="30"/>
  <c r="T9" i="30"/>
  <c r="G9" i="30"/>
  <c r="M9" i="30"/>
  <c r="D6" i="21"/>
  <c r="F146" i="21"/>
  <c r="F112" i="21"/>
  <c r="F111" i="21"/>
  <c r="F110" i="21"/>
  <c r="F109" i="21"/>
  <c r="F108" i="21"/>
  <c r="F107" i="21"/>
  <c r="F106" i="21"/>
  <c r="F84" i="21"/>
  <c r="F83" i="21"/>
  <c r="F82" i="21"/>
  <c r="F81" i="21"/>
  <c r="F80" i="21"/>
  <c r="F79" i="21"/>
  <c r="F78" i="21"/>
  <c r="F77" i="21"/>
  <c r="B243" i="21"/>
  <c r="B236" i="21"/>
  <c r="Z35" i="30"/>
  <c r="B224" i="21"/>
  <c r="B214" i="21"/>
  <c r="Z28" i="30"/>
  <c r="AK28" i="30"/>
  <c r="B208" i="21"/>
  <c r="F66" i="21"/>
  <c r="F68" i="21"/>
  <c r="F69" i="21"/>
  <c r="F70" i="21"/>
  <c r="F71" i="21"/>
  <c r="F72" i="21"/>
  <c r="F73" i="21"/>
  <c r="F74" i="21"/>
  <c r="F75" i="21"/>
  <c r="B203" i="21"/>
  <c r="Z26" i="30"/>
  <c r="AK26" i="30"/>
  <c r="Z27" i="30"/>
  <c r="AK27" i="30"/>
  <c r="J247" i="21"/>
  <c r="J248" i="21"/>
  <c r="AE37" i="30"/>
  <c r="B43" i="21"/>
  <c r="D4" i="21"/>
  <c r="AK35" i="30"/>
  <c r="B17" i="21"/>
  <c r="B16" i="21"/>
  <c r="B15" i="21"/>
  <c r="B14" i="21"/>
  <c r="B13" i="21"/>
  <c r="B8" i="33"/>
  <c r="B11" i="21"/>
  <c r="B11" i="33"/>
  <c r="I1" i="33"/>
  <c r="B12" i="33"/>
  <c r="J1" i="33"/>
  <c r="B9" i="33"/>
  <c r="G1" i="33"/>
  <c r="B13" i="33"/>
  <c r="K1" i="33"/>
  <c r="B10" i="33"/>
  <c r="H1" i="33"/>
  <c r="AK25" i="30"/>
  <c r="H4" i="30"/>
  <c r="D5" i="30"/>
  <c r="H5" i="30"/>
  <c r="T5" i="30"/>
  <c r="O5" i="30"/>
  <c r="G5" i="30"/>
  <c r="E5" i="30"/>
  <c r="Q5" i="30"/>
  <c r="L5" i="30"/>
  <c r="K5" i="30"/>
  <c r="R5" i="30"/>
  <c r="M5" i="30"/>
  <c r="C5" i="30"/>
  <c r="F5" i="30"/>
  <c r="N5" i="30"/>
  <c r="I5" i="30"/>
  <c r="S5" i="30"/>
  <c r="P5" i="30"/>
  <c r="J5" i="30"/>
  <c r="D4" i="30"/>
  <c r="E4" i="30"/>
  <c r="Q4" i="30"/>
  <c r="M4" i="30"/>
  <c r="F4" i="30"/>
  <c r="R4" i="30"/>
  <c r="N4" i="30"/>
  <c r="O4" i="30"/>
  <c r="P4" i="30"/>
  <c r="G4" i="30"/>
  <c r="S4" i="30"/>
  <c r="T4" i="30"/>
  <c r="I4" i="30"/>
  <c r="J4" i="30"/>
  <c r="K4" i="30"/>
  <c r="L4" i="30"/>
  <c r="C4" i="30"/>
  <c r="F1" i="33"/>
  <c r="B7" i="33"/>
  <c r="E1" i="33"/>
  <c r="B30" i="21"/>
  <c r="D3" i="21"/>
  <c r="I14" i="30"/>
  <c r="C14" i="30"/>
  <c r="T14" i="30"/>
  <c r="K14" i="30"/>
  <c r="H14" i="30"/>
  <c r="N14" i="30"/>
  <c r="J14" i="30"/>
  <c r="G14" i="30"/>
  <c r="R14" i="30"/>
  <c r="E14" i="30"/>
  <c r="P14" i="30"/>
  <c r="F14" i="30"/>
  <c r="D14" i="30"/>
  <c r="O14" i="30"/>
  <c r="M14" i="30"/>
  <c r="L14" i="30"/>
  <c r="S14" i="30"/>
  <c r="Q14" i="30"/>
  <c r="B552" i="21"/>
  <c r="D17" i="21"/>
  <c r="C13" i="33"/>
  <c r="J549" i="21"/>
  <c r="B542" i="21"/>
  <c r="D16" i="21"/>
  <c r="C12" i="33"/>
  <c r="B532" i="21"/>
  <c r="D15" i="21"/>
  <c r="C11" i="33"/>
  <c r="B522" i="21"/>
  <c r="D14" i="21"/>
  <c r="C10" i="33"/>
  <c r="B514" i="21"/>
  <c r="D13" i="21"/>
  <c r="C9" i="33"/>
  <c r="B497" i="21"/>
  <c r="D12" i="21"/>
  <c r="C8" i="33"/>
  <c r="C7" i="33"/>
  <c r="K76" i="6"/>
  <c r="I77" i="6"/>
  <c r="I78" i="6"/>
  <c r="I79" i="6"/>
  <c r="I80" i="6"/>
  <c r="C80" i="6"/>
  <c r="D80" i="6" s="1"/>
  <c r="F80" i="6" s="1"/>
  <c r="C79" i="6"/>
  <c r="D79" i="6" s="1"/>
  <c r="F79" i="6" s="1"/>
  <c r="C78" i="6"/>
  <c r="K78" i="6" s="1"/>
  <c r="C77" i="6"/>
  <c r="D77" i="6" s="1"/>
  <c r="F77" i="6" s="1"/>
  <c r="K77" i="6"/>
  <c r="J469" i="21"/>
  <c r="J468" i="21"/>
  <c r="J473" i="21"/>
  <c r="J470" i="21"/>
  <c r="J474" i="21"/>
  <c r="J472" i="21"/>
  <c r="J475" i="21"/>
  <c r="J466" i="21"/>
  <c r="J476" i="21"/>
  <c r="J477" i="21"/>
  <c r="J471" i="21"/>
  <c r="I3" i="6"/>
  <c r="I4" i="6"/>
  <c r="F26" i="21"/>
  <c r="I5" i="6"/>
  <c r="I6" i="6"/>
  <c r="I7" i="6"/>
  <c r="I8" i="6"/>
  <c r="I9" i="6"/>
  <c r="I10" i="6"/>
  <c r="I11" i="6"/>
  <c r="I12" i="6"/>
  <c r="I13" i="6"/>
  <c r="I14" i="6"/>
  <c r="I15" i="6"/>
  <c r="I16" i="6"/>
  <c r="I17" i="6"/>
  <c r="I18" i="6"/>
  <c r="I19" i="6"/>
  <c r="I20" i="6"/>
  <c r="I21" i="6"/>
  <c r="I22" i="6"/>
  <c r="I23" i="6"/>
  <c r="I24" i="6"/>
  <c r="I25" i="6"/>
  <c r="I26" i="6"/>
  <c r="I27" i="6"/>
  <c r="I28" i="6"/>
  <c r="I29" i="6"/>
  <c r="I30" i="6"/>
  <c r="I31" i="6"/>
  <c r="I32" i="6"/>
  <c r="I33" i="6"/>
  <c r="I34" i="6"/>
  <c r="I35" i="6"/>
  <c r="I36" i="6"/>
  <c r="I37" i="6"/>
  <c r="I38" i="6"/>
  <c r="I39" i="6"/>
  <c r="I40" i="6"/>
  <c r="I41" i="6"/>
  <c r="I42" i="6"/>
  <c r="I43" i="6"/>
  <c r="I44" i="6"/>
  <c r="I45" i="6"/>
  <c r="I46" i="6"/>
  <c r="I47" i="6"/>
  <c r="I48" i="6"/>
  <c r="I49" i="6"/>
  <c r="I50" i="6"/>
  <c r="I51" i="6"/>
  <c r="I52" i="6"/>
  <c r="I53" i="6"/>
  <c r="I54" i="6"/>
  <c r="I55" i="6"/>
  <c r="I56" i="6"/>
  <c r="I57" i="6"/>
  <c r="I58" i="6"/>
  <c r="I59" i="6"/>
  <c r="I60" i="6"/>
  <c r="I61" i="6"/>
  <c r="I62" i="6"/>
  <c r="I63" i="6"/>
  <c r="I64" i="6"/>
  <c r="I65" i="6"/>
  <c r="I66" i="6"/>
  <c r="I67" i="6"/>
  <c r="I68" i="6"/>
  <c r="I69" i="6"/>
  <c r="I70" i="6"/>
  <c r="I71" i="6"/>
  <c r="I72" i="6"/>
  <c r="I73" i="6"/>
  <c r="I74" i="6"/>
  <c r="I75" i="6"/>
  <c r="I76" i="6"/>
  <c r="F24" i="21"/>
  <c r="AG144" i="6"/>
  <c r="AF144" i="6"/>
  <c r="AG143" i="6"/>
  <c r="AF143" i="6"/>
  <c r="AG142" i="6"/>
  <c r="AF142" i="6"/>
  <c r="AG141" i="6"/>
  <c r="AF141" i="6"/>
  <c r="AG140" i="6"/>
  <c r="AF140" i="6"/>
  <c r="AG139" i="6"/>
  <c r="AF139" i="6"/>
  <c r="AG138" i="6"/>
  <c r="AF138" i="6"/>
  <c r="AG137" i="6"/>
  <c r="AF137" i="6"/>
  <c r="P119" i="6"/>
  <c r="AK99" i="6"/>
  <c r="AJ99" i="6"/>
  <c r="AK98" i="6"/>
  <c r="AJ98" i="6"/>
  <c r="AK97" i="6"/>
  <c r="AJ97" i="6"/>
  <c r="AK96" i="6"/>
  <c r="AJ96" i="6"/>
  <c r="AK95" i="6"/>
  <c r="AJ95" i="6"/>
  <c r="AK94" i="6"/>
  <c r="AJ94" i="6"/>
  <c r="AK93" i="6"/>
  <c r="AJ93" i="6"/>
  <c r="AK92" i="6"/>
  <c r="AJ92" i="6"/>
  <c r="AF87" i="6"/>
  <c r="AF86" i="6"/>
  <c r="AF85" i="6"/>
  <c r="AF84" i="6"/>
  <c r="AF83" i="6"/>
  <c r="AF82" i="6"/>
  <c r="AF81" i="6"/>
  <c r="AF80" i="6"/>
  <c r="AA74" i="6"/>
  <c r="Z74" i="6"/>
  <c r="AA73" i="6"/>
  <c r="Z73" i="6"/>
  <c r="AA72" i="6"/>
  <c r="Z72" i="6"/>
  <c r="AA71" i="6"/>
  <c r="Z71" i="6"/>
  <c r="AA70" i="6"/>
  <c r="Z70" i="6"/>
  <c r="AA69" i="6"/>
  <c r="Z69" i="6"/>
  <c r="AA68" i="6"/>
  <c r="Z68" i="6"/>
  <c r="AA67" i="6"/>
  <c r="Z67" i="6"/>
  <c r="AJ60" i="6"/>
  <c r="AJ59" i="6"/>
  <c r="AJ58" i="6"/>
  <c r="AJ57" i="6"/>
  <c r="AJ56" i="6"/>
  <c r="AJ55" i="6"/>
  <c r="AJ54" i="6"/>
  <c r="AJ53" i="6"/>
  <c r="AJ46" i="6"/>
  <c r="AL46" i="6"/>
  <c r="AN46" i="6"/>
  <c r="AE46" i="6"/>
  <c r="AM46" i="6"/>
  <c r="AD46" i="6"/>
  <c r="AJ45" i="6"/>
  <c r="AL45" i="6"/>
  <c r="AN45" i="6"/>
  <c r="AE45" i="6"/>
  <c r="AM45" i="6"/>
  <c r="AD45" i="6"/>
  <c r="AJ44" i="6"/>
  <c r="AL44" i="6"/>
  <c r="AN44" i="6"/>
  <c r="AE44" i="6"/>
  <c r="AM44" i="6"/>
  <c r="AD44" i="6"/>
  <c r="AJ43" i="6"/>
  <c r="AL43" i="6"/>
  <c r="AN43" i="6"/>
  <c r="AE43" i="6"/>
  <c r="AM43" i="6"/>
  <c r="AD43" i="6"/>
  <c r="AJ42" i="6"/>
  <c r="AL42" i="6"/>
  <c r="AN42" i="6"/>
  <c r="AE42" i="6"/>
  <c r="AM42" i="6"/>
  <c r="AD42" i="6"/>
  <c r="AJ41" i="6"/>
  <c r="AL41" i="6"/>
  <c r="AN41" i="6"/>
  <c r="AE41" i="6"/>
  <c r="AM41" i="6"/>
  <c r="AD41" i="6"/>
  <c r="AJ40" i="6"/>
  <c r="AL40" i="6"/>
  <c r="AN40" i="6"/>
  <c r="AE40" i="6"/>
  <c r="AM40" i="6"/>
  <c r="AD40" i="6"/>
  <c r="AJ39" i="6"/>
  <c r="AL39" i="6"/>
  <c r="AN39" i="6"/>
  <c r="AE39" i="6"/>
  <c r="AM39" i="6"/>
  <c r="AD39" i="6"/>
  <c r="AC34" i="6"/>
  <c r="AC33" i="6"/>
  <c r="AC32" i="6"/>
  <c r="AC31" i="6"/>
  <c r="AC30" i="6"/>
  <c r="AC29" i="6"/>
  <c r="AC28" i="6"/>
  <c r="AD27" i="6"/>
  <c r="AC27" i="6"/>
  <c r="AE27" i="6"/>
  <c r="P47" i="6"/>
  <c r="P106" i="6"/>
  <c r="F549" i="21"/>
  <c r="F546" i="21"/>
  <c r="F37" i="21"/>
  <c r="F36" i="21"/>
  <c r="F507" i="21"/>
  <c r="F540" i="21"/>
  <c r="F526" i="21"/>
  <c r="F536" i="21"/>
  <c r="F520" i="21"/>
  <c r="F518" i="21"/>
  <c r="F530" i="21"/>
  <c r="F512" i="21"/>
  <c r="F27" i="21"/>
  <c r="F551" i="21"/>
  <c r="F541" i="21"/>
  <c r="F528" i="21"/>
  <c r="F548" i="21"/>
  <c r="F538" i="21"/>
  <c r="F505" i="21"/>
  <c r="F510" i="21"/>
  <c r="F531" i="21"/>
  <c r="F519" i="21"/>
  <c r="F28" i="21"/>
  <c r="F34" i="21"/>
  <c r="F47" i="21"/>
  <c r="F41" i="21"/>
  <c r="F25" i="21"/>
  <c r="F539" i="21"/>
  <c r="F502" i="21"/>
  <c r="F537" i="21"/>
  <c r="F527" i="21"/>
  <c r="F506" i="21"/>
  <c r="F40" i="21"/>
  <c r="F39" i="21"/>
  <c r="F42" i="21"/>
  <c r="F38" i="21"/>
  <c r="Q31" i="6"/>
  <c r="P51" i="6"/>
  <c r="Q101" i="6"/>
  <c r="R32" i="6"/>
  <c r="Q32" i="6"/>
  <c r="AK45" i="6"/>
  <c r="C60" i="6"/>
  <c r="K60" i="6" s="1"/>
  <c r="C61" i="6"/>
  <c r="D61" i="6" s="1"/>
  <c r="F61" i="6" s="1"/>
  <c r="C62" i="6"/>
  <c r="D62" i="6" s="1"/>
  <c r="F62" i="6" s="1"/>
  <c r="C63" i="6"/>
  <c r="D63" i="6" s="1"/>
  <c r="F63" i="6" s="1"/>
  <c r="C64" i="6"/>
  <c r="K64" i="6" s="1"/>
  <c r="C59" i="6"/>
  <c r="D59" i="6" s="1"/>
  <c r="F59" i="6" s="1"/>
  <c r="G437" i="21" s="1"/>
  <c r="C58" i="6"/>
  <c r="K58" i="6" s="1"/>
  <c r="D51" i="6"/>
  <c r="D50" i="6"/>
  <c r="D52" i="6"/>
  <c r="D53" i="6"/>
  <c r="D54" i="6"/>
  <c r="D55" i="6"/>
  <c r="D56" i="6"/>
  <c r="D57" i="6"/>
  <c r="C49" i="6"/>
  <c r="D49" i="6" s="1"/>
  <c r="C35" i="6"/>
  <c r="K35" i="6" s="1"/>
  <c r="C28" i="6"/>
  <c r="K28" i="6" s="1"/>
  <c r="C27" i="6"/>
  <c r="D27" i="6" s="1"/>
  <c r="F27" i="6" s="1"/>
  <c r="C26" i="6"/>
  <c r="D26" i="6" s="1"/>
  <c r="F26" i="6" s="1"/>
  <c r="C19" i="6"/>
  <c r="K19" i="6" s="1"/>
  <c r="C12" i="6"/>
  <c r="K12" i="6" s="1"/>
  <c r="P33" i="6"/>
  <c r="P65" i="6"/>
  <c r="P37" i="6"/>
  <c r="P122" i="6"/>
  <c r="Q102" i="6"/>
  <c r="P38" i="6"/>
  <c r="P78" i="6"/>
  <c r="P135" i="6"/>
  <c r="P52" i="6"/>
  <c r="B62" i="21"/>
  <c r="D5" i="21"/>
  <c r="C43" i="6"/>
  <c r="D43" i="6" s="1"/>
  <c r="F43" i="6" s="1"/>
  <c r="C42" i="6"/>
  <c r="K42" i="6" s="1"/>
  <c r="C41" i="6"/>
  <c r="D41" i="6" s="1"/>
  <c r="F41" i="6" s="1"/>
  <c r="C40" i="6"/>
  <c r="D40" i="6" s="1"/>
  <c r="F40" i="6" s="1"/>
  <c r="G180" i="21" s="1"/>
  <c r="D73" i="6"/>
  <c r="F73" i="6"/>
  <c r="K73" i="6"/>
  <c r="D76" i="6"/>
  <c r="F76" i="6"/>
  <c r="G24" i="21"/>
  <c r="K75" i="6"/>
  <c r="D75" i="6"/>
  <c r="F75" i="6"/>
  <c r="K74" i="6"/>
  <c r="D74" i="6"/>
  <c r="F74" i="6"/>
  <c r="C72" i="6"/>
  <c r="K72" i="6"/>
  <c r="K71" i="6"/>
  <c r="D71" i="6"/>
  <c r="F71" i="6"/>
  <c r="C70" i="6"/>
  <c r="D70" i="6" s="1"/>
  <c r="F70" i="6" s="1"/>
  <c r="K67" i="6"/>
  <c r="D67" i="6"/>
  <c r="F67" i="6"/>
  <c r="C66" i="6"/>
  <c r="D66" i="6" s="1"/>
  <c r="F66" i="6" s="1"/>
  <c r="C65" i="6"/>
  <c r="D65" i="6" s="1"/>
  <c r="F65" i="6" s="1"/>
  <c r="K57" i="6"/>
  <c r="F57" i="6"/>
  <c r="K55" i="6"/>
  <c r="F55" i="6"/>
  <c r="K52" i="6"/>
  <c r="K51" i="6"/>
  <c r="C48" i="6"/>
  <c r="D48" i="6" s="1"/>
  <c r="F48" i="6" s="1"/>
  <c r="C47" i="6"/>
  <c r="K47" i="6"/>
  <c r="C39" i="6"/>
  <c r="D39" i="6" s="1"/>
  <c r="F39" i="6" s="1"/>
  <c r="G402" i="21" s="1"/>
  <c r="C34" i="6"/>
  <c r="D34" i="6" s="1"/>
  <c r="F34" i="6" s="1"/>
  <c r="C33" i="6"/>
  <c r="K33" i="6" s="1"/>
  <c r="C32" i="6"/>
  <c r="K32" i="6" s="1"/>
  <c r="C31" i="6"/>
  <c r="K31" i="6" s="1"/>
  <c r="C30" i="6"/>
  <c r="K30" i="6" s="1"/>
  <c r="C29" i="6"/>
  <c r="D29" i="6" s="1"/>
  <c r="F29" i="6" s="1"/>
  <c r="G190" i="21" s="1"/>
  <c r="C25" i="6"/>
  <c r="C24" i="6"/>
  <c r="D24" i="6" s="1"/>
  <c r="F24" i="6" s="1"/>
  <c r="G111" i="21" s="1"/>
  <c r="C23" i="6"/>
  <c r="C22" i="6"/>
  <c r="K22" i="6" s="1"/>
  <c r="C21" i="6"/>
  <c r="K21" i="6" s="1"/>
  <c r="C20" i="6"/>
  <c r="D20" i="6" s="1"/>
  <c r="F20" i="6" s="1"/>
  <c r="C18" i="6"/>
  <c r="K18" i="6" s="1"/>
  <c r="C17" i="6"/>
  <c r="G334" i="21"/>
  <c r="G113" i="21"/>
  <c r="G428" i="21"/>
  <c r="G168" i="21"/>
  <c r="H168" i="21" s="1"/>
  <c r="G382" i="21"/>
  <c r="H382" i="21" s="1"/>
  <c r="G342" i="21"/>
  <c r="G281" i="21"/>
  <c r="G317" i="21"/>
  <c r="G264" i="21"/>
  <c r="H264" i="21" s="1"/>
  <c r="G235" i="21"/>
  <c r="G359" i="21"/>
  <c r="H359" i="21" s="1"/>
  <c r="G121" i="21"/>
  <c r="G104" i="21"/>
  <c r="G61" i="21"/>
  <c r="J235" i="21"/>
  <c r="G184" i="21"/>
  <c r="H184" i="21" s="1"/>
  <c r="G51" i="21"/>
  <c r="H51" i="21" s="1"/>
  <c r="G130" i="21"/>
  <c r="H130" i="21" s="1"/>
  <c r="G84" i="21"/>
  <c r="J84" i="21" s="1"/>
  <c r="G146" i="21"/>
  <c r="G75" i="21"/>
  <c r="J75" i="21" s="1"/>
  <c r="G170" i="21"/>
  <c r="G97" i="21"/>
  <c r="G418" i="21"/>
  <c r="H418" i="21" s="1"/>
  <c r="G352" i="21"/>
  <c r="G228" i="21"/>
  <c r="G274" i="21"/>
  <c r="G257" i="21"/>
  <c r="H257" i="21" s="1"/>
  <c r="G201" i="21"/>
  <c r="G369" i="21"/>
  <c r="H369" i="21" s="1"/>
  <c r="G392" i="21"/>
  <c r="H392" i="21" s="1"/>
  <c r="G310" i="21"/>
  <c r="G327" i="21"/>
  <c r="H327" i="21" s="1"/>
  <c r="G132" i="21"/>
  <c r="G155" i="21"/>
  <c r="G123" i="21"/>
  <c r="H123" i="21" s="1"/>
  <c r="G106" i="21"/>
  <c r="G77" i="21"/>
  <c r="J77" i="21" s="1"/>
  <c r="G68" i="21"/>
  <c r="J68" i="21" s="1"/>
  <c r="J232" i="21"/>
  <c r="J234" i="21"/>
  <c r="J229" i="21"/>
  <c r="J230" i="21"/>
  <c r="G42" i="21"/>
  <c r="G54" i="21"/>
  <c r="H54" i="21" s="1"/>
  <c r="G47" i="21"/>
  <c r="G34" i="21"/>
  <c r="F29" i="21"/>
  <c r="F52" i="6"/>
  <c r="D72" i="6"/>
  <c r="F72" i="6" s="1"/>
  <c r="D47" i="6"/>
  <c r="F47" i="6" s="1"/>
  <c r="G436" i="21" s="1"/>
  <c r="D22" i="6"/>
  <c r="F22" i="6" s="1"/>
  <c r="G135" i="21" s="1"/>
  <c r="H135" i="21" s="1"/>
  <c r="D31" i="6"/>
  <c r="F31" i="6" s="1"/>
  <c r="G57" i="21" s="1"/>
  <c r="H57" i="21" s="1"/>
  <c r="D19" i="6"/>
  <c r="F19" i="6" s="1"/>
  <c r="C11" i="6"/>
  <c r="D11" i="6" s="1"/>
  <c r="F11" i="6" s="1"/>
  <c r="C10" i="6"/>
  <c r="K10" i="6" s="1"/>
  <c r="C2" i="6"/>
  <c r="D2" i="6" s="1"/>
  <c r="F2" i="6" s="1"/>
  <c r="G241" i="21"/>
  <c r="H241" i="21" s="1"/>
  <c r="G152" i="21"/>
  <c r="J495" i="21"/>
  <c r="H180" i="21"/>
  <c r="J485" i="21"/>
  <c r="J412" i="21"/>
  <c r="J413" i="21"/>
  <c r="AE81" i="30"/>
  <c r="J231" i="21"/>
  <c r="J228" i="21"/>
  <c r="J540" i="21"/>
  <c r="J518" i="21"/>
  <c r="J536" i="21"/>
  <c r="J507" i="21"/>
  <c r="J530" i="21"/>
  <c r="J526" i="21"/>
  <c r="J520" i="21"/>
  <c r="J512" i="21"/>
  <c r="J448" i="21"/>
  <c r="J233" i="21"/>
  <c r="J467" i="21"/>
  <c r="J464" i="21"/>
  <c r="D69" i="6"/>
  <c r="D68" i="6"/>
  <c r="F68" i="6"/>
  <c r="F69" i="6"/>
  <c r="G449" i="21"/>
  <c r="H449" i="21" s="1"/>
  <c r="G451" i="21"/>
  <c r="H451" i="21" s="1"/>
  <c r="G453" i="21"/>
  <c r="G455" i="21"/>
  <c r="H455" i="21" s="1"/>
  <c r="G457" i="21"/>
  <c r="G459" i="21"/>
  <c r="H459" i="21" s="1"/>
  <c r="G461" i="21"/>
  <c r="H461" i="21" s="1"/>
  <c r="G463" i="21"/>
  <c r="H463" i="21" s="1"/>
  <c r="G450" i="21"/>
  <c r="H450" i="21" s="1"/>
  <c r="G454" i="21"/>
  <c r="H454" i="21" s="1"/>
  <c r="G458" i="21"/>
  <c r="H458" i="21" s="1"/>
  <c r="G462" i="21"/>
  <c r="G447" i="21"/>
  <c r="H447" i="21" s="1"/>
  <c r="G465" i="21"/>
  <c r="G452" i="21"/>
  <c r="H452" i="21" s="1"/>
  <c r="G456" i="21"/>
  <c r="G460" i="21"/>
  <c r="H460" i="21" s="1"/>
  <c r="F54" i="6"/>
  <c r="J462" i="21"/>
  <c r="J452" i="21"/>
  <c r="J461" i="21"/>
  <c r="J453" i="21"/>
  <c r="J456" i="21"/>
  <c r="G202" i="21"/>
  <c r="G48" i="21"/>
  <c r="J201" i="21" a="1"/>
  <c r="J201" i="21"/>
  <c r="J203" i="21"/>
  <c r="AE26" i="30"/>
  <c r="J465" i="21"/>
  <c r="J459" i="21"/>
  <c r="J463" i="21"/>
  <c r="J460" i="21"/>
  <c r="J447" i="21"/>
  <c r="J450" i="21"/>
  <c r="J457" i="21"/>
  <c r="F56" i="6"/>
  <c r="G240" i="21"/>
  <c r="H240" i="21" s="1"/>
  <c r="G151" i="21"/>
  <c r="H151" i="21" s="1"/>
  <c r="K50" i="6"/>
  <c r="K53" i="6"/>
  <c r="K54" i="6"/>
  <c r="K56" i="6"/>
  <c r="D12" i="6"/>
  <c r="F12" i="6" s="1"/>
  <c r="F49" i="6"/>
  <c r="K49" i="6"/>
  <c r="C46" i="6"/>
  <c r="D46" i="6" s="1"/>
  <c r="F46" i="6" s="1"/>
  <c r="C45" i="6"/>
  <c r="K45" i="6" s="1"/>
  <c r="C44" i="6"/>
  <c r="K44" i="6" s="1"/>
  <c r="C38" i="6"/>
  <c r="D38" i="6" s="1"/>
  <c r="F38" i="6" s="1"/>
  <c r="G401" i="21" s="1"/>
  <c r="H401" i="21" s="1"/>
  <c r="C37" i="6"/>
  <c r="K37" i="6" s="1"/>
  <c r="C36" i="6"/>
  <c r="K36" i="6" s="1"/>
  <c r="C16" i="6"/>
  <c r="D16" i="6" s="1"/>
  <c r="F16" i="6" s="1"/>
  <c r="C15" i="6"/>
  <c r="K15" i="6" s="1"/>
  <c r="C14" i="6"/>
  <c r="D14" i="6" s="1"/>
  <c r="F14" i="6" s="1"/>
  <c r="C13" i="6"/>
  <c r="K13" i="6" s="1"/>
  <c r="C9" i="6"/>
  <c r="D9" i="6" s="1"/>
  <c r="F9" i="6" s="1"/>
  <c r="C8" i="6"/>
  <c r="K8" i="6" s="1"/>
  <c r="C7" i="6"/>
  <c r="D7" i="6" s="1"/>
  <c r="F7" i="6" s="1"/>
  <c r="C6" i="6"/>
  <c r="K6" i="6" s="1"/>
  <c r="C5" i="6"/>
  <c r="D5" i="6" s="1"/>
  <c r="F5" i="6" s="1"/>
  <c r="C4" i="6"/>
  <c r="D4" i="6" s="1"/>
  <c r="F4" i="6" s="1"/>
  <c r="G448" i="21" s="1"/>
  <c r="H448" i="21" s="1"/>
  <c r="C3" i="6"/>
  <c r="K3" i="6" s="1"/>
  <c r="J212" i="21" a="1"/>
  <c r="J212" i="21"/>
  <c r="J214" i="21"/>
  <c r="AE28" i="30"/>
  <c r="J429" i="21"/>
  <c r="J496" i="21"/>
  <c r="J489" i="21"/>
  <c r="J493" i="21"/>
  <c r="J548" i="21"/>
  <c r="J519" i="21"/>
  <c r="J528" i="21"/>
  <c r="J538" i="21"/>
  <c r="J510" i="21"/>
  <c r="J551" i="21"/>
  <c r="J531" i="21"/>
  <c r="J505" i="21"/>
  <c r="J541" i="21"/>
  <c r="J501" i="21"/>
  <c r="AE86" i="30"/>
  <c r="AE91" i="30"/>
  <c r="J434" i="21"/>
  <c r="J236" i="21"/>
  <c r="AE35" i="30"/>
  <c r="J490" i="21"/>
  <c r="J486" i="21"/>
  <c r="J494" i="21"/>
  <c r="J224" i="21"/>
  <c r="AE30" i="30"/>
  <c r="J43" i="21"/>
  <c r="J62" i="21"/>
  <c r="H5" i="21"/>
  <c r="J539" i="21"/>
  <c r="J506" i="21"/>
  <c r="J537" i="21"/>
  <c r="J527" i="21"/>
  <c r="J502" i="21"/>
  <c r="G557" i="21"/>
  <c r="F18" i="21"/>
  <c r="D14" i="33"/>
  <c r="J408" i="21"/>
  <c r="J387" i="21"/>
  <c r="J388" i="21"/>
  <c r="AE75" i="30"/>
  <c r="H4" i="21"/>
  <c r="AE32" i="30"/>
  <c r="F51" i="6"/>
  <c r="F53" i="6"/>
  <c r="F50" i="6"/>
  <c r="V4" i="30"/>
  <c r="G487" i="21"/>
  <c r="H487" i="21" s="1"/>
  <c r="G242" i="21"/>
  <c r="G153" i="21"/>
  <c r="H153" i="21" s="1"/>
  <c r="G335" i="21"/>
  <c r="H335" i="21" s="1"/>
  <c r="G247" i="21"/>
  <c r="H247" i="21" s="1"/>
  <c r="G87" i="21"/>
  <c r="H87" i="21" s="1"/>
  <c r="G114" i="21"/>
  <c r="H114" i="21" s="1"/>
  <c r="G66" i="21"/>
  <c r="H66" i="21" s="1"/>
  <c r="G29" i="21"/>
  <c r="G549" i="21"/>
  <c r="G546" i="21"/>
  <c r="H546" i="21" s="1"/>
  <c r="J30" i="21"/>
  <c r="F501" i="21"/>
  <c r="J240" i="21" a="1"/>
  <c r="J240" i="21"/>
  <c r="J243" i="21"/>
  <c r="AE36" i="30"/>
  <c r="J487" i="21"/>
  <c r="J546" i="21"/>
  <c r="H3" i="21"/>
  <c r="J439" i="21"/>
  <c r="AE87" i="30"/>
  <c r="J185" i="21"/>
  <c r="J433" i="21"/>
  <c r="J435" i="21"/>
  <c r="J436" i="21"/>
  <c r="J437" i="21"/>
  <c r="AE80" i="30"/>
  <c r="AE83" i="30"/>
  <c r="V12" i="30"/>
  <c r="H7" i="21"/>
  <c r="G208" i="21"/>
  <c r="H208" i="21"/>
  <c r="AB27" i="30"/>
  <c r="AC27" i="30"/>
  <c r="H407" i="21" l="1"/>
  <c r="G203" i="21"/>
  <c r="AA26" i="30" s="1"/>
  <c r="K34" i="6"/>
  <c r="K65" i="6"/>
  <c r="H300" i="21"/>
  <c r="K62" i="6"/>
  <c r="J522" i="21"/>
  <c r="H14" i="21" s="1"/>
  <c r="H453" i="21"/>
  <c r="H465" i="21"/>
  <c r="D8" i="6"/>
  <c r="F8" i="6" s="1"/>
  <c r="H152" i="21"/>
  <c r="K66" i="6"/>
  <c r="H95" i="21"/>
  <c r="H242" i="21"/>
  <c r="K41" i="6"/>
  <c r="D42" i="6"/>
  <c r="F42" i="6" s="1"/>
  <c r="G405" i="21" s="1"/>
  <c r="H405" i="21" s="1"/>
  <c r="H352" i="21"/>
  <c r="H334" i="21"/>
  <c r="G165" i="21"/>
  <c r="H165" i="21" s="1"/>
  <c r="H549" i="21"/>
  <c r="H34" i="21"/>
  <c r="H47" i="21"/>
  <c r="H42" i="21"/>
  <c r="H202" i="21"/>
  <c r="H428" i="21"/>
  <c r="H437" i="21"/>
  <c r="H274" i="21"/>
  <c r="D6" i="6"/>
  <c r="F6" i="6" s="1"/>
  <c r="G212" i="21" s="1"/>
  <c r="G214" i="21" s="1"/>
  <c r="H456" i="21"/>
  <c r="H121" i="21"/>
  <c r="H68" i="21"/>
  <c r="D60" i="6"/>
  <c r="F60" i="6" s="1"/>
  <c r="H235" i="21"/>
  <c r="G403" i="21"/>
  <c r="H403" i="21" s="1"/>
  <c r="H24" i="21"/>
  <c r="D3" i="6"/>
  <c r="F3" i="6" s="1"/>
  <c r="H562" i="21"/>
  <c r="H77" i="21"/>
  <c r="D33" i="6"/>
  <c r="F33" i="6" s="1"/>
  <c r="G128" i="21" s="1"/>
  <c r="H128" i="21" s="1"/>
  <c r="G38" i="21"/>
  <c r="H38" i="21" s="1"/>
  <c r="K29" i="6"/>
  <c r="H189" i="21"/>
  <c r="H503" i="21"/>
  <c r="J87" i="21"/>
  <c r="J292" i="21" s="1"/>
  <c r="K24" i="6"/>
  <c r="H139" i="21"/>
  <c r="H438" i="21"/>
  <c r="H111" i="21"/>
  <c r="K63" i="6"/>
  <c r="K38" i="6"/>
  <c r="G80" i="21"/>
  <c r="H80" i="21" s="1"/>
  <c r="G421" i="21"/>
  <c r="H421" i="21" s="1"/>
  <c r="D21" i="6"/>
  <c r="F21" i="6" s="1"/>
  <c r="G371" i="21" s="1"/>
  <c r="H371" i="21" s="1"/>
  <c r="K26" i="6"/>
  <c r="D28" i="6"/>
  <c r="F28" i="6" s="1"/>
  <c r="H292" i="21"/>
  <c r="G260" i="21"/>
  <c r="H260" i="21" s="1"/>
  <c r="G358" i="21"/>
  <c r="H358" i="21" s="1"/>
  <c r="G60" i="21"/>
  <c r="H60" i="21" s="1"/>
  <c r="K2" i="6"/>
  <c r="J514" i="21"/>
  <c r="H13" i="21" s="1"/>
  <c r="K9" i="6"/>
  <c r="J532" i="21"/>
  <c r="H15" i="21" s="1"/>
  <c r="G248" i="21"/>
  <c r="AA37" i="30" s="1"/>
  <c r="D44" i="6"/>
  <c r="F44" i="6" s="1"/>
  <c r="G564" i="21" s="1"/>
  <c r="H564" i="21" s="1"/>
  <c r="K79" i="6"/>
  <c r="D81" i="6"/>
  <c r="F81" i="6" s="1"/>
  <c r="G166" i="21" s="1"/>
  <c r="H166" i="21" s="1"/>
  <c r="H86" i="21"/>
  <c r="H213" i="21"/>
  <c r="H508" i="21"/>
  <c r="J542" i="21"/>
  <c r="H16" i="21" s="1"/>
  <c r="H196" i="21"/>
  <c r="H291" i="21"/>
  <c r="K59" i="6"/>
  <c r="H566" i="21"/>
  <c r="D35" i="6"/>
  <c r="F35" i="6" s="1"/>
  <c r="K11" i="6"/>
  <c r="D64" i="6"/>
  <c r="F64" i="6" s="1"/>
  <c r="K7" i="6"/>
  <c r="G471" i="21"/>
  <c r="H471" i="21" s="1"/>
  <c r="G477" i="21"/>
  <c r="H477" i="21" s="1"/>
  <c r="G476" i="21"/>
  <c r="H476" i="21" s="1"/>
  <c r="G473" i="21"/>
  <c r="H473" i="21" s="1"/>
  <c r="G468" i="21"/>
  <c r="H468" i="21" s="1"/>
  <c r="G506" i="21"/>
  <c r="H506" i="21" s="1"/>
  <c r="G494" i="21"/>
  <c r="H494" i="21" s="1"/>
  <c r="G539" i="21"/>
  <c r="H539" i="21" s="1"/>
  <c r="G502" i="21"/>
  <c r="H502" i="21" s="1"/>
  <c r="G527" i="21"/>
  <c r="H527" i="21" s="1"/>
  <c r="G537" i="21"/>
  <c r="H537" i="21" s="1"/>
  <c r="G156" i="21"/>
  <c r="H156" i="21" s="1"/>
  <c r="G419" i="21"/>
  <c r="H419" i="21" s="1"/>
  <c r="G173" i="21"/>
  <c r="H173" i="21" s="1"/>
  <c r="G229" i="21"/>
  <c r="H229" i="21" s="1"/>
  <c r="G336" i="21"/>
  <c r="H336" i="21" s="1"/>
  <c r="G103" i="21"/>
  <c r="H103" i="21" s="1"/>
  <c r="H104" i="21"/>
  <c r="H299" i="21"/>
  <c r="K4" i="6"/>
  <c r="G40" i="21"/>
  <c r="H40" i="21" s="1"/>
  <c r="G398" i="21"/>
  <c r="H398" i="21" s="1"/>
  <c r="H97" i="21"/>
  <c r="H113" i="21"/>
  <c r="H155" i="21"/>
  <c r="H228" i="21"/>
  <c r="H170" i="21"/>
  <c r="G161" i="21"/>
  <c r="H161" i="21" s="1"/>
  <c r="H146" i="21"/>
  <c r="J497" i="21"/>
  <c r="H12" i="21" s="1"/>
  <c r="D45" i="6"/>
  <c r="F45" i="6" s="1"/>
  <c r="G565" i="21" s="1"/>
  <c r="H565" i="21" s="1"/>
  <c r="G357" i="21"/>
  <c r="H357" i="21" s="1"/>
  <c r="G381" i="21"/>
  <c r="H381" i="21" s="1"/>
  <c r="H29" i="21"/>
  <c r="G263" i="21"/>
  <c r="H263" i="21" s="1"/>
  <c r="K14" i="6"/>
  <c r="D30" i="6"/>
  <c r="F30" i="6" s="1"/>
  <c r="G174" i="21" s="1"/>
  <c r="H174" i="21" s="1"/>
  <c r="K39" i="6"/>
  <c r="D15" i="6"/>
  <c r="F15" i="6" s="1"/>
  <c r="H491" i="21"/>
  <c r="H561" i="21"/>
  <c r="H106" i="21"/>
  <c r="H281" i="21"/>
  <c r="H317" i="21"/>
  <c r="H457" i="21"/>
  <c r="H342" i="21"/>
  <c r="G355" i="21"/>
  <c r="H355" i="21" s="1"/>
  <c r="K70" i="6"/>
  <c r="K16" i="6"/>
  <c r="K27" i="6"/>
  <c r="K61" i="6"/>
  <c r="G231" i="21"/>
  <c r="H231" i="21" s="1"/>
  <c r="G74" i="21"/>
  <c r="J74" i="21" s="1"/>
  <c r="H201" i="21"/>
  <c r="H94" i="21"/>
  <c r="G167" i="21"/>
  <c r="H167" i="21" s="1"/>
  <c r="G551" i="21"/>
  <c r="H551" i="21" s="1"/>
  <c r="G510" i="21"/>
  <c r="H510" i="21" s="1"/>
  <c r="G575" i="21"/>
  <c r="H575" i="21" s="1"/>
  <c r="G521" i="21"/>
  <c r="H521" i="21" s="1"/>
  <c r="G513" i="21"/>
  <c r="H513" i="21" s="1"/>
  <c r="G541" i="21"/>
  <c r="H541" i="21" s="1"/>
  <c r="G489" i="21"/>
  <c r="H489" i="21" s="1"/>
  <c r="G505" i="21"/>
  <c r="H505" i="21" s="1"/>
  <c r="G578" i="21"/>
  <c r="H578" i="21" s="1"/>
  <c r="G496" i="21"/>
  <c r="H496" i="21" s="1"/>
  <c r="G434" i="21"/>
  <c r="H434" i="21" s="1"/>
  <c r="G171" i="21"/>
  <c r="H171" i="21" s="1"/>
  <c r="G493" i="21"/>
  <c r="H493" i="21" s="1"/>
  <c r="G28" i="21"/>
  <c r="H28" i="21" s="1"/>
  <c r="G538" i="21"/>
  <c r="H538" i="21" s="1"/>
  <c r="G519" i="21"/>
  <c r="H519" i="21" s="1"/>
  <c r="G548" i="21"/>
  <c r="G528" i="21"/>
  <c r="H528" i="21" s="1"/>
  <c r="G531" i="21"/>
  <c r="H531" i="21" s="1"/>
  <c r="J552" i="21"/>
  <c r="H17" i="21" s="1"/>
  <c r="K5" i="6"/>
  <c r="G567" i="21"/>
  <c r="H567" i="21" s="1"/>
  <c r="G426" i="21"/>
  <c r="H426" i="21" s="1"/>
  <c r="G576" i="21"/>
  <c r="H576" i="21" s="1"/>
  <c r="G529" i="21"/>
  <c r="H529" i="21" s="1"/>
  <c r="G511" i="21"/>
  <c r="H511" i="21" s="1"/>
  <c r="G574" i="21"/>
  <c r="H574" i="21" s="1"/>
  <c r="G490" i="21"/>
  <c r="H490" i="21" s="1"/>
  <c r="G486" i="21"/>
  <c r="H486" i="21" s="1"/>
  <c r="J80" i="21"/>
  <c r="K23" i="6"/>
  <c r="D23" i="6"/>
  <c r="F23" i="6" s="1"/>
  <c r="G181" i="21"/>
  <c r="H181" i="21" s="1"/>
  <c r="G404" i="21"/>
  <c r="H404" i="21" s="1"/>
  <c r="G330" i="21"/>
  <c r="H330" i="21" s="1"/>
  <c r="J114" i="21"/>
  <c r="J335" i="21" s="1"/>
  <c r="G71" i="21"/>
  <c r="G329" i="21"/>
  <c r="H329" i="21" s="1"/>
  <c r="G425" i="21"/>
  <c r="H425" i="21" s="1"/>
  <c r="H402" i="21"/>
  <c r="H436" i="21"/>
  <c r="G25" i="21"/>
  <c r="D10" i="6"/>
  <c r="F10" i="6" s="1"/>
  <c r="G243" i="21"/>
  <c r="G183" i="21"/>
  <c r="H183" i="21" s="1"/>
  <c r="G406" i="21"/>
  <c r="H406" i="21" s="1"/>
  <c r="D36" i="6"/>
  <c r="F36" i="6" s="1"/>
  <c r="G378" i="21"/>
  <c r="H378" i="21" s="1"/>
  <c r="G158" i="21"/>
  <c r="H158" i="21" s="1"/>
  <c r="G338" i="21"/>
  <c r="H338" i="21" s="1"/>
  <c r="G117" i="21"/>
  <c r="H117" i="21" s="1"/>
  <c r="G192" i="21"/>
  <c r="H192" i="21" s="1"/>
  <c r="G313" i="21"/>
  <c r="H313" i="21" s="1"/>
  <c r="G142" i="21"/>
  <c r="H142" i="21" s="1"/>
  <c r="G100" i="21"/>
  <c r="H100" i="21" s="1"/>
  <c r="G395" i="21"/>
  <c r="H395" i="21" s="1"/>
  <c r="G277" i="21"/>
  <c r="H277" i="21" s="1"/>
  <c r="G126" i="21"/>
  <c r="H126" i="21" s="1"/>
  <c r="G175" i="21"/>
  <c r="H175" i="21" s="1"/>
  <c r="G164" i="21"/>
  <c r="H164" i="21" s="1"/>
  <c r="G90" i="21"/>
  <c r="H90" i="21" s="1"/>
  <c r="G372" i="21"/>
  <c r="H372" i="21" s="1"/>
  <c r="G295" i="21"/>
  <c r="H295" i="21" s="1"/>
  <c r="G109" i="21"/>
  <c r="H109" i="21" s="1"/>
  <c r="D37" i="6"/>
  <c r="F37" i="6" s="1"/>
  <c r="G370" i="21"/>
  <c r="G88" i="21"/>
  <c r="G328" i="21"/>
  <c r="H328" i="21" s="1"/>
  <c r="G107" i="21"/>
  <c r="G293" i="21"/>
  <c r="H293" i="21" s="1"/>
  <c r="G133" i="21"/>
  <c r="D13" i="6"/>
  <c r="F13" i="6" s="1"/>
  <c r="G78" i="21"/>
  <c r="G258" i="21"/>
  <c r="H75" i="21"/>
  <c r="H84" i="21"/>
  <c r="H61" i="21"/>
  <c r="G98" i="21"/>
  <c r="H98" i="21" s="1"/>
  <c r="G353" i="21"/>
  <c r="G92" i="21"/>
  <c r="H92" i="21" s="1"/>
  <c r="G297" i="21"/>
  <c r="H297" i="21" s="1"/>
  <c r="G137" i="21"/>
  <c r="H137" i="21" s="1"/>
  <c r="G36" i="21"/>
  <c r="G467" i="21"/>
  <c r="H467" i="21" s="1"/>
  <c r="G464" i="21"/>
  <c r="H464" i="21" s="1"/>
  <c r="G26" i="21"/>
  <c r="H26" i="21" s="1"/>
  <c r="G478" i="21"/>
  <c r="H478" i="21" s="1"/>
  <c r="G140" i="21"/>
  <c r="H140" i="21" s="1"/>
  <c r="G374" i="21"/>
  <c r="H374" i="21" s="1"/>
  <c r="D17" i="6"/>
  <c r="F17" i="6" s="1"/>
  <c r="K17" i="6"/>
  <c r="D78" i="6"/>
  <c r="F78" i="6" s="1"/>
  <c r="G233" i="21"/>
  <c r="H233" i="21" s="1"/>
  <c r="K48" i="6"/>
  <c r="D58" i="6"/>
  <c r="F58" i="6" s="1"/>
  <c r="G332" i="21"/>
  <c r="H332" i="21" s="1"/>
  <c r="D18" i="6"/>
  <c r="F18" i="6" s="1"/>
  <c r="D25" i="6"/>
  <c r="F25" i="6" s="1"/>
  <c r="K25" i="6"/>
  <c r="D32" i="6"/>
  <c r="F32" i="6" s="1"/>
  <c r="K80" i="6"/>
  <c r="H132" i="21"/>
  <c r="H310" i="21"/>
  <c r="H480" i="21"/>
  <c r="G124" i="21"/>
  <c r="G376" i="21"/>
  <c r="H376" i="21" s="1"/>
  <c r="G115" i="21"/>
  <c r="G55" i="21"/>
  <c r="H55" i="21" s="1"/>
  <c r="G393" i="21"/>
  <c r="H462" i="21"/>
  <c r="G177" i="21"/>
  <c r="H177" i="21" s="1"/>
  <c r="G194" i="21"/>
  <c r="H194" i="21" s="1"/>
  <c r="G315" i="21"/>
  <c r="H315" i="21" s="1"/>
  <c r="G59" i="21"/>
  <c r="H59" i="21" s="1"/>
  <c r="G275" i="21"/>
  <c r="H275" i="21" s="1"/>
  <c r="G73" i="21"/>
  <c r="G195" i="21"/>
  <c r="H195" i="21" s="1"/>
  <c r="G129" i="21"/>
  <c r="H129" i="21" s="1"/>
  <c r="G424" i="21"/>
  <c r="H424" i="21" s="1"/>
  <c r="G234" i="21"/>
  <c r="H234" i="21" s="1"/>
  <c r="G178" i="21"/>
  <c r="H178" i="21" s="1"/>
  <c r="G120" i="21"/>
  <c r="H120" i="21" s="1"/>
  <c r="G145" i="21"/>
  <c r="H145" i="21" s="1"/>
  <c r="G341" i="21"/>
  <c r="H341" i="21" s="1"/>
  <c r="G280" i="21"/>
  <c r="H280" i="21" s="1"/>
  <c r="G83" i="21"/>
  <c r="J83" i="21" s="1"/>
  <c r="G41" i="21"/>
  <c r="H41" i="21" s="1"/>
  <c r="J481" i="21"/>
  <c r="H11" i="21" s="1"/>
  <c r="G82" i="21"/>
  <c r="G262" i="21"/>
  <c r="H262" i="21" s="1"/>
  <c r="G69" i="21"/>
  <c r="G311" i="21"/>
  <c r="H311" i="21" s="1"/>
  <c r="G316" i="21"/>
  <c r="H316" i="21" s="1"/>
  <c r="G466" i="21"/>
  <c r="H466" i="21" s="1"/>
  <c r="G472" i="21"/>
  <c r="H472" i="21" s="1"/>
  <c r="G470" i="21"/>
  <c r="H470" i="21" s="1"/>
  <c r="G479" i="21"/>
  <c r="H479" i="21" s="1"/>
  <c r="G474" i="21"/>
  <c r="H474" i="21" s="1"/>
  <c r="G469" i="21"/>
  <c r="H469" i="21" s="1"/>
  <c r="G475" i="21"/>
  <c r="H475" i="21" s="1"/>
  <c r="H48" i="21"/>
  <c r="H433" i="21"/>
  <c r="K20" i="6"/>
  <c r="K46" i="6"/>
  <c r="K43" i="6"/>
  <c r="K40" i="6"/>
  <c r="G89" i="21" l="1"/>
  <c r="H89" i="21" s="1"/>
  <c r="G108" i="21"/>
  <c r="H108" i="21" s="1"/>
  <c r="G134" i="21"/>
  <c r="H134" i="21" s="1"/>
  <c r="G294" i="21"/>
  <c r="H294" i="21" s="1"/>
  <c r="G179" i="21"/>
  <c r="H179" i="21" s="1"/>
  <c r="G427" i="21"/>
  <c r="H427" i="21" s="1"/>
  <c r="H203" i="21"/>
  <c r="AB26" i="30" s="1"/>
  <c r="AC26" i="30" s="1"/>
  <c r="G340" i="21"/>
  <c r="H340" i="21" s="1"/>
  <c r="G218" i="21"/>
  <c r="G50" i="21"/>
  <c r="H50" i="21" s="1"/>
  <c r="G144" i="21"/>
  <c r="H144" i="21" s="1"/>
  <c r="H248" i="21"/>
  <c r="AB37" i="30" s="1"/>
  <c r="AC37" i="30" s="1"/>
  <c r="G377" i="21"/>
  <c r="H377" i="21" s="1"/>
  <c r="G423" i="21"/>
  <c r="H423" i="21" s="1"/>
  <c r="G52" i="21"/>
  <c r="H52" i="21" s="1"/>
  <c r="G380" i="21"/>
  <c r="H380" i="21" s="1"/>
  <c r="G182" i="21"/>
  <c r="H182" i="21" s="1"/>
  <c r="G141" i="21"/>
  <c r="H141" i="21" s="1"/>
  <c r="G116" i="21"/>
  <c r="H116" i="21" s="1"/>
  <c r="G394" i="21"/>
  <c r="H394" i="21" s="1"/>
  <c r="H212" i="21"/>
  <c r="H214" i="21" s="1"/>
  <c r="AB28" i="30" s="1"/>
  <c r="G568" i="21"/>
  <c r="H568" i="21" s="1"/>
  <c r="G102" i="21"/>
  <c r="H102" i="21" s="1"/>
  <c r="G397" i="21"/>
  <c r="H397" i="21" s="1"/>
  <c r="G119" i="21"/>
  <c r="H119" i="21" s="1"/>
  <c r="G279" i="21"/>
  <c r="H279" i="21" s="1"/>
  <c r="G160" i="21"/>
  <c r="H160" i="21" s="1"/>
  <c r="H83" i="21"/>
  <c r="G70" i="21"/>
  <c r="G125" i="21"/>
  <c r="H125" i="21" s="1"/>
  <c r="G79" i="21"/>
  <c r="G420" i="21"/>
  <c r="H420" i="21" s="1"/>
  <c r="G259" i="21"/>
  <c r="H259" i="21" s="1"/>
  <c r="G312" i="21"/>
  <c r="H312" i="21" s="1"/>
  <c r="G276" i="21"/>
  <c r="H276" i="21" s="1"/>
  <c r="G337" i="21"/>
  <c r="H337" i="21" s="1"/>
  <c r="G56" i="21"/>
  <c r="H56" i="21" s="1"/>
  <c r="G37" i="21"/>
  <c r="H37" i="21" s="1"/>
  <c r="G230" i="21"/>
  <c r="H230" i="21" s="1"/>
  <c r="H74" i="21"/>
  <c r="G191" i="21"/>
  <c r="H191" i="21" s="1"/>
  <c r="G99" i="21"/>
  <c r="H99" i="21" s="1"/>
  <c r="G354" i="21"/>
  <c r="H354" i="21" s="1"/>
  <c r="G157" i="21"/>
  <c r="H157" i="21" s="1"/>
  <c r="H124" i="21"/>
  <c r="H73" i="21"/>
  <c r="J73" i="21"/>
  <c r="G278" i="21"/>
  <c r="H278" i="21" s="1"/>
  <c r="G101" i="21"/>
  <c r="H101" i="21" s="1"/>
  <c r="G339" i="21"/>
  <c r="H339" i="21" s="1"/>
  <c r="G159" i="21"/>
  <c r="H159" i="21" s="1"/>
  <c r="G39" i="21"/>
  <c r="H39" i="21" s="1"/>
  <c r="G193" i="21"/>
  <c r="H193" i="21" s="1"/>
  <c r="G261" i="21"/>
  <c r="H261" i="21" s="1"/>
  <c r="G422" i="21"/>
  <c r="G58" i="21"/>
  <c r="G143" i="21"/>
  <c r="H143" i="21" s="1"/>
  <c r="G81" i="21"/>
  <c r="G176" i="21"/>
  <c r="H176" i="21" s="1"/>
  <c r="G356" i="21"/>
  <c r="H356" i="21" s="1"/>
  <c r="G72" i="21"/>
  <c r="G314" i="21"/>
  <c r="H314" i="21" s="1"/>
  <c r="G396" i="21"/>
  <c r="H396" i="21" s="1"/>
  <c r="G127" i="21"/>
  <c r="H127" i="21" s="1"/>
  <c r="G232" i="21"/>
  <c r="G118" i="21"/>
  <c r="H118" i="21" s="1"/>
  <c r="G379" i="21"/>
  <c r="H379" i="21" s="1"/>
  <c r="G138" i="21"/>
  <c r="H138" i="21" s="1"/>
  <c r="G112" i="21"/>
  <c r="H112" i="21" s="1"/>
  <c r="G298" i="21"/>
  <c r="H298" i="21" s="1"/>
  <c r="G375" i="21"/>
  <c r="H375" i="21" s="1"/>
  <c r="G333" i="21"/>
  <c r="H333" i="21" s="1"/>
  <c r="G93" i="21"/>
  <c r="H93" i="21" s="1"/>
  <c r="H133" i="21"/>
  <c r="H107" i="21"/>
  <c r="G552" i="21"/>
  <c r="H548" i="21"/>
  <c r="H258" i="21"/>
  <c r="H88" i="21"/>
  <c r="J89" i="21"/>
  <c r="J294" i="21" s="1"/>
  <c r="J90" i="21"/>
  <c r="J295" i="21" s="1"/>
  <c r="J88" i="21"/>
  <c r="J293" i="21" s="1"/>
  <c r="AA36" i="30"/>
  <c r="H243" i="21"/>
  <c r="AB36" i="30" s="1"/>
  <c r="J71" i="21"/>
  <c r="H71" i="21"/>
  <c r="H69" i="21"/>
  <c r="J69" i="21"/>
  <c r="H393" i="21"/>
  <c r="G512" i="21"/>
  <c r="H512" i="21" s="1"/>
  <c r="G520" i="21"/>
  <c r="H520" i="21" s="1"/>
  <c r="G526" i="21"/>
  <c r="G172" i="21"/>
  <c r="H172" i="21" s="1"/>
  <c r="G518" i="21"/>
  <c r="G540" i="21"/>
  <c r="H540" i="21" s="1"/>
  <c r="G27" i="21"/>
  <c r="H27" i="21" s="1"/>
  <c r="G530" i="21"/>
  <c r="H530" i="21" s="1"/>
  <c r="G507" i="21"/>
  <c r="H507" i="21" s="1"/>
  <c r="G485" i="21"/>
  <c r="G495" i="21"/>
  <c r="H495" i="21" s="1"/>
  <c r="G573" i="21"/>
  <c r="G435" i="21"/>
  <c r="G577" i="21"/>
  <c r="H577" i="21" s="1"/>
  <c r="G501" i="21"/>
  <c r="G536" i="21"/>
  <c r="H353" i="21"/>
  <c r="H78" i="21"/>
  <c r="J78" i="21"/>
  <c r="H370" i="21"/>
  <c r="H82" i="21"/>
  <c r="J82" i="21"/>
  <c r="J116" i="21"/>
  <c r="J337" i="21" s="1"/>
  <c r="J117" i="21"/>
  <c r="J338" i="21" s="1"/>
  <c r="J115" i="21"/>
  <c r="J336" i="21" s="1"/>
  <c r="J118" i="21"/>
  <c r="J339" i="21" s="1"/>
  <c r="G400" i="21"/>
  <c r="H400" i="21" s="1"/>
  <c r="G163" i="21"/>
  <c r="H163" i="21" s="1"/>
  <c r="G162" i="21"/>
  <c r="H162" i="21" s="1"/>
  <c r="G399" i="21"/>
  <c r="H399" i="21" s="1"/>
  <c r="H25" i="21"/>
  <c r="H115" i="21"/>
  <c r="H36" i="21"/>
  <c r="H190" i="21"/>
  <c r="G91" i="21"/>
  <c r="H91" i="21" s="1"/>
  <c r="G331" i="21"/>
  <c r="H331" i="21" s="1"/>
  <c r="G373" i="21"/>
  <c r="H373" i="21" s="1"/>
  <c r="G296" i="21"/>
  <c r="H296" i="21" s="1"/>
  <c r="G136" i="21"/>
  <c r="H136" i="21" s="1"/>
  <c r="G110" i="21"/>
  <c r="H110" i="21" s="1"/>
  <c r="G219" i="21"/>
  <c r="H218" i="21"/>
  <c r="G481" i="21"/>
  <c r="AA28" i="30"/>
  <c r="G105" i="21" l="1"/>
  <c r="G322" i="21" s="1"/>
  <c r="G323" i="21" s="1"/>
  <c r="H323" i="21" s="1"/>
  <c r="J120" i="21"/>
  <c r="J341" i="21" s="1"/>
  <c r="J121" i="21"/>
  <c r="J342" i="21" s="1"/>
  <c r="G197" i="21"/>
  <c r="H197" i="21" s="1"/>
  <c r="AB25" i="30" s="1"/>
  <c r="J119" i="21"/>
  <c r="J340" i="21" s="1"/>
  <c r="G569" i="21"/>
  <c r="F19" i="21" s="1"/>
  <c r="D15" i="33" s="1"/>
  <c r="G318" i="21"/>
  <c r="G282" i="21"/>
  <c r="H282" i="21" s="1"/>
  <c r="AB49" i="30" s="1"/>
  <c r="AC28" i="30"/>
  <c r="G360" i="21"/>
  <c r="H360" i="21" s="1"/>
  <c r="AB68" i="30" s="1"/>
  <c r="J91" i="21"/>
  <c r="J296" i="21" s="1"/>
  <c r="G169" i="21"/>
  <c r="G412" i="21" s="1"/>
  <c r="G413" i="21" s="1"/>
  <c r="H413" i="21" s="1"/>
  <c r="AB81" i="30" s="1"/>
  <c r="AC81" i="30" s="1"/>
  <c r="J95" i="21"/>
  <c r="J300" i="21" s="1"/>
  <c r="J79" i="21"/>
  <c r="H79" i="21"/>
  <c r="G343" i="21"/>
  <c r="AA62" i="30" s="1"/>
  <c r="J70" i="21"/>
  <c r="H70" i="21"/>
  <c r="H422" i="21"/>
  <c r="G429" i="21"/>
  <c r="H518" i="21"/>
  <c r="G522" i="21"/>
  <c r="AC36" i="30"/>
  <c r="J94" i="21"/>
  <c r="J299" i="21" s="1"/>
  <c r="G122" i="21"/>
  <c r="J122" i="21" s="1"/>
  <c r="J347" i="21" s="1"/>
  <c r="J348" i="21" s="1"/>
  <c r="AE63" i="30" s="1"/>
  <c r="G542" i="21"/>
  <c r="H536" i="21"/>
  <c r="J92" i="21"/>
  <c r="J297" i="21" s="1"/>
  <c r="H232" i="21"/>
  <c r="G236" i="21"/>
  <c r="AA49" i="30"/>
  <c r="AA25" i="30"/>
  <c r="G154" i="21"/>
  <c r="H318" i="21"/>
  <c r="AB56" i="30" s="1"/>
  <c r="AA56" i="30"/>
  <c r="H526" i="21"/>
  <c r="G532" i="21"/>
  <c r="G301" i="21"/>
  <c r="H435" i="21"/>
  <c r="G439" i="21"/>
  <c r="G43" i="21"/>
  <c r="G579" i="21"/>
  <c r="H573" i="21"/>
  <c r="G408" i="21"/>
  <c r="H72" i="21"/>
  <c r="J72" i="21"/>
  <c r="H343" i="21"/>
  <c r="AB62" i="30" s="1"/>
  <c r="G514" i="21"/>
  <c r="H501" i="21"/>
  <c r="J93" i="21"/>
  <c r="J298" i="21" s="1"/>
  <c r="G383" i="21"/>
  <c r="G265" i="21"/>
  <c r="G53" i="21"/>
  <c r="H481" i="21"/>
  <c r="G11" i="21" s="1"/>
  <c r="F11" i="21"/>
  <c r="D7" i="33" s="1"/>
  <c r="H485" i="21"/>
  <c r="G497" i="21"/>
  <c r="G76" i="21"/>
  <c r="H81" i="21"/>
  <c r="J81" i="21"/>
  <c r="H219" i="21"/>
  <c r="AA29" i="30"/>
  <c r="G30" i="21"/>
  <c r="F17" i="21"/>
  <c r="D13" i="33" s="1"/>
  <c r="H552" i="21"/>
  <c r="G17" i="21" s="1"/>
  <c r="G131" i="21"/>
  <c r="G364" i="21" s="1"/>
  <c r="G365" i="21" s="1"/>
  <c r="H365" i="21" s="1"/>
  <c r="H58" i="21"/>
  <c r="G67" i="21"/>
  <c r="J257" i="21" l="1" a="1"/>
  <c r="J257" i="21" s="1"/>
  <c r="J265" i="21" s="1"/>
  <c r="AE43" i="30" s="1"/>
  <c r="J274" i="21" a="1"/>
  <c r="J274" i="21" s="1"/>
  <c r="J282" i="21" s="1"/>
  <c r="AE49" i="30" s="1"/>
  <c r="AE53" i="30" s="1"/>
  <c r="V7" i="30" s="1"/>
  <c r="H569" i="21"/>
  <c r="G19" i="21" s="1"/>
  <c r="AC56" i="30"/>
  <c r="J130" i="21"/>
  <c r="J359" i="21" s="1"/>
  <c r="AC49" i="30"/>
  <c r="J301" i="21"/>
  <c r="AE51" i="30" s="1"/>
  <c r="AA68" i="30"/>
  <c r="J139" i="21"/>
  <c r="J376" i="21" s="1"/>
  <c r="F13" i="21"/>
  <c r="D9" i="33" s="1"/>
  <c r="H514" i="21"/>
  <c r="G13" i="21" s="1"/>
  <c r="AH25" i="30"/>
  <c r="AA31" i="30"/>
  <c r="AC25" i="30"/>
  <c r="G347" i="21"/>
  <c r="G348" i="21" s="1"/>
  <c r="H348" i="21" s="1"/>
  <c r="J142" i="21"/>
  <c r="J379" i="21" s="1"/>
  <c r="J136" i="21"/>
  <c r="J373" i="21" s="1"/>
  <c r="J140" i="21"/>
  <c r="J377" i="21" s="1"/>
  <c r="J132" i="21"/>
  <c r="J369" i="21" s="1"/>
  <c r="J144" i="21"/>
  <c r="J381" i="21" s="1"/>
  <c r="J126" i="21"/>
  <c r="J355" i="21" s="1"/>
  <c r="J137" i="21"/>
  <c r="J374" i="21" s="1"/>
  <c r="J123" i="21"/>
  <c r="J352" i="21" s="1"/>
  <c r="J125" i="21"/>
  <c r="J354" i="21" s="1"/>
  <c r="J131" i="21"/>
  <c r="J364" i="21" s="1"/>
  <c r="J365" i="21" s="1"/>
  <c r="AE69" i="30" s="1"/>
  <c r="J129" i="21"/>
  <c r="J358" i="21" s="1"/>
  <c r="J138" i="21"/>
  <c r="J375" i="21" s="1"/>
  <c r="J145" i="21"/>
  <c r="J382" i="21" s="1"/>
  <c r="J128" i="21"/>
  <c r="J357" i="21" s="1"/>
  <c r="J135" i="21"/>
  <c r="J372" i="21" s="1"/>
  <c r="J141" i="21"/>
  <c r="J378" i="21" s="1"/>
  <c r="AC62" i="30"/>
  <c r="AA51" i="30"/>
  <c r="AA52" i="30" s="1"/>
  <c r="H301" i="21"/>
  <c r="AB51" i="30" s="1"/>
  <c r="AH49" i="30"/>
  <c r="F14" i="21"/>
  <c r="D10" i="33" s="1"/>
  <c r="H522" i="21"/>
  <c r="G14" i="21" s="1"/>
  <c r="G185" i="21"/>
  <c r="G387" i="21"/>
  <c r="G388" i="21" s="1"/>
  <c r="F16" i="21"/>
  <c r="D12" i="33" s="1"/>
  <c r="H542" i="21"/>
  <c r="G16" i="21" s="1"/>
  <c r="F4" i="21"/>
  <c r="H43" i="21"/>
  <c r="G4" i="21" s="1"/>
  <c r="G223" i="21"/>
  <c r="G224" i="21" s="1"/>
  <c r="G62" i="21"/>
  <c r="G269" i="21"/>
  <c r="G270" i="21" s="1"/>
  <c r="H270" i="21" s="1"/>
  <c r="J76" i="21"/>
  <c r="J269" i="21" s="1"/>
  <c r="J270" i="21" s="1"/>
  <c r="AE44" i="30" s="1"/>
  <c r="AE46" i="30" s="1"/>
  <c r="V6" i="30" s="1"/>
  <c r="AA74" i="30"/>
  <c r="H383" i="21"/>
  <c r="AB74" i="30" s="1"/>
  <c r="H236" i="21"/>
  <c r="AB35" i="30" s="1"/>
  <c r="AA35" i="30"/>
  <c r="AA86" i="30"/>
  <c r="H429" i="21"/>
  <c r="AB86" i="30" s="1"/>
  <c r="H63" i="21"/>
  <c r="G252" i="21"/>
  <c r="G253" i="21" s="1"/>
  <c r="J67" i="21"/>
  <c r="G85" i="21"/>
  <c r="H439" i="21"/>
  <c r="AB87" i="30" s="1"/>
  <c r="AA87" i="30"/>
  <c r="AA43" i="30"/>
  <c r="H265" i="21"/>
  <c r="AB43" i="30" s="1"/>
  <c r="J146" i="21"/>
  <c r="H532" i="21"/>
  <c r="G15" i="21" s="1"/>
  <c r="F15" i="21"/>
  <c r="D11" i="33" s="1"/>
  <c r="H408" i="21"/>
  <c r="AB80" i="30" s="1"/>
  <c r="AA80" i="30"/>
  <c r="AA70" i="30"/>
  <c r="AH68" i="30"/>
  <c r="AI68" i="30" s="1"/>
  <c r="AA64" i="30"/>
  <c r="AH62" i="30"/>
  <c r="AI62" i="30" s="1"/>
  <c r="F12" i="21"/>
  <c r="D8" i="33" s="1"/>
  <c r="H497" i="21"/>
  <c r="G12" i="21" s="1"/>
  <c r="J134" i="21"/>
  <c r="J371" i="21" s="1"/>
  <c r="J143" i="21"/>
  <c r="J380" i="21" s="1"/>
  <c r="F3" i="21"/>
  <c r="H30" i="21"/>
  <c r="G3" i="21" s="1"/>
  <c r="J124" i="21"/>
  <c r="J353" i="21" s="1"/>
  <c r="J133" i="21"/>
  <c r="J370" i="21" s="1"/>
  <c r="AH56" i="30"/>
  <c r="AI56" i="30" s="1"/>
  <c r="AA58" i="30"/>
  <c r="AC68" i="30"/>
  <c r="J127" i="21"/>
  <c r="J356" i="21" s="1"/>
  <c r="F20" i="21"/>
  <c r="D16" i="33" s="1"/>
  <c r="H579" i="21"/>
  <c r="G20" i="21" s="1"/>
  <c r="AC74" i="30" l="1"/>
  <c r="D17" i="33"/>
  <c r="AC86" i="30"/>
  <c r="AC35" i="30"/>
  <c r="AC87" i="30"/>
  <c r="AC51" i="30"/>
  <c r="AA53" i="30"/>
  <c r="U7" i="30"/>
  <c r="AC80" i="30"/>
  <c r="H253" i="21"/>
  <c r="H224" i="21"/>
  <c r="G63" i="21"/>
  <c r="J383" i="21"/>
  <c r="AE74" i="30" s="1"/>
  <c r="AE77" i="30" s="1"/>
  <c r="V11" i="30" s="1"/>
  <c r="AH86" i="30"/>
  <c r="AA90" i="30"/>
  <c r="AC43" i="30"/>
  <c r="AH35" i="30"/>
  <c r="AA39" i="30"/>
  <c r="H388" i="21"/>
  <c r="AB75" i="30" s="1"/>
  <c r="AC75" i="30" s="1"/>
  <c r="G198" i="21"/>
  <c r="F7" i="21"/>
  <c r="H185" i="21"/>
  <c r="G7" i="21" s="1"/>
  <c r="U9" i="30"/>
  <c r="AA65" i="30"/>
  <c r="AA76" i="30"/>
  <c r="AH74" i="30"/>
  <c r="AI74" i="30" s="1"/>
  <c r="U4" i="30"/>
  <c r="AA32" i="30"/>
  <c r="AH43" i="30"/>
  <c r="AI43" i="30" s="1"/>
  <c r="AA45" i="30"/>
  <c r="U8" i="30"/>
  <c r="AA59" i="30"/>
  <c r="AG50" i="30"/>
  <c r="AI49" i="30"/>
  <c r="AI25" i="30"/>
  <c r="AG26" i="30"/>
  <c r="AH26" i="30" s="1"/>
  <c r="U10" i="30"/>
  <c r="AA71" i="30"/>
  <c r="J85" i="21"/>
  <c r="J286" i="21" s="1"/>
  <c r="J287" i="21" s="1"/>
  <c r="G286" i="21"/>
  <c r="G287" i="21" s="1"/>
  <c r="G96" i="21"/>
  <c r="G147" i="21" s="1"/>
  <c r="J360" i="21"/>
  <c r="AA82" i="30"/>
  <c r="AH80" i="30"/>
  <c r="AI80" i="30" s="1"/>
  <c r="J252" i="21"/>
  <c r="J253" i="21" s="1"/>
  <c r="AE38" i="30" s="1"/>
  <c r="AE40" i="30" s="1"/>
  <c r="F5" i="21"/>
  <c r="H62" i="21"/>
  <c r="G5" i="21" s="1"/>
  <c r="AA94" i="30" l="1"/>
  <c r="J19" i="30" s="1"/>
  <c r="H147" i="21"/>
  <c r="G6" i="21" s="1"/>
  <c r="F6" i="21"/>
  <c r="F8" i="21" s="1"/>
  <c r="AG87" i="30"/>
  <c r="AH87" i="30" s="1"/>
  <c r="AI87" i="30" s="1"/>
  <c r="AI86" i="30"/>
  <c r="AG36" i="30"/>
  <c r="AH36" i="30" s="1"/>
  <c r="AI35" i="30"/>
  <c r="AG27" i="30"/>
  <c r="AH27" i="30" s="1"/>
  <c r="AI26" i="30"/>
  <c r="AA83" i="30"/>
  <c r="U12" i="30"/>
  <c r="AE68" i="30"/>
  <c r="AE71" i="30" s="1"/>
  <c r="V10" i="30" s="1"/>
  <c r="J565" i="21"/>
  <c r="AA91" i="30"/>
  <c r="U13" i="30"/>
  <c r="V5" i="30"/>
  <c r="U11" i="30"/>
  <c r="AA77" i="30"/>
  <c r="G305" i="21"/>
  <c r="G306" i="21" s="1"/>
  <c r="J111" i="21"/>
  <c r="J332" i="21" s="1"/>
  <c r="J106" i="21"/>
  <c r="J327" i="21" s="1"/>
  <c r="J102" i="21"/>
  <c r="J315" i="21" s="1"/>
  <c r="J107" i="21"/>
  <c r="J328" i="21" s="1"/>
  <c r="J108" i="21"/>
  <c r="J329" i="21" s="1"/>
  <c r="J110" i="21"/>
  <c r="J331" i="21" s="1"/>
  <c r="J96" i="21"/>
  <c r="J305" i="21" s="1"/>
  <c r="J306" i="21" s="1"/>
  <c r="J109" i="21"/>
  <c r="J330" i="21" s="1"/>
  <c r="J105" i="21"/>
  <c r="J322" i="21" s="1"/>
  <c r="J323" i="21" s="1"/>
  <c r="AE57" i="30" s="1"/>
  <c r="J100" i="21"/>
  <c r="J313" i="21" s="1"/>
  <c r="J97" i="21"/>
  <c r="J310" i="21" s="1"/>
  <c r="J103" i="21"/>
  <c r="J316" i="21" s="1"/>
  <c r="J99" i="21"/>
  <c r="J312" i="21" s="1"/>
  <c r="J101" i="21"/>
  <c r="J314" i="21" s="1"/>
  <c r="J564" i="21" s="1"/>
  <c r="J113" i="21"/>
  <c r="J334" i="21" s="1"/>
  <c r="J98" i="21"/>
  <c r="J311" i="21" s="1"/>
  <c r="J112" i="21"/>
  <c r="J333" i="21" s="1"/>
  <c r="J104" i="21"/>
  <c r="J317" i="21" s="1"/>
  <c r="J567" i="21" s="1"/>
  <c r="AA46" i="30"/>
  <c r="U6" i="30"/>
  <c r="AA50" i="30"/>
  <c r="AH50" i="30" s="1"/>
  <c r="H287" i="21"/>
  <c r="AB50" i="30" s="1"/>
  <c r="U5" i="30"/>
  <c r="AA40" i="30"/>
  <c r="AC50" i="30" l="1"/>
  <c r="AI50" i="30"/>
  <c r="AG51" i="30"/>
  <c r="AH51" i="30" s="1"/>
  <c r="AI51" i="30" s="1"/>
  <c r="H306" i="21"/>
  <c r="G148" i="21"/>
  <c r="J318" i="21"/>
  <c r="AE56" i="30" s="1"/>
  <c r="AE59" i="30" s="1"/>
  <c r="AG28" i="30"/>
  <c r="AH28" i="30" s="1"/>
  <c r="AI28" i="30" s="1"/>
  <c r="AI27" i="30"/>
  <c r="J147" i="21"/>
  <c r="H6" i="21" s="1"/>
  <c r="H8" i="21" s="1"/>
  <c r="AI36" i="30"/>
  <c r="AG37" i="30"/>
  <c r="AH37" i="30" s="1"/>
  <c r="AI37" i="30" s="1"/>
  <c r="J343" i="21"/>
  <c r="AE62" i="30" s="1"/>
  <c r="AE65" i="30" s="1"/>
  <c r="V9" i="30" s="1"/>
  <c r="V8" i="30" l="1"/>
  <c r="W15" i="30" s="1"/>
  <c r="AE94" i="30"/>
  <c r="AE95" i="30" s="1"/>
  <c r="W16" i="30"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<sst xmlns="http://schemas.openxmlformats.org/spreadsheetml/2006/main" count="2365" uniqueCount="631">
  <si>
    <r>
      <rPr>
        <b/>
        <sz val="20"/>
        <rFont val="Calibri"/>
        <family val="2"/>
        <scheme val="minor"/>
      </rPr>
      <t>Instructions:</t>
    </r>
    <r>
      <rPr>
        <sz val="20"/>
        <rFont val="Calibri"/>
        <family val="2"/>
        <scheme val="minor"/>
      </rPr>
      <t xml:space="preserve">
Only Configure tabs and cells highlighted in Blue
1. Select number of BMS monitors in the daisy chain
2. Enter SPI clock period
3. Select ADC Mode
4. Enter SPI Transaction MCU overhead (%)
5. SPI Transaction MCU Overhead time constant</t>
    </r>
  </si>
  <si>
    <t>Number of ICs</t>
  </si>
  <si>
    <t>SPI Clock Period</t>
  </si>
  <si>
    <t>ADC Mode</t>
  </si>
  <si>
    <t>Continuous</t>
  </si>
  <si>
    <t>SPI Transaction MCU Overhead (%)</t>
  </si>
  <si>
    <t>40% is based on a 200MHz System Clock MCU test</t>
  </si>
  <si>
    <t>SPI Transaction MCU Overhead time constant</t>
  </si>
  <si>
    <t>30us is based on a 200MHz System Clock MCU test</t>
  </si>
  <si>
    <t>Measurement &amp; Diagnostic Summary</t>
  </si>
  <si>
    <t>Cycle #</t>
  </si>
  <si>
    <t>Cell Measurement</t>
  </si>
  <si>
    <t>SM_VCELL_RED</t>
  </si>
  <si>
    <t>SM_IIR_RED</t>
  </si>
  <si>
    <t>SM_SPI_RED</t>
  </si>
  <si>
    <t>SM_SPI_PEC</t>
  </si>
  <si>
    <t xml:space="preserve">SM_CLOCK_MON </t>
  </si>
  <si>
    <t>SM_FREEZE_SEQ</t>
  </si>
  <si>
    <t>SM_POWER_MON</t>
  </si>
  <si>
    <t>SM_POWER_OOR</t>
  </si>
  <si>
    <t>SM_CELL_OWD</t>
  </si>
  <si>
    <t>SM_VCELL_OOR</t>
  </si>
  <si>
    <t>SM_VGPIO_RED</t>
  </si>
  <si>
    <t>SM_VGPIO_OOR</t>
  </si>
  <si>
    <t>SM_SPI_CNT</t>
  </si>
  <si>
    <t>SM_TMOD_IND</t>
  </si>
  <si>
    <t>SM_DIETEMP_OOR</t>
  </si>
  <si>
    <t>SM_SLEEP_IND</t>
  </si>
  <si>
    <t>SM_VREF2_OOR</t>
  </si>
  <si>
    <t>SM_NVM_ECC</t>
  </si>
  <si>
    <t>Comm Time Duration (Secs)</t>
  </si>
  <si>
    <t>Cycle PWM Disabled time (ms)</t>
  </si>
  <si>
    <t>Created using 
ADBMS6830 Safety Manual Version 0.4 (PrD)</t>
  </si>
  <si>
    <t>Rev 1.23</t>
  </si>
  <si>
    <t>SM1-</t>
  </si>
  <si>
    <t>SM2-</t>
  </si>
  <si>
    <t>SM3-</t>
  </si>
  <si>
    <t>SM4-</t>
  </si>
  <si>
    <t>SM5-</t>
  </si>
  <si>
    <t>SM6-</t>
  </si>
  <si>
    <t>SM7-</t>
  </si>
  <si>
    <t>SM8-</t>
  </si>
  <si>
    <t>SM9-</t>
  </si>
  <si>
    <t>SM12-</t>
  </si>
  <si>
    <t>SM14-</t>
  </si>
  <si>
    <t>SM15-</t>
  </si>
  <si>
    <t>SM16-</t>
  </si>
  <si>
    <t>SM17-</t>
  </si>
  <si>
    <t>SM18-</t>
  </si>
  <si>
    <t>SM19-</t>
  </si>
  <si>
    <t>SM20-</t>
  </si>
  <si>
    <t>SM21-</t>
  </si>
  <si>
    <t>Last edit</t>
  </si>
  <si>
    <t>✔</t>
  </si>
  <si>
    <t>FDTI</t>
  </si>
  <si>
    <t>Configures the Target FDTI</t>
  </si>
  <si>
    <t>Measurement &amp; Diagnostic Total Time</t>
  </si>
  <si>
    <t>Cell Data Update Rate</t>
  </si>
  <si>
    <t>Configures Cell data update interval. Time calculations are based on this target interval</t>
  </si>
  <si>
    <t>SM Summary</t>
  </si>
  <si>
    <t>Total Available PWM discharge time Per FDTI</t>
  </si>
  <si>
    <t>PWM MAX Duty Cycle</t>
  </si>
  <si>
    <t>Note that delays are assumed to be implemented as non-blocking. 
SPI communication time includes SPI transaction time + MCU overhead time</t>
  </si>
  <si>
    <t>No.</t>
  </si>
  <si>
    <t>Meas/Diagn Functions</t>
  </si>
  <si>
    <t>SMs Covered</t>
  </si>
  <si>
    <t>Execution Time(s)</t>
  </si>
  <si>
    <t>Avg Func Current(A)</t>
  </si>
  <si>
    <t>Coulomb(A*s)</t>
  </si>
  <si>
    <t>PWM Disabled time</t>
  </si>
  <si>
    <t>Cycle 1</t>
  </si>
  <si>
    <t>START</t>
  </si>
  <si>
    <t>END</t>
  </si>
  <si>
    <t>Time</t>
  </si>
  <si>
    <t xml:space="preserve"> </t>
  </si>
  <si>
    <t>SPI comm time</t>
  </si>
  <si>
    <t>Cycle Time Margin</t>
  </si>
  <si>
    <t>Cycle PWM Disabled Time</t>
  </si>
  <si>
    <t>Cycle 2</t>
  </si>
  <si>
    <t>1st Delay (~3.0ms)</t>
  </si>
  <si>
    <t>Cycle 3</t>
  </si>
  <si>
    <t>2nd Delay (~ 3.8 ms)</t>
  </si>
  <si>
    <t>Cycle 4</t>
  </si>
  <si>
    <t>Cycle 5</t>
  </si>
  <si>
    <t>5th Delay (~225us)</t>
  </si>
  <si>
    <t>Cycle 6</t>
  </si>
  <si>
    <t>Cycle 7</t>
  </si>
  <si>
    <t>Cycle 8</t>
  </si>
  <si>
    <t>Cycle 9</t>
  </si>
  <si>
    <t>Cycle 10</t>
  </si>
  <si>
    <t>Final Delay</t>
  </si>
  <si>
    <t>Total Execution Time</t>
  </si>
  <si>
    <t>Total PWM Disabled Time</t>
  </si>
  <si>
    <t>Cell &amp; GPIO Measurement &amp; Diagnostic Sequence</t>
  </si>
  <si>
    <t>Comments</t>
  </si>
  <si>
    <t>SPF SM Main Functions</t>
  </si>
  <si>
    <t>Main SMs
Covered</t>
  </si>
  <si>
    <t>All SMs 
Covered</t>
  </si>
  <si>
    <t>Brief Description</t>
  </si>
  <si>
    <t>Execution 
Time(s)</t>
  </si>
  <si>
    <t>Average 
Current(A)</t>
  </si>
  <si>
    <t>PWM Disabled
 Time(s)</t>
  </si>
  <si>
    <t>N/A</t>
  </si>
  <si>
    <t>C-ADC Continuous Mode Initializtion</t>
  </si>
  <si>
    <t>Not included in Normal Operation</t>
  </si>
  <si>
    <t>Normal AVG or FILT Cell Measurement</t>
  </si>
  <si>
    <t>Detect the no clocks and wrong freeze protocol state with AVG or FILT Cell Measurement</t>
  </si>
  <si>
    <t>SM1-SM9-</t>
  </si>
  <si>
    <t>Redundant Cell Measurement and Open Wire Detection with AVG or FILT Cell Measurements</t>
  </si>
  <si>
    <t>SM8-SM14-SM15-SM18-SM20-</t>
  </si>
  <si>
    <t>Read AUX-ADC Results with AVG or FILT Cell Measurement</t>
  </si>
  <si>
    <t>Total</t>
  </si>
  <si>
    <t>Latent Fault SM Functions</t>
  </si>
  <si>
    <t>Additional SMs 
Covered</t>
  </si>
  <si>
    <t>PWM Discharge
 Time(s)</t>
  </si>
  <si>
    <t>SM22-</t>
  </si>
  <si>
    <t>SM23-</t>
  </si>
  <si>
    <t>SM24-</t>
  </si>
  <si>
    <t>SM25-</t>
  </si>
  <si>
    <t>SM26-</t>
  </si>
  <si>
    <t>SM27-</t>
  </si>
  <si>
    <t>SM28-</t>
  </si>
  <si>
    <t>SM29-</t>
  </si>
  <si>
    <t>SM30-</t>
  </si>
  <si>
    <t>SM31-</t>
  </si>
  <si>
    <t>Initialization</t>
  </si>
  <si>
    <t>Special Notification</t>
  </si>
  <si>
    <t>Command</t>
  </si>
  <si>
    <t>CMDs</t>
  </si>
  <si>
    <t>Safety Mechanism</t>
  </si>
  <si>
    <t>Current(A)</t>
  </si>
  <si>
    <t>Timing(s)</t>
  </si>
  <si>
    <t xml:space="preserve">PWM Disabled time </t>
  </si>
  <si>
    <t>SRST</t>
  </si>
  <si>
    <t>Initialization with default configurations</t>
  </si>
  <si>
    <t>WRCFGA</t>
  </si>
  <si>
    <t xml:space="preserve">Initialization with default configurations and Corner Frequency FC[2:0] </t>
  </si>
  <si>
    <t>RDCFGA</t>
  </si>
  <si>
    <t>Read the Configuration register group A data</t>
  </si>
  <si>
    <t>CLRFLAG</t>
  </si>
  <si>
    <t>If any flags that can be cleared by CLRFLG command are set, send CLRFLG command</t>
  </si>
  <si>
    <t>RDSTATC</t>
  </si>
  <si>
    <t>make sure the CSxFLT, SPIFLT,OSCCHK,VA_OV, VA_UV, VD_OV,VD_UV,TMODECHK,THSD,SLEEP are zero.</t>
  </si>
  <si>
    <t>Trigger C-ADC in Continuous mode</t>
  </si>
  <si>
    <t>ADCV</t>
  </si>
  <si>
    <t>Trigger C-ADCs in continuous mode with ADCV command DCP = 0 CONT = 1 OW = 00 RD = 0</t>
  </si>
  <si>
    <t>Total Time &amp; Average Current</t>
  </si>
  <si>
    <t>Cell Measurement Normal Operation</t>
  </si>
  <si>
    <t>Assume ADCV is already in continuous mode</t>
  </si>
  <si>
    <t>SNAP</t>
  </si>
  <si>
    <t xml:space="preserve">Send SNAP command </t>
  </si>
  <si>
    <t>Read Conversion Counter to check if the data is refreshed and CSxFLT, SPIFLT,OSCCHK,VA_OV, VA_UV, VD_OV,VD_UV,TMODECHK,THSD,SLEEP, CED, CMED, SED, SMED are zero.</t>
  </si>
  <si>
    <t>RD DATA1</t>
  </si>
  <si>
    <t>RDFCA</t>
  </si>
  <si>
    <t>Verify Filtered Cell Voltage Register Group A to F are within the range</t>
  </si>
  <si>
    <t>RDFCB</t>
  </si>
  <si>
    <t>RDFCC</t>
  </si>
  <si>
    <t>RDFCD</t>
  </si>
  <si>
    <t>RDFCE</t>
  </si>
  <si>
    <t>RDFCF</t>
  </si>
  <si>
    <t>UNSNAP</t>
  </si>
  <si>
    <t xml:space="preserve">Send UNSNAP command </t>
  </si>
  <si>
    <t>Cell Measurements with SM6</t>
  </si>
  <si>
    <t>CLRCELL</t>
  </si>
  <si>
    <t>Clear Cell Voltage Register Groups A to F</t>
  </si>
  <si>
    <t>Delay 2 ms</t>
  </si>
  <si>
    <t>-</t>
  </si>
  <si>
    <t>Wait 2ms. See 'SM_NOCLOCK_DET' section in Safety Manual</t>
  </si>
  <si>
    <t>Out-of-range Test</t>
  </si>
  <si>
    <t>RDCVA</t>
  </si>
  <si>
    <t>Verify Cell Voltage Register Group A are out-of-range low value (0x8000)</t>
  </si>
  <si>
    <t>In-range Test</t>
  </si>
  <si>
    <t>Verify Cell Voltage Register Group A are within the range. See 'SM_SNAP_CLEAR_UNSNAP_READ' section in Safety Manual</t>
  </si>
  <si>
    <t>Wait time if DATA is NOT ready yet</t>
  </si>
  <si>
    <t>Make sure at least 8ms from the last DATA read</t>
  </si>
  <si>
    <t>RD DATA2</t>
  </si>
  <si>
    <t>Cell Measurement with SM1 &amp; SM9</t>
  </si>
  <si>
    <t xml:space="preserve">Start Redundancy Measurement </t>
  </si>
  <si>
    <t>ADSV</t>
  </si>
  <si>
    <t>Trigger S-ADCs continuous mode with ADSV command DCP = 0 CONT = 1 OW = 00</t>
  </si>
  <si>
    <t>RD DATA3</t>
  </si>
  <si>
    <t>RD DATA4</t>
  </si>
  <si>
    <t>Redundant Measurement 16ms Delay</t>
  </si>
  <si>
    <t>Make sure at least 16ms from ADSV CONT = 1</t>
  </si>
  <si>
    <t>Start Even Channels Open Wire Detection</t>
  </si>
  <si>
    <t>Send ADSV command with DCP = 0 CONT = 0 OW = 01 for Even Channel Open Wire Detection</t>
  </si>
  <si>
    <t>S pin data for Even Ch OW baseline</t>
  </si>
  <si>
    <t>RDSVA</t>
  </si>
  <si>
    <t>Verify S Voltage Register Group A to F are within the range</t>
  </si>
  <si>
    <t>RDSVB</t>
  </si>
  <si>
    <t>RDSVC</t>
  </si>
  <si>
    <t>RDSVD</t>
  </si>
  <si>
    <t>RDSVE</t>
  </si>
  <si>
    <t>RDSVF</t>
  </si>
  <si>
    <t>Recommanded CLRSPIN after RDSVA-F</t>
  </si>
  <si>
    <t>CLRSPIN</t>
  </si>
  <si>
    <t>Clear S Register Groups A to F</t>
  </si>
  <si>
    <t>RD DATA5</t>
  </si>
  <si>
    <t>S pin data for Even Ch OW test and Odd Ch OW baseline</t>
  </si>
  <si>
    <t>Start Odd Channels Open Wire Detection</t>
  </si>
  <si>
    <t>Send ADSV command with DCP = 0 CONT = 0 OW = 10 for Odd Channel Open Wire Detection</t>
  </si>
  <si>
    <t>RD DATA6</t>
  </si>
  <si>
    <t>Send UNSNAP command, See "SM_CELL_OWD" section of safety manual for open wire algorithm calculations.</t>
  </si>
  <si>
    <t>RD DATA7</t>
  </si>
  <si>
    <t>S pin data for Odd Ch OW test</t>
  </si>
  <si>
    <t>RD DATA8</t>
  </si>
  <si>
    <t>Cell Measurement with AUX-ADC</t>
  </si>
  <si>
    <t>CLRAUX</t>
  </si>
  <si>
    <t>Clear Auxiliary Register Groups, STATA&amp;B</t>
  </si>
  <si>
    <t>ADAX</t>
  </si>
  <si>
    <t>Send ADAX command with CH[4:0]=b00000 for all GPIOs, LDO, VREF, DIE TEMP</t>
  </si>
  <si>
    <t>ADAX2</t>
  </si>
  <si>
    <t>Send ADAX2 command with CH[3:0]=b0000 for all GPIOs</t>
  </si>
  <si>
    <t>RD DATA9</t>
  </si>
  <si>
    <t>RDAUXA</t>
  </si>
  <si>
    <t>Verify Auxiliary Register Group A for NTCs within the valid temperature range</t>
  </si>
  <si>
    <t>RDAUXB</t>
  </si>
  <si>
    <t>Verify Auxiliary Register Group B for NTCs within the valid temperature range</t>
  </si>
  <si>
    <t>RDAUXC</t>
  </si>
  <si>
    <t>Verify Auxiliary Register Group C for NTCs within the valid temperature range</t>
  </si>
  <si>
    <t>RDAUXD</t>
  </si>
  <si>
    <t>Verify Auxiliary Register Group D for NTCs within the valid temperature range</t>
  </si>
  <si>
    <t>ADBMS6832 Only</t>
  </si>
  <si>
    <t>RDAUXE</t>
  </si>
  <si>
    <t>RDSTATB</t>
  </si>
  <si>
    <t>Verify Status Register Group B VD[15:0] for LDO3V and B VA[15:0] for LDO5 within the range (Safety manual "SM_Voltage Regulators_Meas" section)</t>
  </si>
  <si>
    <t>RD Conversion Counter to ensure DATA is ready</t>
  </si>
  <si>
    <t>RD DATA10</t>
  </si>
  <si>
    <t>RDSTATA</t>
  </si>
  <si>
    <t>SM18-SM20-</t>
  </si>
  <si>
    <t>Verify Status Register Group A ITMP[15:0] for Die Temp within the range (Safety manual "SM_DIE_TEMP_MON" section) and  VREF2[15:0] for VREF2 within the range (Safety manual "SM_VREF2_to_ADC_CH" section)</t>
  </si>
  <si>
    <t>RDRAXA</t>
  </si>
  <si>
    <t xml:space="preserve">Compare and Verify Redundant Auxiliary Register Group A for NTCs within the valid temperature range </t>
  </si>
  <si>
    <t>RDRAXB</t>
  </si>
  <si>
    <t>Compare and Verify Redundant Auxiliary Register Group B for NTCs within the valid temperature range</t>
  </si>
  <si>
    <t>RDRAXC</t>
  </si>
  <si>
    <t>Compare and Verify Redundant Auxiliary Register Group C for NTCs within the valid temperature range</t>
  </si>
  <si>
    <t>RDRAXD</t>
  </si>
  <si>
    <t>Compare and Verify Redundant Auxiliary Register Group D for NTCs within the valid temperature range</t>
  </si>
  <si>
    <t>Cell Measurements - Cycle 1</t>
  </si>
  <si>
    <t>SM6 - Initialization</t>
  </si>
  <si>
    <t>SM6 - 2.2ms Delay</t>
  </si>
  <si>
    <t>SM6 - Cell Value Out-of-Range Test</t>
  </si>
  <si>
    <t>The read expected value is out of range low value (0x8000)</t>
  </si>
  <si>
    <t>SM6 - Cell Value In-Range test</t>
  </si>
  <si>
    <t xml:space="preserve">Send RDCVA and read the Cell Voltage Register Group A to F The read expected value is a value within valid
measurement range </t>
  </si>
  <si>
    <t>Cycle 1 Margin</t>
  </si>
  <si>
    <t>Cell Measurements - Cycle 2</t>
  </si>
  <si>
    <t>Trigger AUX ADC &amp; Redundant AUX ADC</t>
  </si>
  <si>
    <t>SM1 - Trigger Cell Redundant Measuments</t>
  </si>
  <si>
    <t>Cycle 2 Margin</t>
  </si>
  <si>
    <t>Cell Measurements - Cycle 3</t>
  </si>
  <si>
    <t>Cycle 3 Margin</t>
  </si>
  <si>
    <t>Cell Measurements - Cycle 4</t>
  </si>
  <si>
    <t>SM9 - Trigger OW Even Ch &amp; Read Even Ch OW Baseline</t>
  </si>
  <si>
    <t>Cycle 4 Margin</t>
  </si>
  <si>
    <t>Cell Measurements - Cycle 5</t>
  </si>
  <si>
    <t>Cycle 5 Margin</t>
  </si>
  <si>
    <t>Cell Measurements - Cycle 6 &amp; SM9 - Trigger OW Odd Ch &amp; Read Odd Ch OW Baseline &amp; Even Ch OW Data</t>
  </si>
  <si>
    <t>Recommanded CLRSPIN prior to ADSV</t>
  </si>
  <si>
    <t>Cycle 6 Margin</t>
  </si>
  <si>
    <t>Cell Measurements - Cycle 7</t>
  </si>
  <si>
    <t>Cycle 7 Margin</t>
  </si>
  <si>
    <t>Cell Measurements - Cycle 8 &amp; SM9 -Read Odd Ch OW Data</t>
  </si>
  <si>
    <t>S pin data for Odd Ch open wire test</t>
  </si>
  <si>
    <t>Cycle 8 Margin</t>
  </si>
  <si>
    <t>Cell Measurements - Cycle 9 &amp; Read AUX &amp; Redundant AUX Data</t>
  </si>
  <si>
    <t>Cycle 9 Margin</t>
  </si>
  <si>
    <t>Cell Measurements - Cycle 10 &amp; Read STATUS A, B &amp; Read AUXE(ADBMS6832 Only)</t>
  </si>
  <si>
    <t>Verify Auxiliary Register Group E for NTCs within the valid temperature range</t>
  </si>
  <si>
    <t>Read/Clear Diagnostic Flags</t>
  </si>
  <si>
    <t>Read the diagnostic flag status &amp; Read the CvsS comparison status</t>
  </si>
  <si>
    <t>SM1-SM2-SM3-SM4-SM5-SM7-SM16-SM17-SM19-SM21-</t>
  </si>
  <si>
    <t>Read the UV OV bits</t>
  </si>
  <si>
    <t>RDSTATD</t>
  </si>
  <si>
    <t>CLOVUV</t>
  </si>
  <si>
    <t>LATENT FAULT DIAGNOSTICS START HERE</t>
  </si>
  <si>
    <t>Correct Command PEC</t>
  </si>
  <si>
    <t>MUTE</t>
  </si>
  <si>
    <t>Send MUTE command with Correct Command Packet Error Code (PEC) (15bits)</t>
  </si>
  <si>
    <t>Confirm Command Counter</t>
  </si>
  <si>
    <t>Confirm Comand Counter was incremented by last MUTE command</t>
  </si>
  <si>
    <t>Command PEC single bit flipped</t>
  </si>
  <si>
    <t>Send MUTE command with Inorrect Command PEC (15bits) with a single-bit of PEC flipped</t>
  </si>
  <si>
    <t>All 15 bits of Command PEC have been flipped</t>
  </si>
  <si>
    <t>Confirm Command Counter UNCHANGED</t>
  </si>
  <si>
    <t>Confirm Comand Counter was NOT incremented by last 15 MUTE commands</t>
  </si>
  <si>
    <t>Disable PWM discharge</t>
  </si>
  <si>
    <t>Send Mute command to disable PWM discharge</t>
  </si>
  <si>
    <t>Correct Data PEC</t>
  </si>
  <si>
    <t>WRPWMA</t>
  </si>
  <si>
    <t>Send WRPWMA command with random data and Correct Command (15bits) &amp; Data PEC (10bits)</t>
  </si>
  <si>
    <t>Confirm Comand Counter was incremented by last write command</t>
  </si>
  <si>
    <t>Data PEC single bit flipped</t>
  </si>
  <si>
    <r>
      <t xml:space="preserve">Send WRPWMA command with random data and Correct Command (15bits) &amp; </t>
    </r>
    <r>
      <rPr>
        <sz val="11"/>
        <color rgb="FFFF0000"/>
        <rFont val="Calibri"/>
        <family val="2"/>
        <scheme val="minor"/>
      </rPr>
      <t>Incorrect</t>
    </r>
    <r>
      <rPr>
        <sz val="11"/>
        <color theme="1"/>
        <rFont val="Calibri"/>
        <family val="2"/>
        <scheme val="minor"/>
      </rPr>
      <t xml:space="preserve"> Data PEC (10bits)</t>
    </r>
  </si>
  <si>
    <t>All 10 bits of Data PEC have been flipped</t>
  </si>
  <si>
    <t>Confirm Comand Counter was not incremented by last 10 WRPWMA commands</t>
  </si>
  <si>
    <t>Clear random data of the register</t>
  </si>
  <si>
    <t>Send WRPWMA command with random data or Clear the random data</t>
  </si>
  <si>
    <t>Allow PWM discharge</t>
  </si>
  <si>
    <t>UNMUTE</t>
  </si>
  <si>
    <t>Send Mute command to enable PWM discharge</t>
  </si>
  <si>
    <t>Send the CLRFLAG command to clear any fault flag bits that may exist</t>
  </si>
  <si>
    <t>FLAG_D[2]=1 and FLAG_D[3]=0 to trigger UV detection</t>
  </si>
  <si>
    <t>Send WRCFGA with FLAG_D[2] = 1, FLAG_D[3] = 0</t>
  </si>
  <si>
    <t>Update the UV status</t>
  </si>
  <si>
    <t>Run any ADC command to update the UV status registers.</t>
  </si>
  <si>
    <t>Post-ADC command delay</t>
  </si>
  <si>
    <t>2 ms delay to make sure at least one ADC is completed</t>
  </si>
  <si>
    <t>Confirm that the VA_UV and VD_UV are set to 1</t>
  </si>
  <si>
    <t>Check status registers group C and confirm VA_UV and VD_UV are set to 1</t>
  </si>
  <si>
    <t>FLAG_D[2]=1 and FLAG_D[3]=1 to trigger OV detection</t>
  </si>
  <si>
    <t>Send WRCFGA with FLAG_D[2] = 1, FLAG_D[3] = 1</t>
  </si>
  <si>
    <t>Update the OV status</t>
  </si>
  <si>
    <t>Run any ADC command to update the OV status registers.</t>
  </si>
  <si>
    <t>Confirm that the VA_OV, VD_OV and VDEL are set to 1</t>
  </si>
  <si>
    <t>Check status registers group C and confirm VA_OV, VD_OV and VDEL are set to 1</t>
  </si>
  <si>
    <t>Clear the FLAG_D[3:2] bits</t>
  </si>
  <si>
    <t>Send WRCFGA with FLAG_D[2] = 0, FLAG_D[3] = 0 to restore normal operation.</t>
  </si>
  <si>
    <t>Send the CLRFLAG command to clear all UV, OV and VDEL flags</t>
  </si>
  <si>
    <t>Confirm all OV, UV flags are cleared</t>
  </si>
  <si>
    <t>Check status registers group C and confirm that UV, OV and VDEL in STCR4 and STCR5 flags are cleared</t>
  </si>
  <si>
    <t>FLAG_D[0]=1 to force oscillator counter to run faster</t>
  </si>
  <si>
    <t>Send WRCFGA with FLAG_D[0] = 1  FLAG_D[1] = 0</t>
  </si>
  <si>
    <t>Update the OSCCHK status</t>
  </si>
  <si>
    <t>Confirm that the OSCCHK is set to 1</t>
  </si>
  <si>
    <t>Check status registers group C and confirm OSCCHK is set to 1</t>
  </si>
  <si>
    <t>Send WRCFGA with FLAG_D[0] = 0  FLAG_D[1] = 1</t>
  </si>
  <si>
    <t>Send the CLRFLAG command to clear the OSCCHK flag</t>
  </si>
  <si>
    <t>Clear the FLAG_D[1:0] bits</t>
  </si>
  <si>
    <t>Send WRCFGA with FLAG_D[0] = 0, FLAG_D[1] = 0 to restore normal operation.</t>
  </si>
  <si>
    <t>Confirm OSCCHK is cleared</t>
  </si>
  <si>
    <t>Check status registers group C and confirm that OSCCHK is cleared</t>
  </si>
  <si>
    <t>ERR = 1, Confirm that SPIFLT is set to 1</t>
  </si>
  <si>
    <t>Send RDSTATC command with ERR set to 1 and Check status registers group C and confirm SPIFLT is set to 1</t>
  </si>
  <si>
    <t>Send the CLRFLAG command to clear the SPIFLT flag</t>
  </si>
  <si>
    <t>Confirm SPIFLT is cleared</t>
  </si>
  <si>
    <t>Check status registers group C and confirm that SPIFLT is cleared</t>
  </si>
  <si>
    <t>FLAG_D[7]=1 to force the TMODCHK bit to be set to 1</t>
  </si>
  <si>
    <t>Send WRCFGA with FLAG_D[7] = 1</t>
  </si>
  <si>
    <t>Confirm that the TMODCHK is set to 1</t>
  </si>
  <si>
    <t>Check status registers group C and confirm that TMODCHK in STCR5 is set to 1</t>
  </si>
  <si>
    <t>Clear the FLAG_D[7] bit</t>
  </si>
  <si>
    <t>Send WRCFGA with FLAG_D[7] = 0 to restore normal operation.</t>
  </si>
  <si>
    <t>Send the CLRFLAG command to clear the TMODCHK flag</t>
  </si>
  <si>
    <t>Confirm TMODCHK is cleared</t>
  </si>
  <si>
    <t>Check status registers group C and confirm that TMODCHK is cleared.</t>
  </si>
  <si>
    <t>FLAG_D[4]=1 to force the THSD bit to be set to 1</t>
  </si>
  <si>
    <t>Send WRCFGA with FLAG_D[4] = 1</t>
  </si>
  <si>
    <t>Confirm that the THSD is set to 1</t>
  </si>
  <si>
    <t>Check status registers group C and confirm that THSD in STCR5 is set to 1</t>
  </si>
  <si>
    <t>Clear the FLAG_D[4] bit</t>
  </si>
  <si>
    <t>Send WRCFGA with FLAG_D[4] = 0 to restore normal operation.</t>
  </si>
  <si>
    <t>Send the CLRFLAG command to clear the THSD flag</t>
  </si>
  <si>
    <t>Confirm THSD is cleared</t>
  </si>
  <si>
    <t>Check status registers group C and confirm that THSD is cleared.</t>
  </si>
  <si>
    <t>RD = 1 CONT = 1 to update COMP flag</t>
  </si>
  <si>
    <t>Send ADCV command with RD = 1, CONT = 1</t>
  </si>
  <si>
    <t>Confirm that the COMP is set to 1</t>
  </si>
  <si>
    <t>Check status registers group C and confirm that CSxFLT, SPIFLT are set to 0 COMP is set to 1</t>
  </si>
  <si>
    <t>RD = 0 CONT = 0 to clear COMP flag</t>
  </si>
  <si>
    <t>Send ADCV command with RD = 0, CONT = 0</t>
  </si>
  <si>
    <t>Confirm COMP is cleared</t>
  </si>
  <si>
    <t>Check status registers group C and confirm that CSxFLT, SPIFLT are set to 0 COMP is set to 0</t>
  </si>
  <si>
    <t>20 ms delay to make sure all 18-ch results are completed</t>
  </si>
  <si>
    <t>Verify Status Register Group A results are vaild data rather than reset values</t>
  </si>
  <si>
    <t>Verify Status Register Group B results are vaild data rather than reset values</t>
  </si>
  <si>
    <t>Verify Status Register Group A results are reset values</t>
  </si>
  <si>
    <t>Verify Status Register Group B results are reset values</t>
  </si>
  <si>
    <t>FLAG_D[6]=1 FLAG_D[5]=1 to set CMED and SMED</t>
  </si>
  <si>
    <t>Set the FLAG_D[6:5] bits to 11 to induce a faulty condition into the ECC logic</t>
  </si>
  <si>
    <t>Confirm that the CMED and SMED bits are set to 1</t>
  </si>
  <si>
    <t>Clear the FLAG_D[46:5] bits</t>
  </si>
  <si>
    <t>Send WRCFGA to clear the FLAG_D[6:5] configuration bits to restore normal operation.</t>
  </si>
  <si>
    <t>Send a CLRFLAG command to clear the CMED and SMED bits</t>
  </si>
  <si>
    <t>Confirm that the CMED and SMED bits are cleared</t>
  </si>
  <si>
    <t>Read the Status Register Group C and confirm that CMED and SMED bits are cleared.</t>
  </si>
  <si>
    <t>execution time</t>
  </si>
  <si>
    <t>CMD</t>
  </si>
  <si>
    <t>CMD(bytes)</t>
  </si>
  <si>
    <t>data (bytes)</t>
  </si>
  <si>
    <t>data time(s)</t>
  </si>
  <si>
    <t>execution time(s)</t>
  </si>
  <si>
    <t>Total Time(s)</t>
  </si>
  <si>
    <t>Core State</t>
  </si>
  <si>
    <t>isoState</t>
  </si>
  <si>
    <t>Current</t>
  </si>
  <si>
    <t>Total Bytes</t>
  </si>
  <si>
    <t>Description</t>
  </si>
  <si>
    <t>OverheadPercentage Adjust
 (Data transmitted)</t>
  </si>
  <si>
    <t>Refon</t>
  </si>
  <si>
    <t>Isoact</t>
  </si>
  <si>
    <t xml:space="preserve">Write Configuration Register Group A </t>
  </si>
  <si>
    <t>WRCFGB</t>
  </si>
  <si>
    <t>Write Configuration Register Group B</t>
  </si>
  <si>
    <t>SPI Transaction Overhead time constant</t>
  </si>
  <si>
    <t xml:space="preserve">Read Configuration Register Group A </t>
  </si>
  <si>
    <t>RDCFGB</t>
  </si>
  <si>
    <t xml:space="preserve">Read Configuration Register Group B </t>
  </si>
  <si>
    <t xml:space="preserve">Read Cell Voltage Register Group A </t>
  </si>
  <si>
    <t>RDCVB</t>
  </si>
  <si>
    <t>Read Cell Voltage Register Group B</t>
  </si>
  <si>
    <t>RDCVC</t>
  </si>
  <si>
    <t>Read Cell Voltage Register Group C</t>
  </si>
  <si>
    <t>RDCVD</t>
  </si>
  <si>
    <t>Read Cell Voltage Register Group D</t>
  </si>
  <si>
    <t>RDCVE</t>
  </si>
  <si>
    <t>Read Cell Voltage Register Group E</t>
  </si>
  <si>
    <t>RDCVF</t>
  </si>
  <si>
    <t xml:space="preserve">Read Cell Voltage Register Group F </t>
  </si>
  <si>
    <t>RDCVALL</t>
  </si>
  <si>
    <t xml:space="preserve">Read All Cell Results </t>
  </si>
  <si>
    <t>RDACA</t>
  </si>
  <si>
    <t>Read Averaged Cell Voltage Register Group A</t>
  </si>
  <si>
    <t>RDACB</t>
  </si>
  <si>
    <t>Read Averaged Cell Voltage Register Group B</t>
  </si>
  <si>
    <t>RDACC</t>
  </si>
  <si>
    <t>Read Averaged Cell Voltage Register Group C</t>
  </si>
  <si>
    <t>RDACD</t>
  </si>
  <si>
    <t>Read Averaged Cell Voltage Register Group D</t>
  </si>
  <si>
    <t>RDACE</t>
  </si>
  <si>
    <t>Read Averaged Cell Voltage Register Group E</t>
  </si>
  <si>
    <t>RDACF</t>
  </si>
  <si>
    <t>Read Averaged Cell Voltage Register Group F</t>
  </si>
  <si>
    <t xml:space="preserve">State Currents </t>
  </si>
  <si>
    <t>7khz</t>
  </si>
  <si>
    <t>RDACALL</t>
  </si>
  <si>
    <t xml:space="preserve">Read All Avg Cell Results </t>
  </si>
  <si>
    <t xml:space="preserve">Sleep </t>
  </si>
  <si>
    <t>mcal value</t>
  </si>
  <si>
    <t xml:space="preserve">Read S Voltage Register Group A </t>
  </si>
  <si>
    <t>Standby</t>
  </si>
  <si>
    <t>OWRNG value</t>
  </si>
  <si>
    <t>Read S Voltage Register Group B</t>
  </si>
  <si>
    <t>OWC value</t>
  </si>
  <si>
    <t>Read S Voltage Register Group C</t>
  </si>
  <si>
    <t>Meas</t>
  </si>
  <si>
    <t>OWA value</t>
  </si>
  <si>
    <t xml:space="preserve">Read S Voltage Register Group D </t>
  </si>
  <si>
    <t>Isordy</t>
  </si>
  <si>
    <t>SOAKON</t>
  </si>
  <si>
    <t xml:space="preserve">Read S Voltage Register Group E </t>
  </si>
  <si>
    <t>Conversion times for ADOW command measuring</t>
  </si>
  <si>
    <t>(ADOW, CVOW and AXOW ALWAYS USES tSOAK)</t>
  </si>
  <si>
    <t xml:space="preserve">Read S Voltage Register Group F </t>
  </si>
  <si>
    <r>
      <t xml:space="preserve">CONVERSION TIMES (in </t>
    </r>
    <r>
      <rPr>
        <b/>
        <sz val="12"/>
        <color theme="1"/>
        <rFont val="Symbol"/>
        <family val="1"/>
        <charset val="2"/>
      </rPr>
      <t>m</t>
    </r>
    <r>
      <rPr>
        <b/>
        <sz val="12"/>
        <color theme="1"/>
        <rFont val="Arial"/>
        <family val="2"/>
      </rPr>
      <t>s)</t>
    </r>
  </si>
  <si>
    <t>The CVOW command operates on all cells. There is no option to operate on only 2 cells.</t>
  </si>
  <si>
    <t>RDSALL</t>
  </si>
  <si>
    <t xml:space="preserve">Read All S Results </t>
  </si>
  <si>
    <t>MODE</t>
  </si>
  <si>
    <r>
      <t>t</t>
    </r>
    <r>
      <rPr>
        <sz val="8"/>
        <color theme="1"/>
        <rFont val="Arial"/>
        <family val="2"/>
      </rPr>
      <t>1M</t>
    </r>
  </si>
  <si>
    <r>
      <t>t</t>
    </r>
    <r>
      <rPr>
        <sz val="8"/>
        <color theme="1"/>
        <rFont val="Arial"/>
        <family val="2"/>
      </rPr>
      <t>2M</t>
    </r>
  </si>
  <si>
    <r>
      <t>t5</t>
    </r>
    <r>
      <rPr>
        <sz val="8"/>
        <color theme="1"/>
        <rFont val="Arial"/>
        <family val="2"/>
      </rPr>
      <t>M</t>
    </r>
  </si>
  <si>
    <r>
      <t>t6</t>
    </r>
    <r>
      <rPr>
        <sz val="8"/>
        <color theme="1"/>
        <rFont val="Arial"/>
        <family val="2"/>
      </rPr>
      <t>M</t>
    </r>
  </si>
  <si>
    <r>
      <t>t</t>
    </r>
    <r>
      <rPr>
        <sz val="8"/>
        <color theme="1"/>
        <rFont val="Arial"/>
        <family val="2"/>
      </rPr>
      <t>C,MCAL=0</t>
    </r>
  </si>
  <si>
    <r>
      <t>t</t>
    </r>
    <r>
      <rPr>
        <sz val="8"/>
        <color theme="1"/>
        <rFont val="Arial"/>
        <family val="2"/>
      </rPr>
      <t>C,MCAL=1</t>
    </r>
  </si>
  <si>
    <t>RDCSALL</t>
  </si>
  <si>
    <t xml:space="preserve">Read all C &amp; S Results </t>
  </si>
  <si>
    <t>27kHz</t>
  </si>
  <si>
    <t>RDACSALL</t>
  </si>
  <si>
    <t>Read all Avg C &amp; S Results</t>
  </si>
  <si>
    <t>14kHz</t>
  </si>
  <si>
    <t xml:space="preserve">Read Filt. Cell Voltage Register Group A </t>
  </si>
  <si>
    <t>7kHz</t>
  </si>
  <si>
    <t xml:space="preserve">Read Filt. Cell Voltage Register Group B </t>
  </si>
  <si>
    <t>3kHz</t>
  </si>
  <si>
    <t xml:space="preserve">Read Filt. Cell Voltage Register Group C </t>
  </si>
  <si>
    <t>(CV cmds Soak Time)</t>
  </si>
  <si>
    <t>2kHz</t>
  </si>
  <si>
    <t xml:space="preserve">Read Filt. Cell Voltage Register Group D </t>
  </si>
  <si>
    <t>ADOW Conv time</t>
  </si>
  <si>
    <t>1kHz</t>
  </si>
  <si>
    <t xml:space="preserve">Read Filt. Cell Voltage Register Group E </t>
  </si>
  <si>
    <t>12 Cells</t>
  </si>
  <si>
    <t xml:space="preserve">Conversion Time ADOW </t>
  </si>
  <si>
    <t>422Hz</t>
  </si>
  <si>
    <t xml:space="preserve">Read Filt. Cell Voltage Register Group F </t>
  </si>
  <si>
    <t>26Hz</t>
  </si>
  <si>
    <t>RDFCALL</t>
  </si>
  <si>
    <t xml:space="preserve">Read All Filt. Cell Results </t>
  </si>
  <si>
    <t xml:space="preserve">Read Auxiliary Register Group A </t>
  </si>
  <si>
    <t>ADCV command measuring 2 cells</t>
  </si>
  <si>
    <t xml:space="preserve">Read Auxiliary Register Group B </t>
  </si>
  <si>
    <t>ADC Conv time</t>
  </si>
  <si>
    <r>
      <t xml:space="preserve">CONVERSION TIMES (ADCV 12 Cells) (in </t>
    </r>
    <r>
      <rPr>
        <b/>
        <sz val="12"/>
        <color theme="1"/>
        <rFont val="Symbol"/>
        <family val="1"/>
        <charset val="2"/>
      </rPr>
      <t>m</t>
    </r>
    <r>
      <rPr>
        <b/>
        <sz val="12"/>
        <color theme="1"/>
        <rFont val="Arial"/>
        <family val="2"/>
      </rPr>
      <t>s)</t>
    </r>
  </si>
  <si>
    <t xml:space="preserve">Read Auxiliary Register Group C </t>
  </si>
  <si>
    <t>2 Cells</t>
  </si>
  <si>
    <r>
      <t>t</t>
    </r>
    <r>
      <rPr>
        <sz val="8"/>
        <color theme="1"/>
        <rFont val="Arial"/>
        <family val="2"/>
      </rPr>
      <t>0</t>
    </r>
  </si>
  <si>
    <r>
      <t>t</t>
    </r>
    <r>
      <rPr>
        <sz val="8"/>
        <color theme="1"/>
        <rFont val="Arial"/>
        <family val="2"/>
      </rPr>
      <t>5M</t>
    </r>
  </si>
  <si>
    <r>
      <t>t</t>
    </r>
    <r>
      <rPr>
        <sz val="8"/>
        <color theme="1"/>
        <rFont val="Arial"/>
        <family val="2"/>
      </rPr>
      <t>6M</t>
    </r>
  </si>
  <si>
    <r>
      <t>t</t>
    </r>
    <r>
      <rPr>
        <sz val="8"/>
        <color theme="1"/>
        <rFont val="Arial"/>
        <family val="2"/>
      </rPr>
      <t>C</t>
    </r>
  </si>
  <si>
    <t xml:space="preserve">Read Auxiliary Register Group D </t>
  </si>
  <si>
    <t xml:space="preserve">Read Redundant Auxiliary Register Group A </t>
  </si>
  <si>
    <t xml:space="preserve">Read Redundant Auxiliary Register Group B </t>
  </si>
  <si>
    <t xml:space="preserve">Read Redundant Auxiliary Register Group C </t>
  </si>
  <si>
    <t xml:space="preserve">Read Redundant Auxiliary Register Group D </t>
  </si>
  <si>
    <t>Read Status Register Group A</t>
  </si>
  <si>
    <t>Read Status Register Group B</t>
  </si>
  <si>
    <t>Read Status Register Group C</t>
  </si>
  <si>
    <t>Read Status Register Group D</t>
  </si>
  <si>
    <t>RDSTATE</t>
  </si>
  <si>
    <t>Read Status Register Group E</t>
  </si>
  <si>
    <t>RDASALL</t>
  </si>
  <si>
    <t>Read All Aux/Status Registers</t>
  </si>
  <si>
    <t>Start Cell Voltage ADC Conver-sion and Poll Status</t>
  </si>
  <si>
    <t>ADLEAK command measuring 2 channels</t>
  </si>
  <si>
    <t>Start S-ADC Conversion and Poll Status</t>
  </si>
  <si>
    <t>ADLEAK Conv time</t>
  </si>
  <si>
    <r>
      <t xml:space="preserve">CONVERSION TIMES (in </t>
    </r>
    <r>
      <rPr>
        <b/>
        <sz val="12"/>
        <color theme="1"/>
        <rFont val="Symbol"/>
        <family val="1"/>
        <charset val="2"/>
      </rPr>
      <t>m</t>
    </r>
    <r>
      <rPr>
        <b/>
        <sz val="12"/>
        <color theme="1"/>
        <rFont val="Arial"/>
        <family val="2"/>
      </rPr>
      <t>s) ADLEAK 12 cells</t>
    </r>
  </si>
  <si>
    <t>Start AUX ADC Conversions and Poll Status</t>
  </si>
  <si>
    <t>CVOW</t>
  </si>
  <si>
    <r>
      <t>t</t>
    </r>
    <r>
      <rPr>
        <sz val="8"/>
        <color theme="1"/>
        <rFont val="Arial"/>
        <family val="2"/>
      </rPr>
      <t>12M</t>
    </r>
  </si>
  <si>
    <t>Start AUX2 ADC Conversions and Poll Status</t>
  </si>
  <si>
    <t>Clear Cell Voltage Register Groups</t>
  </si>
  <si>
    <t>CLRFC</t>
  </si>
  <si>
    <t>Clear Filtered Cell Voltage Register Groups</t>
  </si>
  <si>
    <t>Clear Auxiliary Register Groups</t>
  </si>
  <si>
    <t>Clear S-Voltage Register Groups</t>
  </si>
  <si>
    <t>Clear Flags</t>
  </si>
  <si>
    <t>Clear OVUV</t>
  </si>
  <si>
    <t>PLADC</t>
  </si>
  <si>
    <t>Poll any ADC and Authentica-tion Status</t>
  </si>
  <si>
    <t>PLCADC</t>
  </si>
  <si>
    <t>Poll C-ADC</t>
  </si>
  <si>
    <t>PLSADC</t>
  </si>
  <si>
    <t>Poll S-ADC</t>
  </si>
  <si>
    <t>PLAUX1</t>
  </si>
  <si>
    <t>Poll Aux1 ADC</t>
  </si>
  <si>
    <t>PLAUX2</t>
  </si>
  <si>
    <t>Poll Aux2 ADC</t>
  </si>
  <si>
    <t>ADSC command measuring 2 cells</t>
  </si>
  <si>
    <t>WRCOMM</t>
  </si>
  <si>
    <t>Write COMM Register Group</t>
  </si>
  <si>
    <t>ADSC Conv time</t>
  </si>
  <si>
    <t>RDCOMM</t>
  </si>
  <si>
    <t>Read COMM Register Group</t>
  </si>
  <si>
    <t>STCOMM</t>
  </si>
  <si>
    <t>Start I2C/SPI Communication</t>
  </si>
  <si>
    <t xml:space="preserve">Mute Discharge </t>
  </si>
  <si>
    <t xml:space="preserve">Unmute Discharge </t>
  </si>
  <si>
    <t>RDSID</t>
  </si>
  <si>
    <t xml:space="preserve">Read Serial ID Register Group </t>
  </si>
  <si>
    <t>STAUTH</t>
  </si>
  <si>
    <t xml:space="preserve">Start Authentication Calcula-tion </t>
  </si>
  <si>
    <t>RDAUTH</t>
  </si>
  <si>
    <t xml:space="preserve">Read Authentication Calcula-tion Result </t>
  </si>
  <si>
    <t>RSTCC</t>
  </si>
  <si>
    <t xml:space="preserve">Reset Command Counter </t>
  </si>
  <si>
    <t xml:space="preserve">Snapshot </t>
  </si>
  <si>
    <t xml:space="preserve">Release Snapshot </t>
  </si>
  <si>
    <t xml:space="preserve">Soft Reset </t>
  </si>
  <si>
    <t xml:space="preserve">Write PWM Register Gr. A </t>
  </si>
  <si>
    <t>Conversion and Synchronization times for ADCVSC command</t>
  </si>
  <si>
    <t>WRPWMB</t>
  </si>
  <si>
    <t>Write PWM Register Gr. B</t>
  </si>
  <si>
    <t>ADCVSC  Conv time</t>
  </si>
  <si>
    <t>RDPWMA</t>
  </si>
  <si>
    <t xml:space="preserve">Read PWM Register Gr. A </t>
  </si>
  <si>
    <r>
      <t>t</t>
    </r>
    <r>
      <rPr>
        <sz val="8"/>
        <color theme="1"/>
        <rFont val="Arial"/>
        <family val="2"/>
      </rPr>
      <t>3M</t>
    </r>
  </si>
  <si>
    <r>
      <t>t</t>
    </r>
    <r>
      <rPr>
        <sz val="8"/>
        <color theme="1"/>
        <rFont val="Arial"/>
        <family val="2"/>
      </rPr>
      <t>4M</t>
    </r>
  </si>
  <si>
    <r>
      <t>t</t>
    </r>
    <r>
      <rPr>
        <sz val="8"/>
        <color theme="1"/>
        <rFont val="Arial"/>
        <family val="2"/>
      </rPr>
      <t>7M</t>
    </r>
  </si>
  <si>
    <r>
      <t>t</t>
    </r>
    <r>
      <rPr>
        <sz val="8"/>
        <color theme="1"/>
        <rFont val="Arial"/>
        <family val="2"/>
      </rPr>
      <t>C,MCAL=1 or 0</t>
    </r>
  </si>
  <si>
    <t>RDPWMB</t>
  </si>
  <si>
    <t>Read PWM Register Gr. B</t>
  </si>
  <si>
    <t>Read Redundant Auxiliary Register Group E</t>
  </si>
  <si>
    <t>For ADBMS6832</t>
  </si>
  <si>
    <r>
      <t>ADAX command measuring S0, all GPIOs and 2</t>
    </r>
    <r>
      <rPr>
        <vertAlign val="superscript"/>
        <sz val="12"/>
        <color theme="1"/>
        <rFont val="Arial"/>
        <family val="2"/>
      </rPr>
      <t>nd</t>
    </r>
    <r>
      <rPr>
        <sz val="12"/>
        <color theme="1"/>
        <rFont val="Arial"/>
        <family val="2"/>
      </rPr>
      <t xml:space="preserve"> and 3</t>
    </r>
    <r>
      <rPr>
        <vertAlign val="superscript"/>
        <sz val="12"/>
        <color theme="1"/>
        <rFont val="Arial"/>
        <family val="2"/>
      </rPr>
      <t>rd</t>
    </r>
    <r>
      <rPr>
        <sz val="12"/>
        <color theme="1"/>
        <rFont val="Arial"/>
        <family val="2"/>
      </rPr>
      <t xml:space="preserve"> reference</t>
    </r>
  </si>
  <si>
    <t>ADAX  Conv time</t>
  </si>
  <si>
    <r>
      <t>t</t>
    </r>
    <r>
      <rPr>
        <vertAlign val="subscript"/>
        <sz val="12"/>
        <color theme="1"/>
        <rFont val="Arial"/>
        <family val="2"/>
      </rPr>
      <t>7M</t>
    </r>
  </si>
  <si>
    <r>
      <t>t</t>
    </r>
    <r>
      <rPr>
        <vertAlign val="subscript"/>
        <sz val="12"/>
        <color theme="1"/>
        <rFont val="Arial"/>
        <family val="2"/>
      </rPr>
      <t>8M</t>
    </r>
  </si>
  <si>
    <t>(Aux Soak Time)</t>
  </si>
  <si>
    <t>AXOW  Conv time</t>
  </si>
  <si>
    <t>Soak time is always enforced</t>
  </si>
  <si>
    <t>ADSTAT command measuring SOC, ITMP, VA, VD</t>
  </si>
  <si>
    <t>ADSTAT  Conv time</t>
  </si>
  <si>
    <r>
      <t>t</t>
    </r>
    <r>
      <rPr>
        <sz val="8"/>
        <color theme="1"/>
        <rFont val="Arial"/>
        <family val="2"/>
      </rPr>
      <t>SKEW</t>
    </r>
  </si>
  <si>
    <t>DIAGN Conv Time</t>
  </si>
  <si>
    <t>1. The DIAGN command takes 593us to run</t>
  </si>
  <si>
    <t>ADOL Command Measuring Cell 7 with both ADC1 and ADC2</t>
  </si>
  <si>
    <t>ADSC AND ADOL commands conv are the same</t>
  </si>
  <si>
    <t>ADCVAX command</t>
  </si>
  <si>
    <t>ADCVAX  Conv time</t>
  </si>
  <si>
    <r>
      <t>t</t>
    </r>
    <r>
      <rPr>
        <sz val="8"/>
        <color theme="1"/>
        <rFont val="Arial"/>
        <family val="2"/>
      </rPr>
      <t>8M</t>
    </r>
  </si>
  <si>
    <t>Name of SM</t>
  </si>
  <si>
    <t>Number of SM</t>
  </si>
  <si>
    <t>Addr. Failure Mode</t>
  </si>
  <si>
    <t>SM1</t>
  </si>
  <si>
    <t>SPF</t>
  </si>
  <si>
    <t>Covered</t>
  </si>
  <si>
    <t>SM2</t>
  </si>
  <si>
    <t>Not Covered Yet</t>
  </si>
  <si>
    <t>SM3</t>
  </si>
  <si>
    <t>Unknown</t>
  </si>
  <si>
    <t>SM4</t>
  </si>
  <si>
    <t>SM5</t>
  </si>
  <si>
    <t>SM6</t>
  </si>
  <si>
    <t>SM7</t>
  </si>
  <si>
    <t>SM8</t>
  </si>
  <si>
    <t>SM9</t>
  </si>
  <si>
    <t>SPF (application)</t>
  </si>
  <si>
    <t>SM12</t>
  </si>
  <si>
    <t>SM14</t>
  </si>
  <si>
    <t>SM15</t>
  </si>
  <si>
    <t>SM16</t>
  </si>
  <si>
    <t>SM17</t>
  </si>
  <si>
    <t>SM18</t>
  </si>
  <si>
    <t>SM19</t>
  </si>
  <si>
    <t>SM20</t>
  </si>
  <si>
    <t xml:space="preserve">LFM, SPF </t>
  </si>
  <si>
    <t>SM21</t>
  </si>
  <si>
    <t>SM_ SPI_PEC_DIAG</t>
  </si>
  <si>
    <t>SM22</t>
  </si>
  <si>
    <t>LF</t>
  </si>
  <si>
    <t>SM_POWER_MON_DIAG</t>
  </si>
  <si>
    <t>SM23</t>
  </si>
  <si>
    <t>SM_CLOCK_MON_DIAG</t>
  </si>
  <si>
    <t>SM24</t>
  </si>
  <si>
    <t>SM_SPI_RED_DIAG</t>
  </si>
  <si>
    <t>SM25</t>
  </si>
  <si>
    <t>SM_TMOD_IND_DIAG</t>
  </si>
  <si>
    <t>SM26</t>
  </si>
  <si>
    <t>SM_THSD_IND_DIAG</t>
  </si>
  <si>
    <t>SM27</t>
  </si>
  <si>
    <t>SM_VCELL_CMP_DIAG</t>
  </si>
  <si>
    <t>SM28</t>
  </si>
  <si>
    <t>SM_CELL_OWD_DIAG</t>
  </si>
  <si>
    <t>SM29</t>
  </si>
  <si>
    <t>SM_AUXREGS_DIAG</t>
  </si>
  <si>
    <t>SM30</t>
  </si>
  <si>
    <t>SM_NVM_ECC_DIAG</t>
  </si>
  <si>
    <t>SM31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</si>
</sst>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0.00E+0"/>
    <numFmt numFmtId="165" formatCode="0.0"/>
  </numFmts>
  <fonts count="54" x14ac:knownFonts="1">
    <font>
      <sz val="11"/>
      <color theme="1"/>
      <name val="Calibri"/>
      <family val="2"/>
      <scheme val="minor"/>
    </font>
    <font>
      <sz val="10"/>
      <color theme="1"/>
      <name val="Arial"/>
      <family val="2"/>
    </font>
    <font>
      <sz val="11"/>
      <color rgb="FFFF0000"/>
      <name val="Calibri"/>
      <family val="2"/>
      <scheme val="minor"/>
    </font>
    <font>
      <b/>
      <sz val="11"/>
      <color theme="1"/>
      <name val="Calibri"/>
      <family val="2"/>
      <scheme val="minor"/>
    </font>
    <font>
      <sz val="11"/>
      <name val="Calibri"/>
      <family val="2"/>
      <scheme val="minor"/>
    </font>
    <font>
      <u/>
      <sz val="11"/>
      <color theme="10"/>
      <name val="Calibri"/>
      <family val="2"/>
      <scheme val="minor"/>
    </font>
    <font>
      <sz val="11"/>
      <color theme="1"/>
      <name val="Arial"/>
      <family val="2"/>
    </font>
    <font>
      <sz val="11"/>
      <name val="Arial"/>
      <family val="2"/>
    </font>
    <font>
      <sz val="11"/>
      <color rgb="FF000000"/>
      <name val="Arial"/>
      <family val="2"/>
    </font>
    <font>
      <sz val="12"/>
      <color theme="1"/>
      <name val="Arial"/>
      <family val="2"/>
    </font>
    <font>
      <b/>
      <sz val="11"/>
      <color theme="1"/>
      <name val="Arial"/>
      <family val="2"/>
    </font>
    <font>
      <sz val="11"/>
      <color rgb="FF000000"/>
      <name val="Arial Narrow"/>
      <family val="2"/>
    </font>
    <font>
      <b/>
      <sz val="12"/>
      <color theme="1"/>
      <name val="Arial"/>
      <family val="2"/>
    </font>
    <font>
      <b/>
      <sz val="12"/>
      <color theme="1"/>
      <name val="Symbol"/>
      <family val="1"/>
      <charset val="2"/>
    </font>
    <font>
      <sz val="8"/>
      <color theme="1"/>
      <name val="Arial"/>
      <family val="2"/>
    </font>
    <font>
      <vertAlign val="superscript"/>
      <sz val="12"/>
      <color theme="1"/>
      <name val="Arial"/>
      <family val="2"/>
    </font>
    <font>
      <vertAlign val="subscript"/>
      <sz val="12"/>
      <color theme="1"/>
      <name val="Arial"/>
      <family val="2"/>
    </font>
    <font>
      <b/>
      <sz val="20"/>
      <color theme="1"/>
      <name val="Calibri"/>
      <family val="2"/>
      <scheme val="minor"/>
    </font>
    <font>
      <b/>
      <sz val="11"/>
      <color rgb="FFFF0000"/>
      <name val="Calibri"/>
      <family val="2"/>
      <scheme val="minor"/>
    </font>
    <font>
      <b/>
      <sz val="18"/>
      <color theme="1"/>
      <name val="Calibri"/>
      <family val="2"/>
      <scheme val="minor"/>
    </font>
    <font>
      <sz val="18"/>
      <color theme="1"/>
      <name val="Calibri"/>
      <family val="2"/>
      <scheme val="minor"/>
    </font>
    <font>
      <b/>
      <sz val="14"/>
      <color rgb="FF002060"/>
      <name val="Calibri"/>
      <family val="2"/>
      <scheme val="minor"/>
    </font>
    <font>
      <b/>
      <sz val="11"/>
      <color rgb="FF002060"/>
      <name val="Calibri"/>
      <family val="2"/>
      <scheme val="minor"/>
    </font>
    <font>
      <sz val="18"/>
      <name val="Arial"/>
      <family val="2"/>
    </font>
    <font>
      <sz val="10"/>
      <color theme="1"/>
      <name val="Calibri"/>
      <family val="2"/>
      <scheme val="minor"/>
    </font>
    <font>
      <sz val="20"/>
      <color theme="8" tint="-0.499984740745262"/>
      <name val="Arial"/>
      <family val="2"/>
    </font>
    <font>
      <b/>
      <sz val="12"/>
      <color theme="1"/>
      <name val="Calibri"/>
      <family val="2"/>
      <scheme val="minor"/>
    </font>
    <font>
      <sz val="12"/>
      <color theme="1"/>
      <name val="Calibri"/>
      <family val="2"/>
      <scheme val="minor"/>
    </font>
    <font>
      <sz val="11"/>
      <color theme="1"/>
      <name val="Calibri"/>
      <family val="2"/>
      <scheme val="minor"/>
    </font>
    <font>
      <b/>
      <sz val="36"/>
      <color rgb="FFC00000"/>
      <name val="Calibri"/>
      <family val="2"/>
      <scheme val="minor"/>
    </font>
    <font>
      <sz val="8"/>
      <name val="Calibri"/>
      <family val="2"/>
      <scheme val="minor"/>
    </font>
    <font>
      <b/>
      <sz val="9"/>
      <color theme="1"/>
      <name val="Arial"/>
      <family val="2"/>
    </font>
    <font>
      <sz val="11"/>
      <color rgb="FF00B0F0"/>
      <name val="Calibri"/>
      <family val="2"/>
      <scheme val="minor"/>
    </font>
    <font>
      <sz val="10"/>
      <name val="Arial"/>
      <family val="2"/>
    </font>
    <font>
      <sz val="11"/>
      <color rgb="FF00B050"/>
      <name val="Calibri"/>
      <family val="2"/>
      <scheme val="minor"/>
    </font>
    <font>
      <sz val="10"/>
      <color rgb="FF333333"/>
      <name val="Arial"/>
      <family val="2"/>
    </font>
    <font>
      <b/>
      <sz val="10"/>
      <color theme="1"/>
      <name val="Calibri"/>
      <family val="2"/>
      <scheme val="minor"/>
    </font>
    <font>
      <b/>
      <sz val="16"/>
      <color theme="1"/>
      <name val="Calibri"/>
      <family val="2"/>
      <scheme val="minor"/>
    </font>
    <font>
      <sz val="20"/>
      <name val="Arial"/>
      <family val="2"/>
    </font>
    <font>
      <b/>
      <sz val="20"/>
      <color theme="3"/>
      <name val="Arial"/>
      <family val="2"/>
    </font>
    <font>
      <b/>
      <sz val="11"/>
      <color theme="0"/>
      <name val="Calibri"/>
      <family val="2"/>
      <scheme val="minor"/>
    </font>
    <font>
      <sz val="24"/>
      <color theme="1"/>
      <name val="Calibri"/>
      <family val="2"/>
      <scheme val="minor"/>
    </font>
    <font>
      <b/>
      <sz val="18"/>
      <color rgb="FFFF0000"/>
      <name val="Arial"/>
      <family val="2"/>
    </font>
    <font>
      <b/>
      <sz val="11"/>
      <name val="Calibri"/>
      <family val="2"/>
      <scheme val="minor"/>
    </font>
    <font>
      <b/>
      <sz val="20"/>
      <name val="Calibri"/>
      <family val="2"/>
      <scheme val="minor"/>
    </font>
    <font>
      <sz val="20"/>
      <name val="Calibri"/>
      <family val="2"/>
      <scheme val="minor"/>
    </font>
    <font>
      <sz val="18"/>
      <color theme="2" tint="-0.749992370372631"/>
      <name val="Arial"/>
      <family val="2"/>
    </font>
    <font>
      <i/>
      <sz val="11"/>
      <color theme="1"/>
      <name val="Calibri"/>
      <family val="2"/>
      <scheme val="minor"/>
    </font>
    <font>
      <b/>
      <sz val="14"/>
      <color theme="1"/>
      <name val="Calibri"/>
      <family val="2"/>
      <scheme val="minor"/>
    </font>
    <font>
      <sz val="20"/>
      <color theme="0"/>
      <name val="Arial"/>
      <family val="2"/>
    </font>
    <font>
      <sz val="16"/>
      <color theme="0"/>
      <name val="Calibri"/>
      <family val="2"/>
      <scheme val="minor"/>
    </font>
    <font>
      <sz val="22"/>
      <color theme="2" tint="-0.749992370372631"/>
      <name val="Calibri"/>
      <family val="2"/>
      <scheme val="minor"/>
    </font>
    <font>
      <b/>
      <sz val="10"/>
      <color theme="0"/>
      <name val="Century GothiC "/>
    </font>
    <font>
      <b/>
      <sz val="10"/>
      <name val="Century GothiC "/>
    </font>
  </fonts>
  <fills count="16">
    <fill>
      <patternFill patternType="none"/>
    </fill>
    <fill>
      <patternFill patternType="gray125"/>
    </fill>
    <fill>
      <patternFill patternType="solid">
        <fgColor theme="4"/>
        <bgColor indexed="64"/>
      </patternFill>
    </fill>
    <fill>
      <patternFill patternType="solid">
        <fgColor rgb="FF92D050"/>
        <bgColor indexed="64"/>
      </patternFill>
    </fill>
    <fill>
      <patternFill patternType="solid">
        <fgColor theme="9" tint="0.39997558519241921"/>
        <bgColor indexed="64"/>
      </patternFill>
    </fill>
    <fill>
      <patternFill patternType="solid">
        <fgColor theme="4" tint="0.79998168889431442"/>
        <bgColor indexed="64"/>
      </patternFill>
    </fill>
    <fill>
      <patternFill patternType="solid">
        <fgColor theme="0" tint="-4.9989318521683403E-2"/>
        <bgColor indexed="64"/>
      </patternFill>
    </fill>
    <fill>
      <patternFill patternType="solid">
        <fgColor rgb="FFFFFF00"/>
        <bgColor indexed="64"/>
      </patternFill>
    </fill>
    <fill>
      <patternFill patternType="solid">
        <fgColor rgb="FF0070C0"/>
        <bgColor indexed="64"/>
      </patternFill>
    </fill>
    <fill>
      <patternFill patternType="solid">
        <fgColor theme="0"/>
        <bgColor indexed="64"/>
      </patternFill>
    </fill>
    <fill>
      <patternFill patternType="solid">
        <fgColor theme="7" tint="0.79998168889431442"/>
        <bgColor indexed="64"/>
      </patternFill>
    </fill>
    <fill>
      <patternFill patternType="solid">
        <fgColor theme="5" tint="0.79998168889431442"/>
        <bgColor indexed="64"/>
      </patternFill>
    </fill>
    <fill>
      <patternFill patternType="solid">
        <fgColor theme="0" tint="-0.14999847407452621"/>
        <bgColor indexed="64"/>
      </patternFill>
    </fill>
    <fill>
      <patternFill patternType="solid">
        <fgColor theme="2" tint="-9.9978637043366805E-2"/>
        <bgColor indexed="64"/>
      </patternFill>
    </fill>
    <fill>
      <patternFill patternType="solid">
        <fgColor theme="3" tint="-0.249977111117893"/>
        <bgColor indexed="64"/>
      </patternFill>
    </fill>
    <fill>
      <patternFill patternType="solid">
        <fgColor theme="2"/>
        <bgColor indexed="64"/>
      </patternFill>
    </fill>
  </fills>
  <borders count="44">
    <border>
      <left/>
      <right/>
      <top/>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auto="1"/>
      </left>
      <right/>
      <top style="thin">
        <color auto="1"/>
      </top>
      <bottom/>
      <diagonal/>
    </border>
    <border>
      <left style="thin">
        <color auto="1"/>
      </left>
      <right/>
      <top/>
      <bottom/>
      <diagonal/>
    </border>
    <border>
      <left/>
      <right style="thin">
        <color indexed="64"/>
      </right>
      <top style="thin">
        <color indexed="64"/>
      </top>
      <bottom/>
      <diagonal/>
    </border>
    <border>
      <left style="medium">
        <color indexed="64"/>
      </left>
      <right/>
      <top style="medium">
        <color indexed="64"/>
      </top>
      <bottom style="medium">
        <color indexed="64"/>
      </bottom>
      <diagonal/>
    </border>
    <border>
      <left style="thin">
        <color indexed="64"/>
      </left>
      <right style="thin">
        <color indexed="64"/>
      </right>
      <top style="thin">
        <color indexed="64"/>
      </top>
      <bottom/>
      <diagonal/>
    </border>
    <border>
      <left/>
      <right style="thin">
        <color indexed="64"/>
      </right>
      <top style="thin">
        <color indexed="64"/>
      </top>
      <bottom style="thin">
        <color indexed="64"/>
      </bottom>
      <diagonal/>
    </border>
    <border>
      <left/>
      <right/>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medium">
        <color indexed="64"/>
      </right>
      <top style="medium">
        <color indexed="64"/>
      </top>
      <bottom style="medium">
        <color indexed="64"/>
      </bottom>
      <diagonal/>
    </border>
    <border>
      <left style="hair">
        <color auto="1"/>
      </left>
      <right style="hair">
        <color auto="1"/>
      </right>
      <top style="hair">
        <color auto="1"/>
      </top>
      <bottom style="hair">
        <color auto="1"/>
      </bottom>
      <diagonal/>
    </border>
    <border>
      <left style="medium">
        <color indexed="64"/>
      </left>
      <right/>
      <top style="medium">
        <color indexed="64"/>
      </top>
      <bottom style="thin">
        <color indexed="64"/>
      </bottom>
      <diagonal/>
    </border>
    <border>
      <left/>
      <right style="thin">
        <color indexed="64"/>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auto="1"/>
      </top>
      <bottom/>
      <diagonal/>
    </border>
    <border>
      <left/>
      <right style="thin">
        <color indexed="64"/>
      </right>
      <top style="thin">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thin">
        <color theme="0" tint="-0.249977111117893"/>
      </left>
      <right style="thin">
        <color theme="0" tint="-0.249977111117893"/>
      </right>
      <top style="thin">
        <color theme="0" tint="-0.249977111117893"/>
      </top>
      <bottom style="thin">
        <color theme="0" tint="-0.249977111117893"/>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s>
  <cellStyleXfs count="3">
    <xf numFmtId="0" fontId="0" fillId="0" borderId="0"/>
    <xf numFmtId="0" fontId="5" fillId="0" borderId="0" applyNumberFormat="0" applyFill="0" applyBorder="0" applyAlignment="0" applyProtection="0"/>
    <xf numFmtId="9" fontId="28" fillId="0" borderId="0" applyFont="0" applyFill="0" applyBorder="0" applyAlignment="0" applyProtection="0"/>
  </cellStyleXfs>
  <cellXfs count="425">
    <xf numFmtId="0" fontId="0" fillId="0" borderId="0" xfId="0"/>
    <xf numFmtId="48" fontId="0" fillId="0" borderId="0" xfId="0" applyNumberFormat="1"/>
    <xf numFmtId="48" fontId="0" fillId="0" borderId="0" xfId="0" applyNumberFormat="1" applyFill="1" applyBorder="1"/>
    <xf numFmtId="48" fontId="0" fillId="0" borderId="0" xfId="0" applyNumberFormat="1" applyBorder="1"/>
    <xf numFmtId="48" fontId="3" fillId="6" borderId="1" xfId="0" applyNumberFormat="1" applyFont="1" applyFill="1" applyBorder="1" applyAlignment="1">
      <alignment horizontal="center" textRotation="90"/>
    </xf>
    <xf numFmtId="48" fontId="3" fillId="6" borderId="17" xfId="0" applyNumberFormat="1" applyFont="1" applyFill="1" applyBorder="1" applyAlignment="1">
      <alignment horizontal="center" vertical="center" textRotation="90"/>
    </xf>
    <xf numFmtId="48" fontId="3" fillId="8" borderId="17" xfId="0" applyNumberFormat="1" applyFont="1" applyFill="1" applyBorder="1" applyAlignment="1">
      <alignment horizontal="center" vertical="center" textRotation="90"/>
    </xf>
    <xf numFmtId="0" fontId="0" fillId="6" borderId="0" xfId="0" applyFont="1" applyFill="1" applyBorder="1" applyAlignment="1">
      <alignment horizontal="center" vertical="center"/>
    </xf>
    <xf numFmtId="48" fontId="0" fillId="0" borderId="0" xfId="0" applyNumberFormat="1" applyAlignment="1">
      <alignment wrapText="1"/>
    </xf>
    <xf numFmtId="0" fontId="7" fillId="0" borderId="0" xfId="0" applyFont="1" applyBorder="1" applyAlignment="1">
      <alignment horizontal="center" vertical="center"/>
    </xf>
    <xf numFmtId="0" fontId="7" fillId="0" borderId="0" xfId="0" applyFont="1" applyBorder="1" applyAlignment="1">
      <alignment horizontal="center"/>
    </xf>
    <xf numFmtId="0" fontId="7" fillId="0" borderId="0" xfId="0" applyFont="1" applyFill="1" applyBorder="1" applyAlignment="1">
      <alignment horizontal="center" vertical="center"/>
    </xf>
    <xf numFmtId="0" fontId="7" fillId="0" borderId="0" xfId="0" applyFont="1" applyFill="1" applyBorder="1" applyAlignment="1">
      <alignment horizontal="center"/>
    </xf>
    <xf numFmtId="0" fontId="6" fillId="0" borderId="0" xfId="0" applyFont="1" applyFill="1" applyBorder="1" applyAlignment="1">
      <alignment horizontal="center"/>
    </xf>
    <xf numFmtId="48" fontId="6" fillId="0" borderId="0" xfId="0" applyNumberFormat="1" applyFont="1" applyBorder="1" applyAlignment="1">
      <alignment horizontal="center"/>
    </xf>
    <xf numFmtId="0" fontId="8" fillId="0" borderId="0" xfId="0" applyFont="1" applyFill="1" applyBorder="1" applyAlignment="1">
      <alignment horizontal="center"/>
    </xf>
    <xf numFmtId="164" fontId="6" fillId="0" borderId="0" xfId="0" applyNumberFormat="1" applyFont="1" applyBorder="1"/>
    <xf numFmtId="11" fontId="7" fillId="0" borderId="0" xfId="0" applyNumberFormat="1" applyFont="1" applyFill="1" applyBorder="1" applyAlignment="1">
      <alignment horizontal="center" vertical="center"/>
    </xf>
    <xf numFmtId="164" fontId="8" fillId="0" borderId="0" xfId="0" applyNumberFormat="1" applyFont="1" applyFill="1" applyBorder="1" applyAlignment="1">
      <alignment horizontal="center"/>
    </xf>
    <xf numFmtId="164" fontId="7" fillId="0" borderId="0" xfId="0" applyNumberFormat="1" applyFont="1" applyFill="1" applyBorder="1" applyAlignment="1">
      <alignment horizontal="center"/>
    </xf>
    <xf numFmtId="164" fontId="6" fillId="0" borderId="0" xfId="0" applyNumberFormat="1" applyFont="1" applyBorder="1" applyAlignment="1">
      <alignment horizontal="center"/>
    </xf>
    <xf numFmtId="11" fontId="7" fillId="0" borderId="0" xfId="0" applyNumberFormat="1" applyFont="1" applyBorder="1" applyAlignment="1">
      <alignment horizontal="center" vertical="center"/>
    </xf>
    <xf numFmtId="0" fontId="6" fillId="0" borderId="0" xfId="0" applyFont="1"/>
    <xf numFmtId="0" fontId="7" fillId="0" borderId="0" xfId="0" applyFont="1" applyAlignment="1"/>
    <xf numFmtId="11" fontId="6" fillId="0" borderId="0" xfId="0" applyNumberFormat="1" applyFont="1"/>
    <xf numFmtId="0" fontId="6" fillId="0" borderId="0" xfId="0" applyFont="1" applyFill="1" applyAlignment="1"/>
    <xf numFmtId="11" fontId="7" fillId="0" borderId="0" xfId="0" applyNumberFormat="1" applyFont="1" applyFill="1"/>
    <xf numFmtId="11" fontId="7" fillId="0" borderId="0" xfId="0" applyNumberFormat="1" applyFont="1"/>
    <xf numFmtId="0" fontId="7" fillId="0" borderId="0" xfId="0" applyFont="1" applyFill="1" applyAlignment="1"/>
    <xf numFmtId="0" fontId="8" fillId="0" borderId="0" xfId="0" applyFont="1" applyFill="1" applyAlignment="1"/>
    <xf numFmtId="11" fontId="7" fillId="0" borderId="0" xfId="0" applyNumberFormat="1" applyFont="1" applyAlignment="1"/>
    <xf numFmtId="11" fontId="6" fillId="0" borderId="7" xfId="0" applyNumberFormat="1" applyFont="1" applyBorder="1"/>
    <xf numFmtId="0" fontId="9" fillId="0" borderId="0" xfId="0" applyFont="1"/>
    <xf numFmtId="0" fontId="10" fillId="0" borderId="11" xfId="0" applyFont="1" applyBorder="1" applyAlignment="1">
      <alignment horizontal="center" vertical="center" wrapText="1"/>
    </xf>
    <xf numFmtId="1" fontId="11" fillId="0" borderId="12" xfId="0" applyNumberFormat="1" applyFont="1" applyBorder="1" applyAlignment="1">
      <alignment horizontal="center" vertical="center" wrapText="1"/>
    </xf>
    <xf numFmtId="1" fontId="11" fillId="0" borderId="11" xfId="0" applyNumberFormat="1" applyFont="1" applyBorder="1" applyAlignment="1">
      <alignment horizontal="center" vertical="center" wrapText="1"/>
    </xf>
    <xf numFmtId="0" fontId="10" fillId="0" borderId="9" xfId="0" applyFont="1" applyBorder="1" applyAlignment="1">
      <alignment horizontal="center" vertical="center" wrapText="1"/>
    </xf>
    <xf numFmtId="1" fontId="11" fillId="0" borderId="10" xfId="0" applyNumberFormat="1" applyFont="1" applyBorder="1" applyAlignment="1">
      <alignment horizontal="center" vertical="center" wrapText="1"/>
    </xf>
    <xf numFmtId="1" fontId="11" fillId="0" borderId="9" xfId="0" applyNumberFormat="1" applyFont="1" applyBorder="1" applyAlignment="1">
      <alignment horizontal="center" vertical="center" wrapText="1"/>
    </xf>
    <xf numFmtId="0" fontId="6" fillId="0" borderId="3" xfId="0" applyFont="1" applyBorder="1"/>
    <xf numFmtId="48" fontId="6" fillId="0" borderId="4" xfId="0" applyNumberFormat="1" applyFont="1" applyBorder="1"/>
    <xf numFmtId="48" fontId="6" fillId="0" borderId="5" xfId="0" applyNumberFormat="1" applyFont="1" applyBorder="1"/>
    <xf numFmtId="0" fontId="6" fillId="0" borderId="6" xfId="0" applyFont="1" applyBorder="1"/>
    <xf numFmtId="0" fontId="6" fillId="0" borderId="8" xfId="0" applyFont="1" applyBorder="1" applyAlignment="1">
      <alignment horizontal="center" wrapText="1"/>
    </xf>
    <xf numFmtId="164" fontId="6" fillId="0" borderId="9" xfId="0" applyNumberFormat="1" applyFont="1" applyBorder="1"/>
    <xf numFmtId="48" fontId="6" fillId="0" borderId="9" xfId="0" applyNumberFormat="1" applyFont="1" applyBorder="1"/>
    <xf numFmtId="48" fontId="6" fillId="0" borderId="10" xfId="0" applyNumberFormat="1" applyFont="1" applyBorder="1"/>
    <xf numFmtId="0" fontId="12" fillId="0" borderId="10" xfId="0" applyFont="1" applyBorder="1" applyAlignment="1">
      <alignment horizontal="center" vertical="center" wrapText="1"/>
    </xf>
    <xf numFmtId="0" fontId="9" fillId="0" borderId="10" xfId="0" applyFont="1" applyBorder="1" applyAlignment="1">
      <alignment horizontal="center" vertical="center" wrapText="1"/>
    </xf>
    <xf numFmtId="0" fontId="9" fillId="0" borderId="9" xfId="0" applyFont="1" applyBorder="1" applyAlignment="1">
      <alignment horizontal="center" vertical="center" wrapText="1"/>
    </xf>
    <xf numFmtId="48" fontId="6" fillId="0" borderId="0" xfId="0" applyNumberFormat="1" applyFont="1"/>
    <xf numFmtId="0" fontId="10" fillId="0" borderId="10" xfId="0" applyFont="1" applyBorder="1" applyAlignment="1">
      <alignment horizontal="center" vertical="center" wrapText="1"/>
    </xf>
    <xf numFmtId="0" fontId="6" fillId="0" borderId="10" xfId="0" applyFont="1" applyBorder="1" applyAlignment="1">
      <alignment horizontal="center" vertical="center" wrapText="1"/>
    </xf>
    <xf numFmtId="0" fontId="11" fillId="0" borderId="10" xfId="0" applyFont="1" applyBorder="1" applyAlignment="1">
      <alignment horizontal="center" vertical="center" wrapText="1"/>
    </xf>
    <xf numFmtId="3" fontId="11" fillId="0" borderId="9" xfId="0" applyNumberFormat="1" applyFont="1" applyBorder="1" applyAlignment="1">
      <alignment horizontal="center" vertical="center" wrapText="1"/>
    </xf>
    <xf numFmtId="0" fontId="6" fillId="0" borderId="10" xfId="0" applyFont="1" applyBorder="1" applyAlignment="1">
      <alignment horizontal="right" vertical="center" wrapText="1"/>
    </xf>
    <xf numFmtId="0" fontId="11" fillId="0" borderId="10" xfId="0" applyFont="1" applyBorder="1" applyAlignment="1">
      <alignment horizontal="right" vertical="center" wrapText="1"/>
    </xf>
    <xf numFmtId="0" fontId="11" fillId="0" borderId="9" xfId="0" applyFont="1" applyBorder="1" applyAlignment="1">
      <alignment horizontal="right" vertical="center" wrapText="1"/>
    </xf>
    <xf numFmtId="3" fontId="11" fillId="0" borderId="10" xfId="0" applyNumberFormat="1" applyFont="1" applyBorder="1" applyAlignment="1">
      <alignment horizontal="center" vertical="center" wrapText="1"/>
    </xf>
    <xf numFmtId="3" fontId="11" fillId="0" borderId="9" xfId="0" applyNumberFormat="1" applyFont="1" applyBorder="1" applyAlignment="1">
      <alignment horizontal="right" vertical="center" wrapText="1"/>
    </xf>
    <xf numFmtId="3" fontId="11" fillId="0" borderId="10" xfId="0" applyNumberFormat="1" applyFont="1" applyBorder="1" applyAlignment="1">
      <alignment horizontal="right" vertical="center" wrapText="1"/>
    </xf>
    <xf numFmtId="0" fontId="11" fillId="0" borderId="9" xfId="0" applyFont="1" applyBorder="1" applyAlignment="1">
      <alignment horizontal="center" vertical="center" wrapText="1"/>
    </xf>
    <xf numFmtId="0" fontId="9" fillId="0" borderId="0" xfId="0" applyFont="1" applyAlignment="1">
      <alignment horizontal="justify" vertical="center" wrapText="1"/>
    </xf>
    <xf numFmtId="48" fontId="6" fillId="0" borderId="0" xfId="0" applyNumberFormat="1" applyFont="1" applyBorder="1"/>
    <xf numFmtId="48" fontId="6" fillId="0" borderId="7" xfId="0" applyNumberFormat="1" applyFont="1" applyBorder="1"/>
    <xf numFmtId="0" fontId="6" fillId="9" borderId="4" xfId="0" applyFont="1" applyFill="1" applyBorder="1"/>
    <xf numFmtId="0" fontId="6" fillId="0" borderId="8" xfId="0" applyFont="1" applyBorder="1"/>
    <xf numFmtId="0" fontId="6" fillId="0" borderId="9" xfId="0" applyFont="1" applyBorder="1"/>
    <xf numFmtId="0" fontId="6" fillId="0" borderId="10" xfId="0" applyFont="1" applyBorder="1"/>
    <xf numFmtId="2" fontId="7" fillId="0" borderId="0" xfId="0" applyNumberFormat="1" applyFont="1" applyFill="1" applyBorder="1" applyAlignment="1">
      <alignment horizontal="center" vertical="center"/>
    </xf>
    <xf numFmtId="0" fontId="6" fillId="0" borderId="0" xfId="0" applyFont="1" applyFill="1"/>
    <xf numFmtId="0" fontId="0" fillId="0" borderId="0" xfId="0" applyFill="1"/>
    <xf numFmtId="48" fontId="0" fillId="0" borderId="0" xfId="0" applyNumberFormat="1" applyBorder="1" applyAlignment="1">
      <alignment wrapText="1"/>
    </xf>
    <xf numFmtId="0" fontId="9" fillId="0" borderId="11" xfId="0" applyFont="1" applyBorder="1" applyAlignment="1">
      <alignment horizontal="center" vertical="center" wrapText="1"/>
    </xf>
    <xf numFmtId="3" fontId="0" fillId="0" borderId="0" xfId="0" applyNumberFormat="1"/>
    <xf numFmtId="1" fontId="0" fillId="0" borderId="0" xfId="0" applyNumberFormat="1"/>
    <xf numFmtId="48" fontId="21" fillId="0" borderId="0" xfId="0" applyNumberFormat="1" applyFont="1" applyAlignment="1">
      <alignment horizontal="center" vertical="center"/>
    </xf>
    <xf numFmtId="3" fontId="9" fillId="0" borderId="0" xfId="0" applyNumberFormat="1" applyFont="1" applyAlignment="1">
      <alignment horizontal="justify" vertical="center" wrapText="1"/>
    </xf>
    <xf numFmtId="48" fontId="26" fillId="0" borderId="0" xfId="0" applyNumberFormat="1" applyFont="1" applyAlignment="1">
      <alignment horizontal="center"/>
    </xf>
    <xf numFmtId="48" fontId="27" fillId="0" borderId="0" xfId="0" applyNumberFormat="1" applyFont="1"/>
    <xf numFmtId="48" fontId="26" fillId="0" borderId="0" xfId="0" applyNumberFormat="1" applyFont="1" applyAlignment="1">
      <alignment horizontal="center" vertical="center"/>
    </xf>
    <xf numFmtId="0" fontId="21" fillId="0" borderId="0" xfId="0" applyNumberFormat="1" applyFont="1" applyAlignment="1">
      <alignment horizontal="center" vertical="center"/>
    </xf>
    <xf numFmtId="0" fontId="0" fillId="0" borderId="0" xfId="0" applyNumberFormat="1"/>
    <xf numFmtId="0" fontId="0" fillId="0" borderId="0" xfId="0" applyFont="1" applyBorder="1" applyAlignment="1">
      <alignment vertical="center"/>
    </xf>
    <xf numFmtId="0" fontId="6" fillId="0" borderId="0" xfId="0" applyFont="1" applyAlignment="1">
      <alignment horizontal="center" vertical="center" wrapText="1"/>
    </xf>
    <xf numFmtId="48" fontId="0" fillId="0" borderId="6" xfId="0" applyNumberFormat="1" applyBorder="1" applyAlignment="1">
      <alignment wrapText="1"/>
    </xf>
    <xf numFmtId="0" fontId="6" fillId="0" borderId="0" xfId="0" applyFont="1" applyAlignment="1">
      <alignment wrapText="1"/>
    </xf>
    <xf numFmtId="0" fontId="7" fillId="0" borderId="0" xfId="0" applyFont="1" applyFill="1" applyBorder="1" applyAlignment="1">
      <alignment horizontal="center" vertical="center" wrapText="1"/>
    </xf>
    <xf numFmtId="0" fontId="6" fillId="0" borderId="0" xfId="0" applyFont="1" applyFill="1" applyAlignment="1">
      <alignment horizontal="center"/>
    </xf>
    <xf numFmtId="0" fontId="31" fillId="0" borderId="0" xfId="0" applyFont="1" applyBorder="1" applyAlignment="1">
      <alignment horizontal="justify" vertical="center" wrapText="1"/>
    </xf>
    <xf numFmtId="48" fontId="3" fillId="0" borderId="4" xfId="0" applyNumberFormat="1" applyFont="1" applyBorder="1" applyAlignment="1">
      <alignment wrapText="1"/>
    </xf>
    <xf numFmtId="0" fontId="6" fillId="0" borderId="0" xfId="0" applyFont="1" applyFill="1" applyBorder="1"/>
    <xf numFmtId="0" fontId="0" fillId="0" borderId="0" xfId="0" applyFill="1" applyBorder="1"/>
    <xf numFmtId="48" fontId="6" fillId="0" borderId="0" xfId="0" applyNumberFormat="1" applyFont="1" applyFill="1" applyBorder="1"/>
    <xf numFmtId="0" fontId="10" fillId="0" borderId="0" xfId="0" applyFont="1" applyFill="1" applyBorder="1" applyAlignment="1">
      <alignment horizontal="center" vertical="center" wrapText="1"/>
    </xf>
    <xf numFmtId="0" fontId="11" fillId="0" borderId="0" xfId="0" applyFont="1" applyFill="1" applyBorder="1" applyAlignment="1">
      <alignment horizontal="center" vertical="center" wrapText="1"/>
    </xf>
    <xf numFmtId="3" fontId="11" fillId="0" borderId="0" xfId="0" applyNumberFormat="1" applyFont="1" applyFill="1" applyBorder="1" applyAlignment="1">
      <alignment horizontal="center" vertical="center" wrapText="1"/>
    </xf>
    <xf numFmtId="3" fontId="0" fillId="0" borderId="0" xfId="0" applyNumberFormat="1" applyFill="1" applyBorder="1"/>
    <xf numFmtId="0" fontId="6" fillId="0" borderId="0" xfId="0" applyFont="1" applyFill="1" applyBorder="1" applyAlignment="1">
      <alignment horizontal="right" vertical="center" wrapText="1"/>
    </xf>
    <xf numFmtId="0" fontId="11" fillId="0" borderId="0" xfId="0" applyFont="1" applyFill="1" applyBorder="1" applyAlignment="1">
      <alignment horizontal="right" vertical="center" wrapText="1"/>
    </xf>
    <xf numFmtId="0" fontId="9" fillId="0" borderId="0" xfId="0" applyFont="1" applyFill="1" applyBorder="1" applyAlignment="1">
      <alignment horizontal="center" vertical="center" wrapText="1"/>
    </xf>
    <xf numFmtId="164" fontId="6" fillId="0" borderId="0" xfId="0" applyNumberFormat="1" applyFont="1" applyFill="1" applyBorder="1"/>
    <xf numFmtId="0" fontId="9" fillId="0" borderId="0" xfId="0" applyFont="1" applyFill="1" applyBorder="1"/>
    <xf numFmtId="3" fontId="11" fillId="0" borderId="0" xfId="0" applyNumberFormat="1" applyFont="1" applyFill="1" applyBorder="1" applyAlignment="1">
      <alignment horizontal="right" vertical="center" wrapText="1"/>
    </xf>
    <xf numFmtId="0" fontId="9" fillId="0" borderId="0" xfId="0" applyFont="1" applyFill="1" applyBorder="1" applyAlignment="1">
      <alignment horizontal="justify" vertical="center" wrapText="1"/>
    </xf>
    <xf numFmtId="0" fontId="7" fillId="0" borderId="3" xfId="0" applyFont="1" applyBorder="1"/>
    <xf numFmtId="0" fontId="7" fillId="0" borderId="5" xfId="0" applyFont="1" applyBorder="1"/>
    <xf numFmtId="48" fontId="6" fillId="5" borderId="0" xfId="0" applyNumberFormat="1" applyFont="1" applyFill="1"/>
    <xf numFmtId="0" fontId="7" fillId="0" borderId="6" xfId="0" applyFont="1" applyBorder="1"/>
    <xf numFmtId="0" fontId="7" fillId="0" borderId="7" xfId="0" applyFont="1" applyBorder="1"/>
    <xf numFmtId="0" fontId="6" fillId="5" borderId="0" xfId="0" applyFont="1" applyFill="1"/>
    <xf numFmtId="0" fontId="7" fillId="0" borderId="8" xfId="0" applyFont="1" applyBorder="1"/>
    <xf numFmtId="0" fontId="7" fillId="0" borderId="10" xfId="0" applyFont="1" applyBorder="1"/>
    <xf numFmtId="0" fontId="18" fillId="0" borderId="0" xfId="0" applyFont="1"/>
    <xf numFmtId="0" fontId="0" fillId="0" borderId="0" xfId="0" applyNumberFormat="1" applyFill="1" applyBorder="1"/>
    <xf numFmtId="0" fontId="0" fillId="0" borderId="0" xfId="0" applyFont="1" applyFill="1" applyBorder="1" applyAlignment="1">
      <alignment horizontal="justify" vertical="center" wrapText="1"/>
    </xf>
    <xf numFmtId="0" fontId="31" fillId="11" borderId="0" xfId="0" applyFont="1" applyFill="1" applyBorder="1" applyAlignment="1">
      <alignment horizontal="justify" vertical="center" wrapText="1"/>
    </xf>
    <xf numFmtId="48" fontId="3" fillId="0" borderId="27" xfId="0" applyNumberFormat="1" applyFont="1" applyBorder="1"/>
    <xf numFmtId="48" fontId="3" fillId="0" borderId="28" xfId="0" applyNumberFormat="1" applyFont="1" applyBorder="1"/>
    <xf numFmtId="48" fontId="3" fillId="0" borderId="29" xfId="0" applyNumberFormat="1" applyFont="1" applyBorder="1"/>
    <xf numFmtId="48" fontId="0" fillId="0" borderId="0" xfId="0" applyNumberFormat="1" applyFill="1" applyBorder="1" applyAlignment="1">
      <alignment horizontal="center" vertical="center" wrapText="1"/>
    </xf>
    <xf numFmtId="48" fontId="0" fillId="0" borderId="0" xfId="0" applyNumberFormat="1" applyFont="1" applyFill="1" applyBorder="1" applyAlignment="1">
      <alignment horizontal="center" vertical="center" wrapText="1"/>
    </xf>
    <xf numFmtId="48" fontId="3" fillId="0" borderId="4" xfId="0" applyNumberFormat="1" applyFont="1" applyFill="1" applyBorder="1" applyAlignment="1">
      <alignment horizontal="center" vertical="center" wrapText="1"/>
    </xf>
    <xf numFmtId="48" fontId="0" fillId="0" borderId="0" xfId="0" applyNumberFormat="1" applyFont="1" applyAlignment="1">
      <alignment wrapText="1"/>
    </xf>
    <xf numFmtId="48" fontId="2" fillId="0" borderId="0" xfId="0" applyNumberFormat="1" applyFont="1" applyAlignment="1">
      <alignment wrapText="1"/>
    </xf>
    <xf numFmtId="0" fontId="31" fillId="10" borderId="0" xfId="0" applyFont="1" applyFill="1" applyBorder="1" applyAlignment="1">
      <alignment horizontal="justify" vertical="center" wrapText="1"/>
    </xf>
    <xf numFmtId="48" fontId="2" fillId="0" borderId="0" xfId="0" applyNumberFormat="1" applyFont="1" applyFill="1" applyBorder="1" applyAlignment="1">
      <alignment wrapText="1"/>
    </xf>
    <xf numFmtId="48" fontId="0" fillId="0" borderId="0" xfId="0" applyNumberFormat="1" applyFill="1" applyBorder="1" applyAlignment="1">
      <alignment wrapText="1"/>
    </xf>
    <xf numFmtId="48" fontId="33" fillId="0" borderId="6" xfId="0" applyNumberFormat="1" applyFont="1" applyFill="1" applyBorder="1" applyAlignment="1">
      <alignment wrapText="1"/>
    </xf>
    <xf numFmtId="48" fontId="4" fillId="0" borderId="0" xfId="0" applyNumberFormat="1" applyFont="1" applyAlignment="1">
      <alignment wrapText="1"/>
    </xf>
    <xf numFmtId="48" fontId="4" fillId="0" borderId="6" xfId="0" applyNumberFormat="1" applyFont="1" applyFill="1" applyBorder="1" applyAlignment="1">
      <alignment wrapText="1"/>
    </xf>
    <xf numFmtId="48" fontId="3" fillId="0" borderId="3" xfId="0" applyNumberFormat="1" applyFont="1" applyFill="1" applyBorder="1" applyAlignment="1">
      <alignment horizontal="center" vertical="center" wrapText="1"/>
    </xf>
    <xf numFmtId="48" fontId="5" fillId="0" borderId="6" xfId="1" applyNumberFormat="1" applyFill="1" applyBorder="1" applyAlignment="1">
      <alignment horizontal="center" vertical="center" wrapText="1"/>
    </xf>
    <xf numFmtId="0" fontId="0" fillId="0" borderId="0" xfId="0" applyBorder="1" applyAlignment="1">
      <alignment wrapText="1"/>
    </xf>
    <xf numFmtId="48" fontId="0" fillId="0" borderId="0" xfId="0" applyNumberFormat="1" applyBorder="1" applyAlignment="1">
      <alignment horizontal="center" wrapText="1"/>
    </xf>
    <xf numFmtId="48" fontId="5" fillId="3" borderId="3" xfId="1" applyNumberFormat="1" applyFill="1" applyBorder="1" applyAlignment="1">
      <alignment wrapText="1"/>
    </xf>
    <xf numFmtId="48" fontId="0" fillId="0" borderId="6" xfId="0" applyNumberFormat="1" applyFont="1" applyBorder="1" applyAlignment="1">
      <alignment wrapText="1"/>
    </xf>
    <xf numFmtId="48" fontId="2" fillId="0" borderId="6" xfId="0" applyNumberFormat="1" applyFont="1" applyFill="1" applyBorder="1" applyAlignment="1">
      <alignment wrapText="1"/>
    </xf>
    <xf numFmtId="48" fontId="0" fillId="0" borderId="6" xfId="0" applyNumberFormat="1" applyFont="1" applyFill="1" applyBorder="1" applyAlignment="1">
      <alignment wrapText="1"/>
    </xf>
    <xf numFmtId="48" fontId="0" fillId="0" borderId="8" xfId="0" applyNumberFormat="1" applyBorder="1" applyAlignment="1">
      <alignment wrapText="1"/>
    </xf>
    <xf numFmtId="48" fontId="0" fillId="0" borderId="6" xfId="0" applyNumberFormat="1" applyFill="1" applyBorder="1" applyAlignment="1">
      <alignment wrapText="1"/>
    </xf>
    <xf numFmtId="48" fontId="0" fillId="0" borderId="8" xfId="0" applyNumberFormat="1" applyFill="1" applyBorder="1" applyAlignment="1">
      <alignment wrapText="1"/>
    </xf>
    <xf numFmtId="48" fontId="32" fillId="0" borderId="6" xfId="0" applyNumberFormat="1" applyFont="1" applyFill="1" applyBorder="1" applyAlignment="1">
      <alignment wrapText="1"/>
    </xf>
    <xf numFmtId="48" fontId="1" fillId="0" borderId="6" xfId="0" applyNumberFormat="1" applyFont="1" applyFill="1" applyBorder="1" applyAlignment="1">
      <alignment wrapText="1"/>
    </xf>
    <xf numFmtId="48" fontId="1" fillId="0" borderId="6" xfId="0" applyNumberFormat="1" applyFont="1" applyBorder="1" applyAlignment="1">
      <alignment wrapText="1"/>
    </xf>
    <xf numFmtId="48" fontId="0" fillId="0" borderId="0" xfId="0" applyNumberFormat="1" applyFill="1" applyAlignment="1">
      <alignment wrapText="1"/>
    </xf>
    <xf numFmtId="48" fontId="0" fillId="0" borderId="0" xfId="0" applyNumberFormat="1" applyAlignment="1">
      <alignment horizontal="left" wrapText="1"/>
    </xf>
    <xf numFmtId="48" fontId="0" fillId="0" borderId="13" xfId="0" applyNumberFormat="1" applyBorder="1" applyAlignment="1">
      <alignment wrapText="1"/>
    </xf>
    <xf numFmtId="0" fontId="0" fillId="0" borderId="14" xfId="0" applyNumberFormat="1" applyFill="1" applyBorder="1" applyAlignment="1">
      <alignment horizontal="center" vertical="center" wrapText="1"/>
    </xf>
    <xf numFmtId="164" fontId="0" fillId="0" borderId="0" xfId="0" applyNumberFormat="1" applyFill="1" applyBorder="1" applyAlignment="1">
      <alignment horizontal="center" vertical="center" wrapText="1"/>
    </xf>
    <xf numFmtId="48" fontId="0" fillId="0" borderId="9" xfId="0" applyNumberFormat="1" applyBorder="1" applyAlignment="1">
      <alignment wrapText="1"/>
    </xf>
    <xf numFmtId="164" fontId="0" fillId="0" borderId="9" xfId="0" applyNumberFormat="1" applyBorder="1" applyAlignment="1">
      <alignment wrapText="1"/>
    </xf>
    <xf numFmtId="48" fontId="0" fillId="0" borderId="0" xfId="0" applyNumberFormat="1" applyFill="1" applyBorder="1" applyAlignment="1">
      <alignment horizontal="center" wrapText="1"/>
    </xf>
    <xf numFmtId="48" fontId="5" fillId="0" borderId="4" xfId="1" applyNumberFormat="1" applyFill="1" applyBorder="1" applyAlignment="1">
      <alignment wrapText="1"/>
    </xf>
    <xf numFmtId="48" fontId="0" fillId="0" borderId="4" xfId="0" applyNumberFormat="1" applyBorder="1" applyAlignment="1">
      <alignment wrapText="1"/>
    </xf>
    <xf numFmtId="48" fontId="0" fillId="0" borderId="5" xfId="0" applyNumberFormat="1" applyBorder="1" applyAlignment="1">
      <alignment wrapText="1"/>
    </xf>
    <xf numFmtId="48" fontId="0" fillId="0" borderId="7" xfId="0" applyNumberFormat="1" applyBorder="1" applyAlignment="1">
      <alignment wrapText="1"/>
    </xf>
    <xf numFmtId="164" fontId="0" fillId="0" borderId="0" xfId="0" applyNumberFormat="1" applyBorder="1" applyAlignment="1">
      <alignment wrapText="1"/>
    </xf>
    <xf numFmtId="164" fontId="0" fillId="0" borderId="7" xfId="0" applyNumberFormat="1" applyBorder="1" applyAlignment="1">
      <alignment wrapText="1"/>
    </xf>
    <xf numFmtId="164" fontId="0" fillId="0" borderId="0" xfId="0" applyNumberFormat="1" applyAlignment="1">
      <alignment wrapText="1"/>
    </xf>
    <xf numFmtId="48" fontId="0" fillId="0" borderId="0" xfId="0" applyNumberFormat="1" applyFont="1" applyBorder="1" applyAlignment="1">
      <alignment wrapText="1"/>
    </xf>
    <xf numFmtId="164" fontId="0" fillId="0" borderId="0" xfId="0" applyNumberFormat="1" applyFont="1" applyBorder="1" applyAlignment="1">
      <alignment wrapText="1"/>
    </xf>
    <xf numFmtId="164" fontId="0" fillId="0" borderId="7" xfId="0" applyNumberFormat="1" applyFont="1" applyBorder="1" applyAlignment="1">
      <alignment wrapText="1"/>
    </xf>
    <xf numFmtId="164" fontId="0" fillId="0" borderId="0" xfId="0" applyNumberFormat="1" applyFont="1" applyAlignment="1">
      <alignment wrapText="1"/>
    </xf>
    <xf numFmtId="48" fontId="0" fillId="0" borderId="9" xfId="0" applyNumberFormat="1" applyFill="1" applyBorder="1" applyAlignment="1">
      <alignment wrapText="1"/>
    </xf>
    <xf numFmtId="164" fontId="0" fillId="0" borderId="9" xfId="0" applyNumberFormat="1" applyFill="1" applyBorder="1" applyAlignment="1">
      <alignment wrapText="1"/>
    </xf>
    <xf numFmtId="164" fontId="0" fillId="0" borderId="10" xfId="0" applyNumberFormat="1" applyBorder="1" applyAlignment="1">
      <alignment wrapText="1"/>
    </xf>
    <xf numFmtId="48" fontId="4" fillId="0" borderId="0" xfId="0" applyNumberFormat="1" applyFont="1" applyBorder="1" applyAlignment="1">
      <alignment wrapText="1"/>
    </xf>
    <xf numFmtId="0" fontId="4" fillId="0" borderId="0" xfId="0" applyFont="1" applyBorder="1" applyAlignment="1">
      <alignment wrapText="1"/>
    </xf>
    <xf numFmtId="48" fontId="4" fillId="0" borderId="0" xfId="0" applyNumberFormat="1" applyFont="1" applyFill="1" applyBorder="1" applyAlignment="1">
      <alignment wrapText="1"/>
    </xf>
    <xf numFmtId="164" fontId="4" fillId="0" borderId="7" xfId="0" applyNumberFormat="1" applyFont="1" applyBorder="1" applyAlignment="1">
      <alignment wrapText="1"/>
    </xf>
    <xf numFmtId="164" fontId="4" fillId="0" borderId="0" xfId="0" applyNumberFormat="1" applyFont="1" applyAlignment="1">
      <alignment wrapText="1"/>
    </xf>
    <xf numFmtId="48" fontId="0" fillId="0" borderId="10" xfId="0" applyNumberFormat="1" applyBorder="1" applyAlignment="1">
      <alignment wrapText="1"/>
    </xf>
    <xf numFmtId="9" fontId="0" fillId="0" borderId="0" xfId="2" applyFont="1" applyAlignment="1">
      <alignment wrapText="1"/>
    </xf>
    <xf numFmtId="48" fontId="4" fillId="0" borderId="7" xfId="0" applyNumberFormat="1" applyFont="1" applyFill="1" applyBorder="1" applyAlignment="1">
      <alignment wrapText="1"/>
    </xf>
    <xf numFmtId="48" fontId="2" fillId="0" borderId="0" xfId="0" applyNumberFormat="1" applyFont="1" applyBorder="1" applyAlignment="1">
      <alignment wrapText="1"/>
    </xf>
    <xf numFmtId="48" fontId="0" fillId="0" borderId="4" xfId="0" applyNumberFormat="1" applyFill="1" applyBorder="1" applyAlignment="1">
      <alignment wrapText="1"/>
    </xf>
    <xf numFmtId="48" fontId="0" fillId="0" borderId="9" xfId="0" applyNumberFormat="1" applyBorder="1" applyAlignment="1">
      <alignment horizontal="center" vertical="center" wrapText="1"/>
    </xf>
    <xf numFmtId="48" fontId="3" fillId="0" borderId="5" xfId="0" applyNumberFormat="1" applyFont="1" applyFill="1" applyBorder="1" applyAlignment="1">
      <alignment horizontal="center" vertical="center" wrapText="1"/>
    </xf>
    <xf numFmtId="164" fontId="0" fillId="0" borderId="7" xfId="0" applyNumberFormat="1" applyFill="1" applyBorder="1" applyAlignment="1">
      <alignment horizontal="center" vertical="center" wrapText="1"/>
    </xf>
    <xf numFmtId="48" fontId="17" fillId="0" borderId="0" xfId="0" applyNumberFormat="1" applyFont="1" applyBorder="1" applyAlignment="1">
      <alignment horizontal="left" wrapText="1"/>
    </xf>
    <xf numFmtId="0" fontId="0" fillId="0" borderId="0" xfId="0" applyFill="1" applyBorder="1" applyAlignment="1">
      <alignment horizontal="center" vertical="center" wrapText="1"/>
    </xf>
    <xf numFmtId="48" fontId="0" fillId="0" borderId="0" xfId="0" applyNumberFormat="1" applyBorder="1" applyAlignment="1">
      <alignment horizontal="center" vertical="center" wrapText="1"/>
    </xf>
    <xf numFmtId="48" fontId="0" fillId="0" borderId="7" xfId="0" applyNumberFormat="1" applyBorder="1" applyAlignment="1">
      <alignment horizontal="center" vertical="center" wrapText="1"/>
    </xf>
    <xf numFmtId="48" fontId="5" fillId="0" borderId="8" xfId="1" applyNumberFormat="1" applyBorder="1" applyAlignment="1">
      <alignment horizontal="center" wrapText="1"/>
    </xf>
    <xf numFmtId="48" fontId="0" fillId="0" borderId="10" xfId="0" applyNumberFormat="1" applyBorder="1" applyAlignment="1">
      <alignment horizontal="center" vertical="center" wrapText="1"/>
    </xf>
    <xf numFmtId="0" fontId="0" fillId="0" borderId="9" xfId="0" applyFill="1" applyBorder="1" applyAlignment="1">
      <alignment horizontal="center" vertical="center" wrapText="1"/>
    </xf>
    <xf numFmtId="0" fontId="2" fillId="0" borderId="0" xfId="0" applyFont="1" applyBorder="1" applyAlignment="1">
      <alignment wrapText="1"/>
    </xf>
    <xf numFmtId="164" fontId="2" fillId="0" borderId="0" xfId="0" applyNumberFormat="1" applyFont="1" applyBorder="1" applyAlignment="1">
      <alignment wrapText="1"/>
    </xf>
    <xf numFmtId="164" fontId="2" fillId="0" borderId="7" xfId="0" applyNumberFormat="1" applyFont="1" applyBorder="1" applyAlignment="1">
      <alignment wrapText="1"/>
    </xf>
    <xf numFmtId="164" fontId="2" fillId="0" borderId="0" xfId="0" applyNumberFormat="1" applyFont="1" applyAlignment="1">
      <alignment wrapText="1"/>
    </xf>
    <xf numFmtId="0" fontId="25" fillId="0" borderId="0" xfId="0" applyNumberFormat="1" applyFont="1" applyFill="1" applyBorder="1" applyAlignment="1">
      <alignment horizontal="center" vertical="center" wrapText="1"/>
    </xf>
    <xf numFmtId="48" fontId="19" fillId="0" borderId="0" xfId="0" applyNumberFormat="1" applyFont="1" applyFill="1" applyBorder="1" applyAlignment="1">
      <alignment horizontal="center" vertical="center" wrapText="1"/>
    </xf>
    <xf numFmtId="48" fontId="25" fillId="0" borderId="0" xfId="0" applyNumberFormat="1" applyFont="1" applyFill="1" applyBorder="1" applyAlignment="1">
      <alignment horizontal="center" vertical="center" wrapText="1"/>
    </xf>
    <xf numFmtId="48" fontId="24" fillId="0" borderId="0" xfId="0" applyNumberFormat="1" applyFont="1" applyFill="1" applyBorder="1" applyAlignment="1">
      <alignment horizontal="center" vertical="center" wrapText="1"/>
    </xf>
    <xf numFmtId="48" fontId="25" fillId="0" borderId="30" xfId="0" applyNumberFormat="1" applyFont="1" applyFill="1" applyBorder="1" applyAlignment="1">
      <alignment horizontal="center" vertical="center"/>
    </xf>
    <xf numFmtId="48" fontId="3" fillId="0" borderId="0" xfId="0" applyNumberFormat="1" applyFont="1" applyFill="1" applyBorder="1" applyAlignment="1">
      <alignment horizontal="center" vertical="center" wrapText="1"/>
    </xf>
    <xf numFmtId="48" fontId="0" fillId="0" borderId="0" xfId="0" applyNumberFormat="1" applyFill="1" applyBorder="1" applyAlignment="1">
      <alignment vertical="center" wrapText="1"/>
    </xf>
    <xf numFmtId="48" fontId="3" fillId="6" borderId="1" xfId="0" applyNumberFormat="1" applyFont="1" applyFill="1" applyBorder="1" applyAlignment="1">
      <alignment horizontal="center" vertical="center" textRotation="90"/>
    </xf>
    <xf numFmtId="48" fontId="0" fillId="0" borderId="0" xfId="0" applyNumberFormat="1" applyAlignment="1">
      <alignment vertical="center"/>
    </xf>
    <xf numFmtId="48" fontId="23" fillId="0" borderId="0" xfId="0" applyNumberFormat="1" applyFont="1" applyFill="1" applyBorder="1" applyAlignment="1">
      <alignment horizontal="right" vertical="center" wrapText="1"/>
    </xf>
    <xf numFmtId="0" fontId="3" fillId="6" borderId="17" xfId="0" applyFont="1" applyFill="1" applyBorder="1" applyAlignment="1">
      <alignment vertical="center" textRotation="90"/>
    </xf>
    <xf numFmtId="48" fontId="20" fillId="0" borderId="0" xfId="0" applyNumberFormat="1" applyFont="1" applyFill="1" applyBorder="1" applyAlignment="1">
      <alignment vertical="center" wrapText="1"/>
    </xf>
    <xf numFmtId="48" fontId="24" fillId="0" borderId="0" xfId="0" applyNumberFormat="1" applyFont="1" applyFill="1" applyBorder="1" applyAlignment="1">
      <alignment vertical="center" wrapText="1"/>
    </xf>
    <xf numFmtId="48" fontId="0" fillId="0" borderId="0" xfId="0" applyNumberFormat="1" applyBorder="1" applyAlignment="1">
      <alignment vertical="center"/>
    </xf>
    <xf numFmtId="48" fontId="23" fillId="0" borderId="16" xfId="0" applyNumberFormat="1" applyFont="1" applyFill="1" applyBorder="1" applyAlignment="1">
      <alignment horizontal="right" vertical="center"/>
    </xf>
    <xf numFmtId="48" fontId="0" fillId="0" borderId="9" xfId="0" applyNumberFormat="1" applyBorder="1" applyAlignment="1">
      <alignment vertical="center"/>
    </xf>
    <xf numFmtId="48" fontId="0" fillId="0" borderId="6" xfId="0" applyNumberFormat="1" applyFill="1" applyBorder="1" applyAlignment="1">
      <alignment vertical="center"/>
    </xf>
    <xf numFmtId="48" fontId="0" fillId="0" borderId="6" xfId="0" applyNumberFormat="1" applyBorder="1" applyAlignment="1">
      <alignment vertical="center"/>
    </xf>
    <xf numFmtId="48" fontId="0" fillId="0" borderId="8" xfId="0" applyNumberFormat="1" applyBorder="1" applyAlignment="1">
      <alignment vertical="center"/>
    </xf>
    <xf numFmtId="48" fontId="0" fillId="0" borderId="10" xfId="0" applyNumberFormat="1" applyBorder="1" applyAlignment="1">
      <alignment vertical="center"/>
    </xf>
    <xf numFmtId="48" fontId="26" fillId="0" borderId="0" xfId="0" applyNumberFormat="1" applyFont="1" applyAlignment="1">
      <alignment horizontal="center" vertical="center" wrapText="1"/>
    </xf>
    <xf numFmtId="0" fontId="0" fillId="0" borderId="0" xfId="0" applyFont="1" applyFill="1" applyBorder="1" applyAlignment="1">
      <alignment horizontal="center" vertical="center"/>
    </xf>
    <xf numFmtId="0" fontId="3" fillId="6" borderId="15" xfId="0" applyFont="1" applyFill="1" applyBorder="1" applyAlignment="1">
      <alignment vertical="center" textRotation="90"/>
    </xf>
    <xf numFmtId="0" fontId="3" fillId="6" borderId="1" xfId="0" applyFont="1" applyFill="1" applyBorder="1" applyAlignment="1">
      <alignment horizontal="center" vertical="center" textRotation="90"/>
    </xf>
    <xf numFmtId="0" fontId="3" fillId="6" borderId="18" xfId="0" applyFont="1" applyFill="1" applyBorder="1" applyAlignment="1">
      <alignment horizontal="center" vertical="center" textRotation="90"/>
    </xf>
    <xf numFmtId="48" fontId="5" fillId="0" borderId="8" xfId="1" applyNumberFormat="1" applyFill="1" applyBorder="1" applyAlignment="1">
      <alignment horizontal="center" vertical="center" wrapText="1"/>
    </xf>
    <xf numFmtId="164" fontId="0" fillId="0" borderId="9" xfId="0" applyNumberFormat="1" applyFill="1" applyBorder="1" applyAlignment="1">
      <alignment horizontal="center" vertical="center" wrapText="1"/>
    </xf>
    <xf numFmtId="164" fontId="0" fillId="0" borderId="10" xfId="0" applyNumberFormat="1" applyFill="1" applyBorder="1" applyAlignment="1">
      <alignment horizontal="center" vertical="center" wrapText="1"/>
    </xf>
    <xf numFmtId="48" fontId="5" fillId="0" borderId="6" xfId="1" applyNumberFormat="1" applyBorder="1" applyAlignment="1">
      <alignment horizontal="center" wrapText="1"/>
    </xf>
    <xf numFmtId="48" fontId="5" fillId="0" borderId="3" xfId="1" applyNumberFormat="1" applyFill="1" applyBorder="1" applyAlignment="1">
      <alignment horizontal="center" vertical="center" wrapText="1"/>
    </xf>
    <xf numFmtId="164" fontId="0" fillId="0" borderId="4" xfId="0" applyNumberFormat="1" applyFill="1" applyBorder="1" applyAlignment="1">
      <alignment horizontal="center" vertical="center" wrapText="1"/>
    </xf>
    <xf numFmtId="164" fontId="0" fillId="0" borderId="5" xfId="0" applyNumberFormat="1" applyFill="1" applyBorder="1" applyAlignment="1">
      <alignment horizontal="center" vertical="center" wrapText="1"/>
    </xf>
    <xf numFmtId="48" fontId="3" fillId="0" borderId="0" xfId="0" applyNumberFormat="1" applyFont="1" applyFill="1" applyAlignment="1">
      <alignment horizontal="center"/>
    </xf>
    <xf numFmtId="48" fontId="0" fillId="0" borderId="0" xfId="0" applyNumberFormat="1" applyFill="1"/>
    <xf numFmtId="48" fontId="19" fillId="0" borderId="0" xfId="0" applyNumberFormat="1" applyFont="1" applyFill="1" applyAlignment="1">
      <alignment horizontal="center" vertical="center"/>
    </xf>
    <xf numFmtId="48" fontId="25" fillId="0" borderId="0" xfId="0" applyNumberFormat="1" applyFont="1" applyFill="1" applyBorder="1" applyAlignment="1">
      <alignment horizontal="center" vertical="center"/>
    </xf>
    <xf numFmtId="48" fontId="0" fillId="0" borderId="3" xfId="0" applyNumberFormat="1" applyBorder="1"/>
    <xf numFmtId="48" fontId="0" fillId="0" borderId="4" xfId="0" applyNumberFormat="1" applyBorder="1"/>
    <xf numFmtId="48" fontId="0" fillId="0" borderId="5" xfId="0" applyNumberFormat="1" applyBorder="1"/>
    <xf numFmtId="48" fontId="0" fillId="0" borderId="6" xfId="0" applyNumberFormat="1" applyBorder="1"/>
    <xf numFmtId="48" fontId="0" fillId="0" borderId="7" xfId="0" applyNumberFormat="1" applyBorder="1"/>
    <xf numFmtId="48" fontId="0" fillId="0" borderId="8" xfId="0" applyNumberFormat="1" applyBorder="1"/>
    <xf numFmtId="48" fontId="0" fillId="0" borderId="9" xfId="0" applyNumberFormat="1" applyBorder="1"/>
    <xf numFmtId="48" fontId="0" fillId="0" borderId="10" xfId="0" applyNumberFormat="1" applyBorder="1"/>
    <xf numFmtId="0" fontId="0" fillId="0" borderId="0" xfId="0" applyNumberFormat="1" applyFill="1" applyBorder="1" applyAlignment="1">
      <alignment horizontal="center" vertical="center" wrapText="1"/>
    </xf>
    <xf numFmtId="48" fontId="4" fillId="0" borderId="8" xfId="1" applyNumberFormat="1" applyFont="1" applyFill="1" applyBorder="1" applyAlignment="1">
      <alignment horizontal="center" vertical="center" wrapText="1"/>
    </xf>
    <xf numFmtId="48" fontId="5" fillId="7" borderId="3" xfId="1" applyNumberFormat="1" applyFill="1" applyBorder="1" applyAlignment="1">
      <alignment wrapText="1"/>
    </xf>
    <xf numFmtId="48" fontId="34" fillId="0" borderId="0" xfId="0" applyNumberFormat="1" applyFont="1" applyBorder="1" applyAlignment="1">
      <alignment vertical="center"/>
    </xf>
    <xf numFmtId="48" fontId="34" fillId="0" borderId="0" xfId="0" applyNumberFormat="1" applyFont="1" applyAlignment="1">
      <alignment vertical="center"/>
    </xf>
    <xf numFmtId="48" fontId="4" fillId="0" borderId="7" xfId="0" applyNumberFormat="1" applyFont="1" applyBorder="1" applyAlignment="1">
      <alignment vertical="center"/>
    </xf>
    <xf numFmtId="48" fontId="4" fillId="0" borderId="6" xfId="0" applyNumberFormat="1" applyFont="1" applyBorder="1" applyAlignment="1">
      <alignment vertical="center"/>
    </xf>
    <xf numFmtId="48" fontId="4" fillId="0" borderId="6" xfId="0" applyNumberFormat="1" applyFont="1" applyFill="1" applyBorder="1" applyAlignment="1">
      <alignment vertical="center"/>
    </xf>
    <xf numFmtId="48" fontId="4" fillId="0" borderId="0" xfId="0" applyNumberFormat="1" applyFont="1" applyBorder="1" applyAlignment="1">
      <alignment vertical="center"/>
    </xf>
    <xf numFmtId="48" fontId="4" fillId="0" borderId="9" xfId="0" applyNumberFormat="1" applyFont="1" applyBorder="1" applyAlignment="1">
      <alignment vertical="center"/>
    </xf>
    <xf numFmtId="0" fontId="35" fillId="0" borderId="0" xfId="0" applyFont="1" applyFill="1" applyBorder="1" applyAlignment="1">
      <alignment vertical="center" wrapText="1"/>
    </xf>
    <xf numFmtId="0" fontId="0" fillId="0" borderId="0" xfId="0" applyFont="1" applyBorder="1" applyAlignment="1">
      <alignment horizontal="center" vertical="center"/>
    </xf>
    <xf numFmtId="48" fontId="0" fillId="0" borderId="16" xfId="0" applyNumberFormat="1" applyFill="1" applyBorder="1" applyAlignment="1">
      <alignment vertical="center"/>
    </xf>
    <xf numFmtId="48" fontId="0" fillId="0" borderId="11" xfId="0" applyNumberFormat="1" applyFill="1" applyBorder="1" applyAlignment="1">
      <alignment vertical="center"/>
    </xf>
    <xf numFmtId="164" fontId="0" fillId="0" borderId="11" xfId="0" applyNumberFormat="1" applyFill="1" applyBorder="1" applyAlignment="1">
      <alignment vertical="center"/>
    </xf>
    <xf numFmtId="48" fontId="0" fillId="0" borderId="5" xfId="0" applyNumberFormat="1" applyFill="1" applyBorder="1" applyAlignment="1">
      <alignment vertical="center"/>
    </xf>
    <xf numFmtId="48" fontId="20" fillId="7" borderId="0" xfId="0" applyNumberFormat="1" applyFont="1" applyFill="1" applyBorder="1" applyAlignment="1">
      <alignment vertical="center"/>
    </xf>
    <xf numFmtId="48" fontId="20" fillId="0" borderId="9" xfId="0" applyNumberFormat="1" applyFont="1" applyBorder="1" applyAlignment="1">
      <alignment vertical="center"/>
    </xf>
    <xf numFmtId="48" fontId="3" fillId="0" borderId="4" xfId="0" applyNumberFormat="1" applyFont="1" applyBorder="1" applyAlignment="1">
      <alignment vertical="center"/>
    </xf>
    <xf numFmtId="48" fontId="36" fillId="0" borderId="3" xfId="0" applyNumberFormat="1" applyFont="1" applyBorder="1" applyAlignment="1">
      <alignment vertical="center"/>
    </xf>
    <xf numFmtId="48" fontId="37" fillId="0" borderId="3" xfId="0" applyNumberFormat="1" applyFont="1" applyBorder="1" applyAlignment="1">
      <alignment vertical="center"/>
    </xf>
    <xf numFmtId="48" fontId="37" fillId="0" borderId="4" xfId="0" applyNumberFormat="1" applyFont="1" applyBorder="1" applyAlignment="1">
      <alignment vertical="center"/>
    </xf>
    <xf numFmtId="48" fontId="36" fillId="0" borderId="5" xfId="0" applyNumberFormat="1" applyFont="1" applyBorder="1" applyAlignment="1">
      <alignment vertical="center"/>
    </xf>
    <xf numFmtId="48" fontId="24" fillId="0" borderId="0" xfId="0" applyNumberFormat="1" applyFont="1" applyAlignment="1">
      <alignment vertical="center"/>
    </xf>
    <xf numFmtId="48" fontId="39" fillId="0" borderId="0" xfId="0" applyNumberFormat="1" applyFont="1" applyBorder="1" applyAlignment="1">
      <alignment vertical="center"/>
    </xf>
    <xf numFmtId="48" fontId="3" fillId="0" borderId="3" xfId="0" applyNumberFormat="1" applyFont="1" applyBorder="1"/>
    <xf numFmtId="48" fontId="0" fillId="0" borderId="8" xfId="0" applyNumberFormat="1" applyFill="1" applyBorder="1" applyAlignment="1">
      <alignment vertical="center"/>
    </xf>
    <xf numFmtId="48" fontId="4" fillId="0" borderId="8" xfId="0" applyNumberFormat="1" applyFont="1" applyBorder="1" applyAlignment="1">
      <alignment vertical="center"/>
    </xf>
    <xf numFmtId="48" fontId="4" fillId="0" borderId="10" xfId="0" applyNumberFormat="1" applyFont="1" applyBorder="1" applyAlignment="1">
      <alignment vertical="center"/>
    </xf>
    <xf numFmtId="48" fontId="0" fillId="0" borderId="0" xfId="0" applyNumberFormat="1" applyFill="1" applyBorder="1" applyAlignment="1">
      <alignment vertical="center"/>
    </xf>
    <xf numFmtId="48" fontId="3" fillId="0" borderId="5" xfId="0" applyNumberFormat="1" applyFont="1" applyBorder="1" applyAlignment="1">
      <alignment vertical="center"/>
    </xf>
    <xf numFmtId="48" fontId="0" fillId="0" borderId="4" xfId="0" applyNumberFormat="1" applyBorder="1" applyAlignment="1">
      <alignment vertical="center"/>
    </xf>
    <xf numFmtId="48" fontId="4" fillId="0" borderId="5" xfId="0" applyNumberFormat="1" applyFont="1" applyBorder="1" applyAlignment="1">
      <alignment vertical="center"/>
    </xf>
    <xf numFmtId="48" fontId="4" fillId="0" borderId="3" xfId="0" applyNumberFormat="1" applyFont="1" applyBorder="1" applyAlignment="1">
      <alignment vertical="center"/>
    </xf>
    <xf numFmtId="48" fontId="0" fillId="0" borderId="11" xfId="0" applyNumberFormat="1" applyBorder="1"/>
    <xf numFmtId="48" fontId="4" fillId="0" borderId="11" xfId="0" applyNumberFormat="1" applyFont="1" applyBorder="1" applyAlignment="1">
      <alignment vertical="center"/>
    </xf>
    <xf numFmtId="48" fontId="3" fillId="0" borderId="0" xfId="0" applyNumberFormat="1" applyFont="1" applyBorder="1"/>
    <xf numFmtId="164" fontId="3" fillId="0" borderId="7" xfId="0" applyNumberFormat="1" applyFont="1" applyBorder="1"/>
    <xf numFmtId="48" fontId="3" fillId="0" borderId="9" xfId="0" applyNumberFormat="1" applyFont="1" applyBorder="1"/>
    <xf numFmtId="48" fontId="3" fillId="0" borderId="10" xfId="0" applyNumberFormat="1" applyFont="1" applyBorder="1"/>
    <xf numFmtId="48" fontId="3" fillId="0" borderId="6" xfId="0" applyNumberFormat="1" applyFont="1" applyFill="1" applyBorder="1" applyAlignment="1">
      <alignment vertical="center"/>
    </xf>
    <xf numFmtId="11" fontId="4" fillId="0" borderId="0" xfId="0" applyNumberFormat="1" applyFont="1" applyBorder="1" applyAlignment="1">
      <alignment vertical="center"/>
    </xf>
    <xf numFmtId="11" fontId="4" fillId="0" borderId="7" xfId="0" applyNumberFormat="1" applyFont="1" applyBorder="1" applyAlignment="1">
      <alignment vertical="center"/>
    </xf>
    <xf numFmtId="48" fontId="40" fillId="0" borderId="6" xfId="0" applyNumberFormat="1" applyFont="1" applyFill="1" applyBorder="1" applyAlignment="1">
      <alignment vertical="center"/>
    </xf>
    <xf numFmtId="0" fontId="3" fillId="4" borderId="32" xfId="0" applyNumberFormat="1" applyFont="1" applyFill="1" applyBorder="1" applyAlignment="1">
      <alignment horizontal="center" vertical="center"/>
    </xf>
    <xf numFmtId="0" fontId="3" fillId="4" borderId="34" xfId="0" applyNumberFormat="1" applyFont="1" applyFill="1" applyBorder="1" applyAlignment="1">
      <alignment horizontal="center" vertical="center"/>
    </xf>
    <xf numFmtId="0" fontId="3" fillId="4" borderId="35" xfId="0" applyNumberFormat="1" applyFont="1" applyFill="1" applyBorder="1" applyAlignment="1">
      <alignment horizontal="center" vertical="center"/>
    </xf>
    <xf numFmtId="0" fontId="36" fillId="9" borderId="16" xfId="0" applyNumberFormat="1" applyFont="1" applyFill="1" applyBorder="1" applyAlignment="1">
      <alignment horizontal="center" vertical="center"/>
    </xf>
    <xf numFmtId="0" fontId="0" fillId="9" borderId="11" xfId="0" applyFont="1" applyFill="1" applyBorder="1" applyAlignment="1">
      <alignment horizontal="center" vertical="center"/>
    </xf>
    <xf numFmtId="0" fontId="0" fillId="9" borderId="12" xfId="0" applyFont="1" applyFill="1" applyBorder="1" applyAlignment="1">
      <alignment horizontal="center" vertical="center"/>
    </xf>
    <xf numFmtId="0" fontId="6" fillId="0" borderId="0" xfId="0" applyNumberFormat="1" applyFont="1" applyAlignment="1">
      <alignment horizontal="center" vertical="center"/>
    </xf>
    <xf numFmtId="48" fontId="38" fillId="2" borderId="1" xfId="0" applyNumberFormat="1" applyFont="1" applyFill="1" applyBorder="1" applyAlignment="1">
      <alignment horizontal="center" vertical="top"/>
    </xf>
    <xf numFmtId="9" fontId="38" fillId="2" borderId="1" xfId="0" applyNumberFormat="1" applyFont="1" applyFill="1" applyBorder="1" applyAlignment="1">
      <alignment horizontal="center" vertical="top"/>
    </xf>
    <xf numFmtId="48" fontId="38" fillId="0" borderId="1" xfId="0" applyNumberFormat="1" applyFont="1" applyBorder="1" applyAlignment="1">
      <alignment horizontal="center" vertical="top"/>
    </xf>
    <xf numFmtId="48" fontId="36" fillId="0" borderId="6" xfId="0" applyNumberFormat="1" applyFont="1" applyBorder="1" applyAlignment="1">
      <alignment vertical="center"/>
    </xf>
    <xf numFmtId="48" fontId="36" fillId="0" borderId="7" xfId="0" applyNumberFormat="1" applyFont="1" applyBorder="1" applyAlignment="1">
      <alignment vertical="center"/>
    </xf>
    <xf numFmtId="48" fontId="3" fillId="0" borderId="8" xfId="0" applyNumberFormat="1" applyFont="1" applyBorder="1"/>
    <xf numFmtId="48" fontId="36" fillId="0" borderId="16" xfId="0" applyNumberFormat="1" applyFont="1" applyBorder="1" applyAlignment="1">
      <alignment vertical="center"/>
    </xf>
    <xf numFmtId="48" fontId="36" fillId="0" borderId="12" xfId="0" applyNumberFormat="1" applyFont="1" applyBorder="1" applyAlignment="1">
      <alignment vertical="center"/>
    </xf>
    <xf numFmtId="48" fontId="43" fillId="0" borderId="10" xfId="0" applyNumberFormat="1" applyFont="1" applyBorder="1" applyAlignment="1">
      <alignment vertical="center"/>
    </xf>
    <xf numFmtId="48" fontId="0" fillId="0" borderId="5" xfId="0" applyNumberFormat="1" applyBorder="1" applyAlignment="1">
      <alignment vertical="center"/>
    </xf>
    <xf numFmtId="48" fontId="3" fillId="0" borderId="7" xfId="0" applyNumberFormat="1" applyFont="1" applyBorder="1" applyAlignment="1">
      <alignment vertical="center"/>
    </xf>
    <xf numFmtId="48" fontId="3" fillId="0" borderId="6" xfId="0" applyNumberFormat="1" applyFont="1" applyBorder="1" applyAlignment="1">
      <alignment vertical="center"/>
    </xf>
    <xf numFmtId="48" fontId="3" fillId="0" borderId="8" xfId="0" applyNumberFormat="1" applyFont="1" applyBorder="1" applyAlignment="1">
      <alignment vertical="center"/>
    </xf>
    <xf numFmtId="10" fontId="3" fillId="0" borderId="10" xfId="0" applyNumberFormat="1" applyFont="1" applyBorder="1" applyAlignment="1">
      <alignment vertical="center"/>
    </xf>
    <xf numFmtId="48" fontId="3" fillId="0" borderId="0" xfId="0" applyNumberFormat="1" applyFont="1" applyBorder="1" applyAlignment="1">
      <alignment vertical="center"/>
    </xf>
    <xf numFmtId="48" fontId="3" fillId="0" borderId="0" xfId="0" applyNumberFormat="1" applyFont="1" applyFill="1" applyBorder="1" applyAlignment="1">
      <alignment vertical="center"/>
    </xf>
    <xf numFmtId="10" fontId="3" fillId="0" borderId="0" xfId="0" applyNumberFormat="1" applyFont="1" applyAlignment="1">
      <alignment vertical="center"/>
    </xf>
    <xf numFmtId="0" fontId="0" fillId="0" borderId="4" xfId="0" applyFont="1" applyFill="1" applyBorder="1" applyAlignment="1">
      <alignment horizontal="center" vertical="center"/>
    </xf>
    <xf numFmtId="164" fontId="0" fillId="0" borderId="0" xfId="0" applyNumberFormat="1" applyFont="1" applyBorder="1" applyAlignment="1">
      <alignment vertical="center"/>
    </xf>
    <xf numFmtId="48" fontId="0" fillId="0" borderId="0" xfId="0" applyNumberFormat="1" applyAlignment="1">
      <alignment horizontal="center"/>
    </xf>
    <xf numFmtId="48" fontId="0" fillId="0" borderId="0" xfId="0" applyNumberFormat="1" applyFill="1" applyBorder="1" applyAlignment="1">
      <alignment horizontal="center"/>
    </xf>
    <xf numFmtId="48" fontId="34" fillId="0" borderId="0" xfId="0" applyNumberFormat="1" applyFont="1" applyAlignment="1">
      <alignment horizontal="center"/>
    </xf>
    <xf numFmtId="48" fontId="0" fillId="0" borderId="0" xfId="0" applyNumberFormat="1" applyFont="1" applyFill="1" applyBorder="1" applyAlignment="1">
      <alignment horizontal="center"/>
    </xf>
    <xf numFmtId="10" fontId="0" fillId="0" borderId="0" xfId="0" applyNumberFormat="1" applyFont="1" applyAlignment="1">
      <alignment horizontal="center"/>
    </xf>
    <xf numFmtId="48" fontId="3" fillId="0" borderId="0" xfId="0" applyNumberFormat="1" applyFont="1" applyBorder="1" applyAlignment="1">
      <alignment wrapText="1"/>
    </xf>
    <xf numFmtId="48" fontId="47" fillId="0" borderId="0" xfId="0" applyNumberFormat="1" applyFont="1"/>
    <xf numFmtId="48" fontId="42" fillId="0" borderId="0" xfId="0" applyNumberFormat="1" applyFont="1" applyFill="1" applyBorder="1" applyAlignment="1">
      <alignment vertical="center" wrapText="1"/>
    </xf>
    <xf numFmtId="10" fontId="3" fillId="0" borderId="0" xfId="0" applyNumberFormat="1" applyFont="1" applyFill="1" applyBorder="1" applyAlignment="1">
      <alignment vertical="center"/>
    </xf>
    <xf numFmtId="48" fontId="0" fillId="0" borderId="0" xfId="0" applyNumberFormat="1" applyFont="1" applyFill="1" applyBorder="1" applyAlignment="1">
      <alignment horizontal="center" wrapText="1"/>
    </xf>
    <xf numFmtId="48" fontId="0" fillId="0" borderId="0" xfId="0" applyNumberFormat="1" applyFont="1" applyBorder="1" applyAlignment="1">
      <alignment horizontal="center" wrapText="1"/>
    </xf>
    <xf numFmtId="48" fontId="49" fillId="0" borderId="0" xfId="0" applyNumberFormat="1" applyFont="1" applyFill="1" applyBorder="1" applyAlignment="1">
      <alignment horizontal="center" vertical="center" wrapText="1"/>
    </xf>
    <xf numFmtId="48" fontId="49" fillId="0" borderId="0" xfId="0" applyNumberFormat="1" applyFont="1" applyFill="1" applyBorder="1" applyAlignment="1">
      <alignment horizontal="center" vertical="center"/>
    </xf>
    <xf numFmtId="48" fontId="0" fillId="4" borderId="33" xfId="0" applyNumberFormat="1" applyFill="1" applyBorder="1" applyAlignment="1">
      <alignment horizontal="center" vertical="center"/>
    </xf>
    <xf numFmtId="48" fontId="0" fillId="4" borderId="18" xfId="0" applyNumberFormat="1" applyFill="1" applyBorder="1" applyAlignment="1">
      <alignment horizontal="center" vertical="center"/>
    </xf>
    <xf numFmtId="48" fontId="0" fillId="4" borderId="36" xfId="0" applyNumberFormat="1" applyFill="1" applyBorder="1" applyAlignment="1">
      <alignment horizontal="center" vertical="center"/>
    </xf>
    <xf numFmtId="48" fontId="0" fillId="0" borderId="17" xfId="0" applyNumberFormat="1" applyBorder="1" applyAlignment="1">
      <alignment horizontal="center" vertical="center"/>
    </xf>
    <xf numFmtId="164" fontId="0" fillId="0" borderId="26" xfId="0" applyNumberFormat="1" applyFont="1" applyBorder="1" applyAlignment="1">
      <alignment horizontal="center" vertical="center"/>
    </xf>
    <xf numFmtId="164" fontId="0" fillId="0" borderId="37" xfId="0" applyNumberFormat="1" applyFont="1" applyBorder="1" applyAlignment="1">
      <alignment horizontal="center" vertical="center"/>
    </xf>
    <xf numFmtId="48" fontId="3" fillId="0" borderId="0" xfId="0" applyNumberFormat="1" applyFont="1" applyFill="1" applyBorder="1" applyAlignment="1">
      <alignment horizontal="center" vertical="center"/>
    </xf>
    <xf numFmtId="10" fontId="3" fillId="0" borderId="0" xfId="0" applyNumberFormat="1" applyFont="1" applyFill="1" applyBorder="1" applyAlignment="1">
      <alignment horizontal="center" vertical="center"/>
    </xf>
    <xf numFmtId="48" fontId="46" fillId="6" borderId="0" xfId="0" applyNumberFormat="1" applyFont="1" applyFill="1" applyBorder="1" applyAlignment="1">
      <alignment horizontal="center" vertical="center" wrapText="1"/>
    </xf>
    <xf numFmtId="2" fontId="51" fillId="6" borderId="31" xfId="0" applyNumberFormat="1" applyFont="1" applyFill="1" applyBorder="1" applyAlignment="1">
      <alignment horizontal="center" vertical="center"/>
    </xf>
    <xf numFmtId="48" fontId="46" fillId="6" borderId="31" xfId="0" applyNumberFormat="1" applyFont="1" applyFill="1" applyBorder="1" applyAlignment="1">
      <alignment horizontal="center" vertical="center"/>
    </xf>
    <xf numFmtId="14" fontId="46" fillId="6" borderId="31" xfId="0" applyNumberFormat="1" applyFont="1" applyFill="1" applyBorder="1" applyAlignment="1">
      <alignment horizontal="center" vertical="center"/>
    </xf>
    <xf numFmtId="48" fontId="38" fillId="13" borderId="1" xfId="0" applyNumberFormat="1" applyFont="1" applyFill="1" applyBorder="1" applyAlignment="1">
      <alignment horizontal="center" vertical="top"/>
    </xf>
    <xf numFmtId="48" fontId="0" fillId="0" borderId="8" xfId="0" applyNumberFormat="1" applyBorder="1" applyAlignment="1"/>
    <xf numFmtId="0" fontId="52" fillId="14" borderId="41" xfId="0" applyFont="1" applyFill="1" applyBorder="1" applyAlignment="1">
      <alignment horizontal="center" vertical="center"/>
    </xf>
    <xf numFmtId="48" fontId="4" fillId="0" borderId="0" xfId="0" applyNumberFormat="1" applyFont="1" applyAlignment="1">
      <alignment vertical="center"/>
    </xf>
    <xf numFmtId="0" fontId="53" fillId="14" borderId="41" xfId="0" applyFont="1" applyFill="1" applyBorder="1" applyAlignment="1">
      <alignment horizontal="center" vertical="center"/>
    </xf>
    <xf numFmtId="48" fontId="43" fillId="0" borderId="0" xfId="0" applyNumberFormat="1" applyFont="1" applyBorder="1" applyAlignment="1">
      <alignment wrapText="1"/>
    </xf>
    <xf numFmtId="165" fontId="23" fillId="0" borderId="0" xfId="0" applyNumberFormat="1" applyFont="1" applyFill="1" applyBorder="1" applyAlignment="1">
      <alignment horizontal="right" vertical="center" wrapText="1"/>
    </xf>
    <xf numFmtId="165" fontId="0" fillId="0" borderId="0" xfId="0" applyNumberFormat="1" applyAlignment="1">
      <alignment vertical="center"/>
    </xf>
    <xf numFmtId="165" fontId="0" fillId="0" borderId="0" xfId="0" applyNumberFormat="1" applyBorder="1" applyAlignment="1">
      <alignment vertical="center"/>
    </xf>
    <xf numFmtId="165" fontId="0" fillId="0" borderId="7" xfId="0" applyNumberFormat="1" applyBorder="1" applyAlignment="1">
      <alignment vertical="center"/>
    </xf>
    <xf numFmtId="165" fontId="37" fillId="0" borderId="30" xfId="0" applyNumberFormat="1" applyFont="1" applyBorder="1" applyAlignment="1">
      <alignment horizontal="center" vertical="center"/>
    </xf>
    <xf numFmtId="165" fontId="37" fillId="0" borderId="39" xfId="0" applyNumberFormat="1" applyFont="1" applyBorder="1" applyAlignment="1">
      <alignment horizontal="center" vertical="center"/>
    </xf>
    <xf numFmtId="165" fontId="4" fillId="0" borderId="39" xfId="0" applyNumberFormat="1" applyFont="1" applyBorder="1" applyAlignment="1">
      <alignment horizontal="center" vertical="center"/>
    </xf>
    <xf numFmtId="165" fontId="0" fillId="0" borderId="39" xfId="0" applyNumberFormat="1" applyBorder="1" applyAlignment="1">
      <alignment horizontal="center" vertical="center"/>
    </xf>
    <xf numFmtId="165" fontId="4" fillId="0" borderId="40" xfId="0" applyNumberFormat="1" applyFont="1" applyBorder="1" applyAlignment="1">
      <alignment horizontal="center" vertical="center"/>
    </xf>
    <xf numFmtId="165" fontId="4" fillId="0" borderId="0" xfId="0" applyNumberFormat="1" applyFont="1" applyBorder="1" applyAlignment="1">
      <alignment horizontal="center" vertical="center"/>
    </xf>
    <xf numFmtId="165" fontId="4" fillId="0" borderId="38" xfId="0" applyNumberFormat="1" applyFont="1" applyBorder="1" applyAlignment="1">
      <alignment horizontal="center" vertical="center"/>
    </xf>
    <xf numFmtId="165" fontId="0" fillId="0" borderId="40" xfId="0" applyNumberFormat="1" applyBorder="1" applyAlignment="1">
      <alignment horizontal="center" vertical="center"/>
    </xf>
    <xf numFmtId="165" fontId="0" fillId="0" borderId="38" xfId="0" applyNumberFormat="1" applyBorder="1" applyAlignment="1">
      <alignment horizontal="center" vertical="center"/>
    </xf>
    <xf numFmtId="165" fontId="0" fillId="0" borderId="38" xfId="0" applyNumberFormat="1" applyBorder="1" applyAlignment="1">
      <alignment vertical="center"/>
    </xf>
    <xf numFmtId="165" fontId="0" fillId="0" borderId="39" xfId="0" applyNumberFormat="1" applyBorder="1" applyAlignment="1">
      <alignment vertical="center"/>
    </xf>
    <xf numFmtId="165" fontId="0" fillId="0" borderId="40" xfId="0" applyNumberFormat="1" applyBorder="1" applyAlignment="1">
      <alignment vertical="center"/>
    </xf>
    <xf numFmtId="48" fontId="5" fillId="0" borderId="6" xfId="1" applyNumberFormat="1" applyFill="1" applyBorder="1" applyAlignment="1">
      <alignment vertical="center"/>
    </xf>
    <xf numFmtId="48" fontId="0" fillId="0" borderId="7" xfId="0" applyNumberFormat="1" applyFont="1" applyBorder="1" applyAlignment="1">
      <alignment wrapText="1"/>
    </xf>
    <xf numFmtId="48" fontId="0" fillId="0" borderId="0" xfId="0" applyNumberFormat="1" applyFont="1" applyFill="1" applyBorder="1" applyAlignment="1">
      <alignment wrapText="1"/>
    </xf>
    <xf numFmtId="48" fontId="0" fillId="0" borderId="7" xfId="0" applyNumberFormat="1" applyFont="1" applyFill="1" applyBorder="1" applyAlignment="1">
      <alignment wrapText="1"/>
    </xf>
    <xf numFmtId="0" fontId="0" fillId="0" borderId="0" xfId="0" applyFont="1" applyBorder="1" applyAlignment="1">
      <alignment wrapText="1"/>
    </xf>
    <xf numFmtId="0" fontId="0" fillId="15" borderId="24" xfId="0" applyFont="1" applyFill="1" applyBorder="1" applyAlignment="1">
      <alignment horizontal="justify" vertical="center" wrapText="1"/>
    </xf>
    <xf numFmtId="0" fontId="0" fillId="15" borderId="25" xfId="0" applyFont="1" applyFill="1" applyBorder="1" applyAlignment="1">
      <alignment horizontal="justify" vertical="center" wrapText="1"/>
    </xf>
    <xf numFmtId="0" fontId="0" fillId="15" borderId="26" xfId="0" applyFont="1" applyFill="1" applyBorder="1" applyAlignment="1">
      <alignment horizontal="justify" vertical="center" wrapText="1"/>
    </xf>
    <xf numFmtId="0" fontId="0" fillId="15" borderId="20" xfId="0" applyFont="1" applyFill="1" applyBorder="1" applyAlignment="1">
      <alignment horizontal="justify" vertical="center" wrapText="1"/>
    </xf>
    <xf numFmtId="0" fontId="0" fillId="15" borderId="1" xfId="0" applyFont="1" applyFill="1" applyBorder="1" applyAlignment="1">
      <alignment horizontal="justify" vertical="center" wrapText="1"/>
    </xf>
    <xf numFmtId="0" fontId="0" fillId="15" borderId="2" xfId="0" applyFont="1" applyFill="1" applyBorder="1" applyAlignment="1">
      <alignment horizontal="justify" vertical="center" wrapText="1"/>
    </xf>
    <xf numFmtId="0" fontId="0" fillId="15" borderId="42" xfId="0" applyFont="1" applyFill="1" applyBorder="1" applyAlignment="1">
      <alignment horizontal="justify" vertical="center" wrapText="1"/>
    </xf>
    <xf numFmtId="0" fontId="0" fillId="15" borderId="17" xfId="0" applyFont="1" applyFill="1" applyBorder="1" applyAlignment="1">
      <alignment horizontal="justify" vertical="center" wrapText="1"/>
    </xf>
    <xf numFmtId="0" fontId="0" fillId="15" borderId="43" xfId="0" applyFont="1" applyFill="1" applyBorder="1" applyAlignment="1">
      <alignment horizontal="justify" vertical="center" wrapText="1"/>
    </xf>
    <xf numFmtId="48" fontId="0" fillId="15" borderId="21" xfId="0" applyNumberFormat="1" applyFill="1" applyBorder="1"/>
    <xf numFmtId="48" fontId="0" fillId="15" borderId="22" xfId="0" applyNumberFormat="1" applyFill="1" applyBorder="1"/>
    <xf numFmtId="48" fontId="0" fillId="15" borderId="23" xfId="0" applyNumberFormat="1" applyFill="1" applyBorder="1"/>
    <xf numFmtId="0" fontId="31" fillId="15" borderId="0" xfId="0" applyFont="1" applyFill="1" applyBorder="1" applyAlignment="1">
      <alignment horizontal="justify" vertical="center" wrapText="1"/>
    </xf>
    <xf numFmtId="164" fontId="4" fillId="0" borderId="0" xfId="0" applyNumberFormat="1" applyFont="1" applyBorder="1" applyAlignment="1">
      <alignment wrapText="1"/>
    </xf>
    <xf numFmtId="48" fontId="38" fillId="9" borderId="1" xfId="0" applyNumberFormat="1" applyFont="1" applyFill="1" applyBorder="1" applyAlignment="1">
      <alignment horizontal="center" vertical="top"/>
    </xf>
    <xf numFmtId="48" fontId="3" fillId="0" borderId="0" xfId="0" applyNumberFormat="1" applyFont="1" applyBorder="1" applyAlignment="1">
      <alignment horizontal="center" wrapText="1"/>
    </xf>
    <xf numFmtId="48" fontId="0" fillId="0" borderId="4" xfId="0" applyNumberFormat="1" applyFill="1" applyBorder="1" applyAlignment="1">
      <alignment horizontal="center" vertical="center" wrapText="1"/>
    </xf>
    <xf numFmtId="48" fontId="0" fillId="0" borderId="9" xfId="0" applyNumberFormat="1" applyFill="1" applyBorder="1" applyAlignment="1">
      <alignment horizontal="center" vertical="center" wrapText="1"/>
    </xf>
    <xf numFmtId="48" fontId="29" fillId="0" borderId="0" xfId="0" applyNumberFormat="1" applyFont="1" applyBorder="1" applyAlignment="1">
      <alignment horizontal="left" wrapText="1"/>
    </xf>
    <xf numFmtId="48" fontId="23" fillId="0" borderId="0" xfId="0" applyNumberFormat="1" applyFont="1" applyFill="1" applyBorder="1" applyAlignment="1">
      <alignment horizontal="right"/>
    </xf>
    <xf numFmtId="0" fontId="12" fillId="0" borderId="11" xfId="0" applyFont="1" applyBorder="1" applyAlignment="1">
      <alignment horizontal="center" vertical="center" wrapText="1"/>
    </xf>
    <xf numFmtId="0" fontId="12" fillId="0" borderId="12" xfId="0" applyFont="1" applyBorder="1" applyAlignment="1">
      <alignment horizontal="center" vertical="center" wrapText="1"/>
    </xf>
    <xf numFmtId="0" fontId="6" fillId="0" borderId="0" xfId="0" applyFont="1" applyAlignment="1">
      <alignment horizontal="center"/>
    </xf>
    <xf numFmtId="0" fontId="12" fillId="0" borderId="0" xfId="0" applyFont="1" applyFill="1" applyBorder="1" applyAlignment="1">
      <alignment horizontal="center" vertical="center" wrapText="1"/>
    </xf>
    <xf numFmtId="0" fontId="9" fillId="0" borderId="12" xfId="0" applyFont="1" applyBorder="1" applyAlignment="1">
      <alignment horizontal="center" vertical="center" wrapText="1"/>
    </xf>
    <xf numFmtId="48" fontId="45" fillId="0" borderId="0" xfId="0" applyNumberFormat="1" applyFont="1" applyBorder="1" applyAlignment="1">
      <alignment horizontal="left" vertical="center" wrapText="1"/>
    </xf>
    <xf numFmtId="0" fontId="38" fillId="2" borderId="1" xfId="0" applyNumberFormat="1" applyFont="1" applyFill="1" applyBorder="1" applyAlignment="1">
      <alignment horizontal="center" vertical="top"/>
    </xf>
    <xf numFmtId="48" fontId="38" fillId="9" borderId="1" xfId="0" applyNumberFormat="1" applyFont="1" applyFill="1" applyBorder="1" applyAlignment="1">
      <alignment horizontal="center" vertical="top"/>
    </xf>
    <xf numFmtId="48" fontId="27" fillId="0" borderId="0" xfId="0" applyNumberFormat="1" applyFont="1" applyBorder="1" applyAlignment="1">
      <alignment horizontal="center" vertical="center"/>
    </xf>
    <xf numFmtId="48" fontId="0" fillId="0" borderId="0" xfId="0" applyNumberFormat="1" applyAlignment="1">
      <alignment horizontal="center" vertical="center"/>
    </xf>
    <xf numFmtId="48" fontId="3" fillId="0" borderId="0" xfId="0" applyNumberFormat="1" applyFont="1" applyBorder="1" applyAlignment="1">
      <alignment horizontal="center" wrapText="1"/>
    </xf>
    <xf numFmtId="48" fontId="41" fillId="0" borderId="19" xfId="0" applyNumberFormat="1" applyFont="1" applyBorder="1" applyAlignment="1">
      <alignment horizontal="center" vertical="center"/>
    </xf>
    <xf numFmtId="48" fontId="50" fillId="0" borderId="0" xfId="0" applyNumberFormat="1" applyFont="1" applyFill="1" applyBorder="1" applyAlignment="1">
      <alignment horizontal="left" vertical="center" wrapText="1"/>
    </xf>
    <xf numFmtId="48" fontId="50" fillId="0" borderId="0" xfId="0" applyNumberFormat="1" applyFont="1" applyFill="1" applyBorder="1" applyAlignment="1">
      <alignment horizontal="center" vertical="center" wrapText="1"/>
    </xf>
    <xf numFmtId="48" fontId="42" fillId="0" borderId="0" xfId="0" applyNumberFormat="1" applyFont="1" applyFill="1" applyBorder="1" applyAlignment="1">
      <alignment horizontal="center" vertical="center" wrapText="1"/>
    </xf>
    <xf numFmtId="48" fontId="48" fillId="0" borderId="3" xfId="0" applyNumberFormat="1" applyFont="1" applyBorder="1" applyAlignment="1">
      <alignment horizontal="center" vertical="center"/>
    </xf>
    <xf numFmtId="48" fontId="48" fillId="0" borderId="4" xfId="0" applyNumberFormat="1" applyFont="1" applyBorder="1" applyAlignment="1">
      <alignment horizontal="center" vertical="center"/>
    </xf>
    <xf numFmtId="48" fontId="48" fillId="0" borderId="6" xfId="0" applyNumberFormat="1" applyFont="1" applyBorder="1" applyAlignment="1">
      <alignment horizontal="center" vertical="center"/>
    </xf>
    <xf numFmtId="48" fontId="48" fillId="0" borderId="0" xfId="0" applyNumberFormat="1" applyFont="1" applyBorder="1" applyAlignment="1">
      <alignment horizontal="center" vertical="center"/>
    </xf>
    <xf numFmtId="48" fontId="48" fillId="0" borderId="8" xfId="0" applyNumberFormat="1" applyFont="1" applyBorder="1" applyAlignment="1">
      <alignment horizontal="center" vertical="center"/>
    </xf>
    <xf numFmtId="48" fontId="48" fillId="0" borderId="9" xfId="0" applyNumberFormat="1" applyFont="1" applyBorder="1" applyAlignment="1">
      <alignment horizontal="center" vertical="center"/>
    </xf>
    <xf numFmtId="48" fontId="20" fillId="2" borderId="4" xfId="0" applyNumberFormat="1" applyFont="1" applyFill="1" applyBorder="1" applyAlignment="1">
      <alignment horizontal="center" vertical="center"/>
    </xf>
    <xf numFmtId="48" fontId="20" fillId="12" borderId="0" xfId="0" applyNumberFormat="1" applyFont="1" applyFill="1" applyBorder="1" applyAlignment="1">
      <alignment horizontal="center" vertical="center"/>
    </xf>
    <xf numFmtId="48" fontId="20" fillId="2" borderId="9" xfId="0" applyNumberFormat="1" applyFont="1" applyFill="1" applyBorder="1" applyAlignment="1">
      <alignment horizontal="center" vertical="center"/>
    </xf>
    <xf numFmtId="48" fontId="0" fillId="0" borderId="4" xfId="0" applyNumberFormat="1" applyFill="1" applyBorder="1" applyAlignment="1">
      <alignment horizontal="center" vertical="center" wrapText="1"/>
    </xf>
    <xf numFmtId="48" fontId="0" fillId="0" borderId="5" xfId="0" applyNumberFormat="1" applyFill="1" applyBorder="1" applyAlignment="1">
      <alignment horizontal="center" vertical="center" wrapText="1"/>
    </xf>
    <xf numFmtId="48" fontId="0" fillId="0" borderId="0" xfId="0" applyNumberFormat="1" applyFill="1" applyBorder="1" applyAlignment="1">
      <alignment horizontal="center" vertical="center"/>
    </xf>
    <xf numFmtId="48" fontId="0" fillId="0" borderId="7" xfId="0" applyNumberFormat="1" applyFill="1" applyBorder="1" applyAlignment="1">
      <alignment horizontal="center" vertical="center"/>
    </xf>
    <xf numFmtId="48" fontId="0" fillId="0" borderId="9" xfId="0" applyNumberFormat="1" applyFill="1" applyBorder="1" applyAlignment="1">
      <alignment horizontal="center" vertical="center" wrapText="1"/>
    </xf>
    <xf numFmtId="48" fontId="0" fillId="0" borderId="10" xfId="0" applyNumberFormat="1" applyFill="1" applyBorder="1" applyAlignment="1">
      <alignment horizontal="center" vertical="center" wrapText="1"/>
    </xf>
    <xf numFmtId="48" fontId="29" fillId="0" borderId="0" xfId="0" applyNumberFormat="1" applyFont="1" applyBorder="1" applyAlignment="1">
      <alignment horizontal="left" wrapText="1"/>
    </xf>
    <xf numFmtId="0" fontId="0" fillId="0" borderId="0" xfId="0" applyAlignment="1">
      <alignment horizontal="left" wrapText="1"/>
    </xf>
    <xf numFmtId="48" fontId="22" fillId="0" borderId="0" xfId="0" applyNumberFormat="1" applyFont="1" applyFill="1" applyBorder="1" applyAlignment="1">
      <alignment horizontal="left" vertical="center" wrapText="1"/>
    </xf>
    <xf numFmtId="48" fontId="23" fillId="0" borderId="0" xfId="0" applyNumberFormat="1" applyFont="1" applyFill="1" applyBorder="1" applyAlignment="1">
      <alignment horizontal="right"/>
    </xf>
    <xf numFmtId="0" fontId="25" fillId="0" borderId="0" xfId="0" applyNumberFormat="1" applyFont="1" applyFill="1" applyBorder="1" applyAlignment="1">
      <alignment horizontal="center" vertical="center"/>
    </xf>
    <xf numFmtId="0" fontId="12" fillId="0" borderId="0" xfId="0" applyFont="1" applyFill="1" applyBorder="1" applyAlignment="1">
      <alignment horizontal="center" vertical="center" wrapText="1"/>
    </xf>
    <xf numFmtId="0" fontId="12" fillId="0" borderId="16" xfId="0" applyFont="1" applyBorder="1" applyAlignment="1">
      <alignment horizontal="center" vertical="center" wrapText="1"/>
    </xf>
    <xf numFmtId="0" fontId="12" fillId="0" borderId="11" xfId="0" applyFont="1" applyBorder="1" applyAlignment="1">
      <alignment horizontal="center" vertical="center" wrapText="1"/>
    </xf>
    <xf numFmtId="0" fontId="12" fillId="0" borderId="12" xfId="0" applyFont="1" applyBorder="1" applyAlignment="1">
      <alignment horizontal="center" vertical="center" wrapText="1"/>
    </xf>
    <xf numFmtId="0" fontId="9" fillId="0" borderId="16" xfId="0" applyFont="1" applyBorder="1" applyAlignment="1">
      <alignment horizontal="center" vertical="center" wrapText="1"/>
    </xf>
    <xf numFmtId="0" fontId="9" fillId="0" borderId="12" xfId="0" applyFont="1" applyBorder="1" applyAlignment="1">
      <alignment horizontal="center" vertical="center" wrapText="1"/>
    </xf>
    <xf numFmtId="0" fontId="11" fillId="0" borderId="16" xfId="0" applyFont="1" applyBorder="1" applyAlignment="1">
      <alignment horizontal="center" vertical="center" wrapText="1"/>
    </xf>
    <xf numFmtId="0" fontId="11" fillId="0" borderId="12" xfId="0" applyFont="1" applyBorder="1" applyAlignment="1">
      <alignment horizontal="center" vertical="center" wrapText="1"/>
    </xf>
    <xf numFmtId="0" fontId="6" fillId="0" borderId="0" xfId="0" applyFont="1" applyAlignment="1">
      <alignment horizontal="center"/>
    </xf>
    <xf numFmtId="0" fontId="9" fillId="0" borderId="9" xfId="0" applyFont="1" applyBorder="1" applyAlignment="1">
      <alignment horizontal="center"/>
    </xf>
    <xf numFmtId="0" fontId="18" fillId="0" borderId="0" xfId="0" applyFont="1" applyAlignment="1">
      <alignment horizontal="center"/>
    </xf>
    <xf numFmtId="3" fontId="11" fillId="0" borderId="16" xfId="0" applyNumberFormat="1" applyFont="1" applyBorder="1" applyAlignment="1">
      <alignment horizontal="center" vertical="center" wrapText="1"/>
    </xf>
    <xf numFmtId="3" fontId="11" fillId="0" borderId="12" xfId="0" applyNumberFormat="1" applyFont="1" applyBorder="1" applyAlignment="1">
      <alignment horizontal="center" vertical="center" wrapText="1"/>
    </xf>
  </cellXfs>
  <cellStyles count="3">
    <cellStyle name="Hyperlink" xfId="1" builtinId="8"/>
    <cellStyle name="Normal" xfId="0" builtinId="0"/>
    <cellStyle name="Percent" xfId="2" builtinId="5"/>
  </cellStyles>
  <dxfs count="5">
    <dxf>
      <font>
        <b/>
        <i val="0"/>
        <color rgb="FFFF0000"/>
      </font>
    </dxf>
    <dxf>
      <font>
        <b/>
        <i val="0"/>
        <color rgb="FFFF0000"/>
      </font>
    </dxf>
    <dxf>
      <fill>
        <patternFill patternType="solid">
          <fgColor rgb="FFF3F3F3"/>
          <bgColor rgb="FFF3F3F3"/>
        </patternFill>
      </fill>
      <border>
        <left/>
        <right/>
        <top/>
        <bottom/>
      </border>
    </dxf>
    <dxf>
      <fill>
        <patternFill patternType="solid">
          <fgColor rgb="FFFFFFFF"/>
          <bgColor rgb="FFFFFFFF"/>
        </patternFill>
      </fill>
      <border>
        <left/>
        <right/>
        <top/>
        <bottom/>
      </border>
    </dxf>
    <dxf>
      <fill>
        <patternFill patternType="solid">
          <fgColor rgb="FFBDBDBD"/>
          <bgColor rgb="FFBDBDBD"/>
        </patternFill>
      </fill>
      <border>
        <left/>
        <right/>
        <top/>
        <bottom/>
      </border>
    </dxf>
  </dxfs>
  <tableStyles count="1" defaultTableStyle="TableStyleMedium2" defaultPivotStyle="PivotStyleLight16">
    <tableStyle name="Digital Filter CVST(01)-style" pivot="0" count="3" xr9:uid="{00000000-0011-0000-FFFF-FFFF00000000}">
      <tableStyleElement type="headerRow" dxfId="4"/>
      <tableStyleElement type="firstRowStripe" dxfId="3"/>
      <tableStyleElement type="secondRowStripe" dxfId="2"/>
    </tableStyle>
  </tableStyles>
  <colors>
    <mruColors>
      <color rgb="FFFF505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customXml" Target="../customXml/item4.xml"/><Relationship Id="rId10"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sharedStrings" Target="sharedStrings.xml"/><Relationship Id="rId14" Type="http://schemas.openxmlformats.org/officeDocument/2006/relationships/customXml" Target="../customXml/item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a:t>SPI Communication Traffic</a:t>
            </a:r>
            <a:r>
              <a:rPr lang="en-US" baseline="0"/>
              <a:t> duration</a:t>
            </a:r>
            <a:endParaRPr lang="en-US"/>
          </a:p>
        </c:rich>
      </c:tx>
      <c:layout>
        <c:manualLayout>
          <c:xMode val="edge"/>
          <c:yMode val="edge"/>
          <c:x val="0.63567696403314089"/>
          <c:y val="1.1829944547134935E-2"/>
        </c:manualLayout>
      </c:layout>
      <c:overlay val="0"/>
    </c:title>
    <c:autoTitleDeleted val="0"/>
    <c:plotArea>
      <c:layout/>
      <c:barChart>
        <c:barDir val="bar"/>
        <c:grouping val="stacked"/>
        <c:varyColors val="0"/>
        <c:ser>
          <c:idx val="0"/>
          <c:order val="0"/>
          <c:tx>
            <c:strRef>
              <c:f>'Loop Information'!$AG$24</c:f>
              <c:strCache>
                <c:ptCount val="1"/>
                <c:pt idx="0">
                  <c:v>START</c:v>
                </c:pt>
              </c:strCache>
            </c:strRef>
          </c:tx>
          <c:spPr>
            <a:noFill/>
            <a:ln>
              <a:solidFill>
                <a:schemeClr val="bg1"/>
              </a:solidFill>
            </a:ln>
          </c:spPr>
          <c:invertIfNegative val="0"/>
          <c:cat>
            <c:strRef>
              <c:f>('Loop Information'!$AK$25:$AK$28,'Loop Information'!$AK$35:$AK$37,'Loop Information'!$AK$43,'Loop Information'!$AK$49:$AK$51,'Loop Information'!$AK$56,'Loop Information'!$AK$62,'Loop Information'!$AK$68,'Loop Information'!$AK$74,'Loop Information'!$AK$80,'Loop Information'!$AK$86:$AK$87)</c:f>
              <c:strCache>
                <c:ptCount val="18"/>
                <c:pt idx="0">
                  <c:v>Periodic Cell Measurement-SM12-</c:v>
                </c:pt>
                <c:pt idx="1">
                  <c:v>SM6 - Initialization-</c:v>
                </c:pt>
                <c:pt idx="2">
                  <c:v>SM6 - 2.2ms Delay-</c:v>
                </c:pt>
                <c:pt idx="3">
                  <c:v>SM6 - Cell Value Out-of-Range Test-</c:v>
                </c:pt>
                <c:pt idx="4">
                  <c:v>Periodic Cell Measurement-SM12-</c:v>
                </c:pt>
                <c:pt idx="5">
                  <c:v>Trigger AUX ADC &amp; Redundant AUX ADC-</c:v>
                </c:pt>
                <c:pt idx="6">
                  <c:v>SM1 - Trigger Cell Redundant Measuments-</c:v>
                </c:pt>
                <c:pt idx="7">
                  <c:v>Periodic Cell Measurement-SM12-</c:v>
                </c:pt>
                <c:pt idx="8">
                  <c:v>Periodic Cell Measurement-SM12-</c:v>
                </c:pt>
                <c:pt idx="10">
                  <c:v>SM9 - Trigger OW Even Ch &amp; Read Even Ch OW Baseline-SM9-</c:v>
                </c:pt>
                <c:pt idx="11">
                  <c:v>Periodic Cell Measurements - Cycle 5-SM12-</c:v>
                </c:pt>
                <c:pt idx="12">
                  <c:v>Periodic Cell Measurements - Cycle 6 &amp; SM9 - Trigger OW Odd Ch &amp; Read Odd Ch OW Baseline &amp; Even Ch OW Data-SM9- SM12-</c:v>
                </c:pt>
                <c:pt idx="13">
                  <c:v>Periodic Cell Measurements - Cycle 7-SM12-</c:v>
                </c:pt>
                <c:pt idx="14">
                  <c:v>Periodic Cell Measurements - Cycle 8 &amp; SM9 -Read Odd Ch OW Data-SM9- SM12-</c:v>
                </c:pt>
                <c:pt idx="15">
                  <c:v>Periodic Cell Measurements - Cycle 9 &amp; Read AUX &amp; Redundant AUX Data-SM12-SM15-SM14-</c:v>
                </c:pt>
                <c:pt idx="16">
                  <c:v>Periodic Cell Measurements - Cycle 10 &amp; Read STATUS A, B &amp; Read AUXE(ADBMS6832 Only)-SM12-SM18-SM20-SM8-</c:v>
                </c:pt>
                <c:pt idx="17">
                  <c:v>Read/Clear Diagnostic Flags-SM1-SM2-SM3-SM4-SM5-SM7-SM16-SM17-SM19-SM21-</c:v>
                </c:pt>
              </c:strCache>
            </c:strRef>
          </c:cat>
          <c:val>
            <c:numRef>
              <c:f>('Loop Information'!$AG$25:$AG$28,'Loop Information'!$AG$35:$AG$37,'Loop Information'!$AG$43,'Loop Information'!$AG$49:$AG$51,'Loop Information'!$AG$56,'Loop Information'!$AG$62,'Loop Information'!$AG$68,'Loop Information'!$AG$74,'Loop Information'!$AG$80,'Loop Information'!$AG$86:$AG$87)</c:f>
              <c:numCache>
                <c:formatCode>##0.0E+0</c:formatCode>
                <c:ptCount val="18"/>
                <c:pt idx="0">
                  <c:v>0</c:v>
                </c:pt>
                <c:pt idx="1">
                  <c:v>5.7600000000000001E-4</c:v>
                </c:pt>
                <c:pt idx="2">
                  <c:v>6.5760000000000005E-4</c:v>
                </c:pt>
                <c:pt idx="3">
                  <c:v>2.8576000000000001E-3</c:v>
                </c:pt>
                <c:pt idx="4">
                  <c:v>0.01</c:v>
                </c:pt>
                <c:pt idx="5">
                  <c:v>1.0576E-2</c:v>
                </c:pt>
                <c:pt idx="6">
                  <c:v>1.06984E-2</c:v>
                </c:pt>
                <c:pt idx="7">
                  <c:v>0.02</c:v>
                </c:pt>
                <c:pt idx="8">
                  <c:v>0.03</c:v>
                </c:pt>
                <c:pt idx="9">
                  <c:v>3.0575999999999999E-2</c:v>
                </c:pt>
                <c:pt idx="10">
                  <c:v>3.0575999999999999E-2</c:v>
                </c:pt>
                <c:pt idx="11">
                  <c:v>0.04</c:v>
                </c:pt>
                <c:pt idx="12">
                  <c:v>0.05</c:v>
                </c:pt>
                <c:pt idx="13">
                  <c:v>0.06</c:v>
                </c:pt>
                <c:pt idx="14">
                  <c:v>7.0000000000000007E-2</c:v>
                </c:pt>
                <c:pt idx="15">
                  <c:v>0.08</c:v>
                </c:pt>
                <c:pt idx="16">
                  <c:v>0.09</c:v>
                </c:pt>
                <c:pt idx="17">
                  <c:v>9.0823199999999993E-2</c:v>
                </c:pt>
              </c:numCache>
            </c:numRef>
          </c:val>
          <c:extLst>
            <c:ext xmlns:c16="http://schemas.microsoft.com/office/drawing/2014/chart" uri="{C3380CC4-5D6E-409C-BE32-E72D297353CC}">
              <c16:uniqueId val="{00000000-CE7B-4722-AB3C-189E6A4E3C2F}"/>
            </c:ext>
          </c:extLst>
        </c:ser>
        <c:ser>
          <c:idx val="1"/>
          <c:order val="1"/>
          <c:tx>
            <c:strRef>
              <c:f>'Loop Information'!$AI$24</c:f>
              <c:strCache>
                <c:ptCount val="1"/>
                <c:pt idx="0">
                  <c:v>Time</c:v>
                </c:pt>
              </c:strCache>
            </c:strRef>
          </c:tx>
          <c:spPr>
            <a:solidFill>
              <a:srgbClr val="FF0000"/>
            </a:solidFill>
          </c:spPr>
          <c:invertIfNegative val="0"/>
          <c:dPt>
            <c:idx val="2"/>
            <c:invertIfNegative val="0"/>
            <c:bubble3D val="0"/>
            <c:extLst>
              <c:ext xmlns:c16="http://schemas.microsoft.com/office/drawing/2014/chart" uri="{C3380CC4-5D6E-409C-BE32-E72D297353CC}">
                <c16:uniqueId val="{00000006-CE7B-4722-AB3C-189E6A4E3C2F}"/>
              </c:ext>
            </c:extLst>
          </c:dPt>
          <c:dPt>
            <c:idx val="4"/>
            <c:invertIfNegative val="0"/>
            <c:bubble3D val="0"/>
            <c:spPr>
              <a:solidFill>
                <a:schemeClr val="accent1"/>
              </a:solidFill>
            </c:spPr>
            <c:extLst>
              <c:ext xmlns:c16="http://schemas.microsoft.com/office/drawing/2014/chart" uri="{C3380CC4-5D6E-409C-BE32-E72D297353CC}">
                <c16:uniqueId val="{00000014-229E-45F9-A64B-6E14297EC064}"/>
              </c:ext>
            </c:extLst>
          </c:dPt>
          <c:dPt>
            <c:idx val="5"/>
            <c:invertIfNegative val="0"/>
            <c:bubble3D val="0"/>
            <c:spPr>
              <a:solidFill>
                <a:schemeClr val="accent1"/>
              </a:solidFill>
            </c:spPr>
            <c:extLst>
              <c:ext xmlns:c16="http://schemas.microsoft.com/office/drawing/2014/chart" uri="{C3380CC4-5D6E-409C-BE32-E72D297353CC}">
                <c16:uniqueId val="{0000000D-229E-45F9-A64B-6E14297EC064}"/>
              </c:ext>
            </c:extLst>
          </c:dPt>
          <c:dPt>
            <c:idx val="6"/>
            <c:invertIfNegative val="0"/>
            <c:bubble3D val="0"/>
            <c:spPr>
              <a:solidFill>
                <a:schemeClr val="accent1"/>
              </a:solidFill>
            </c:spPr>
            <c:extLst>
              <c:ext xmlns:c16="http://schemas.microsoft.com/office/drawing/2014/chart" uri="{C3380CC4-5D6E-409C-BE32-E72D297353CC}">
                <c16:uniqueId val="{0000000E-229E-45F9-A64B-6E14297EC064}"/>
              </c:ext>
            </c:extLst>
          </c:dPt>
          <c:dPt>
            <c:idx val="7"/>
            <c:invertIfNegative val="0"/>
            <c:bubble3D val="0"/>
            <c:spPr>
              <a:solidFill>
                <a:srgbClr val="C00000"/>
              </a:solidFill>
              <a:ln>
                <a:noFill/>
              </a:ln>
            </c:spPr>
            <c:extLst>
              <c:ext xmlns:c16="http://schemas.microsoft.com/office/drawing/2014/chart" uri="{C3380CC4-5D6E-409C-BE32-E72D297353CC}">
                <c16:uniqueId val="{0000000F-229E-45F9-A64B-6E14297EC064}"/>
              </c:ext>
            </c:extLst>
          </c:dPt>
          <c:dPt>
            <c:idx val="8"/>
            <c:invertIfNegative val="0"/>
            <c:bubble3D val="0"/>
            <c:spPr>
              <a:solidFill>
                <a:srgbClr val="7030A0"/>
              </a:solidFill>
            </c:spPr>
            <c:extLst>
              <c:ext xmlns:c16="http://schemas.microsoft.com/office/drawing/2014/chart" uri="{C3380CC4-5D6E-409C-BE32-E72D297353CC}">
                <c16:uniqueId val="{00000013-229E-45F9-A64B-6E14297EC064}"/>
              </c:ext>
            </c:extLst>
          </c:dPt>
          <c:dPt>
            <c:idx val="10"/>
            <c:invertIfNegative val="0"/>
            <c:bubble3D val="0"/>
            <c:spPr>
              <a:solidFill>
                <a:srgbClr val="7030A0"/>
              </a:solidFill>
            </c:spPr>
            <c:extLst>
              <c:ext xmlns:c16="http://schemas.microsoft.com/office/drawing/2014/chart" uri="{C3380CC4-5D6E-409C-BE32-E72D297353CC}">
                <c16:uniqueId val="{00000016-229E-45F9-A64B-6E14297EC064}"/>
              </c:ext>
            </c:extLst>
          </c:dPt>
          <c:dPt>
            <c:idx val="11"/>
            <c:invertIfNegative val="0"/>
            <c:bubble3D val="0"/>
            <c:spPr>
              <a:solidFill>
                <a:srgbClr val="00B050"/>
              </a:solidFill>
            </c:spPr>
            <c:extLst>
              <c:ext xmlns:c16="http://schemas.microsoft.com/office/drawing/2014/chart" uri="{C3380CC4-5D6E-409C-BE32-E72D297353CC}">
                <c16:uniqueId val="{00000017-229E-45F9-A64B-6E14297EC064}"/>
              </c:ext>
            </c:extLst>
          </c:dPt>
          <c:dPt>
            <c:idx val="12"/>
            <c:invertIfNegative val="0"/>
            <c:bubble3D val="0"/>
            <c:spPr>
              <a:solidFill>
                <a:schemeClr val="accent2">
                  <a:lumMod val="60000"/>
                  <a:lumOff val="40000"/>
                </a:schemeClr>
              </a:solidFill>
            </c:spPr>
            <c:extLst>
              <c:ext xmlns:c16="http://schemas.microsoft.com/office/drawing/2014/chart" uri="{C3380CC4-5D6E-409C-BE32-E72D297353CC}">
                <c16:uniqueId val="{00000018-229E-45F9-A64B-6E14297EC064}"/>
              </c:ext>
            </c:extLst>
          </c:dPt>
          <c:dPt>
            <c:idx val="13"/>
            <c:invertIfNegative val="0"/>
            <c:bubble3D val="0"/>
            <c:spPr>
              <a:solidFill>
                <a:schemeClr val="bg2">
                  <a:lumMod val="50000"/>
                </a:schemeClr>
              </a:solidFill>
            </c:spPr>
            <c:extLst>
              <c:ext xmlns:c16="http://schemas.microsoft.com/office/drawing/2014/chart" uri="{C3380CC4-5D6E-409C-BE32-E72D297353CC}">
                <c16:uniqueId val="{00000019-229E-45F9-A64B-6E14297EC064}"/>
              </c:ext>
            </c:extLst>
          </c:dPt>
          <c:dPt>
            <c:idx val="14"/>
            <c:invertIfNegative val="0"/>
            <c:bubble3D val="0"/>
            <c:spPr>
              <a:solidFill>
                <a:schemeClr val="accent4">
                  <a:lumMod val="50000"/>
                </a:schemeClr>
              </a:solidFill>
            </c:spPr>
            <c:extLst>
              <c:ext xmlns:c16="http://schemas.microsoft.com/office/drawing/2014/chart" uri="{C3380CC4-5D6E-409C-BE32-E72D297353CC}">
                <c16:uniqueId val="{0000001A-229E-45F9-A64B-6E14297EC064}"/>
              </c:ext>
            </c:extLst>
          </c:dPt>
          <c:dPt>
            <c:idx val="15"/>
            <c:invertIfNegative val="0"/>
            <c:bubble3D val="0"/>
            <c:spPr>
              <a:solidFill>
                <a:srgbClr val="92D050"/>
              </a:solidFill>
            </c:spPr>
            <c:extLst>
              <c:ext xmlns:c16="http://schemas.microsoft.com/office/drawing/2014/chart" uri="{C3380CC4-5D6E-409C-BE32-E72D297353CC}">
                <c16:uniqueId val="{0000001B-229E-45F9-A64B-6E14297EC064}"/>
              </c:ext>
            </c:extLst>
          </c:dPt>
          <c:dPt>
            <c:idx val="16"/>
            <c:invertIfNegative val="0"/>
            <c:bubble3D val="0"/>
            <c:spPr>
              <a:solidFill>
                <a:schemeClr val="accent1">
                  <a:lumMod val="50000"/>
                </a:schemeClr>
              </a:solidFill>
            </c:spPr>
            <c:extLst>
              <c:ext xmlns:c16="http://schemas.microsoft.com/office/drawing/2014/chart" uri="{C3380CC4-5D6E-409C-BE32-E72D297353CC}">
                <c16:uniqueId val="{0000001C-229E-45F9-A64B-6E14297EC064}"/>
              </c:ext>
            </c:extLst>
          </c:dPt>
          <c:dPt>
            <c:idx val="17"/>
            <c:invertIfNegative val="0"/>
            <c:bubble3D val="0"/>
            <c:spPr>
              <a:solidFill>
                <a:schemeClr val="accent1">
                  <a:lumMod val="50000"/>
                </a:schemeClr>
              </a:solidFill>
            </c:spPr>
            <c:extLst>
              <c:ext xmlns:c16="http://schemas.microsoft.com/office/drawing/2014/chart" uri="{C3380CC4-5D6E-409C-BE32-E72D297353CC}">
                <c16:uniqueId val="{0000001A-D522-45A0-9A53-E98301394EE0}"/>
              </c:ext>
            </c:extLst>
          </c:dPt>
          <c:cat>
            <c:strRef>
              <c:f>('Loop Information'!$AK$25:$AK$28,'Loop Information'!$AK$35:$AK$37,'Loop Information'!$AK$43,'Loop Information'!$AK$49:$AK$51,'Loop Information'!$AK$56,'Loop Information'!$AK$62,'Loop Information'!$AK$68,'Loop Information'!$AK$74,'Loop Information'!$AK$80,'Loop Information'!$AK$86:$AK$87)</c:f>
              <c:strCache>
                <c:ptCount val="18"/>
                <c:pt idx="0">
                  <c:v>Periodic Cell Measurement-SM12-</c:v>
                </c:pt>
                <c:pt idx="1">
                  <c:v>SM6 - Initialization-</c:v>
                </c:pt>
                <c:pt idx="2">
                  <c:v>SM6 - 2.2ms Delay-</c:v>
                </c:pt>
                <c:pt idx="3">
                  <c:v>SM6 - Cell Value Out-of-Range Test-</c:v>
                </c:pt>
                <c:pt idx="4">
                  <c:v>Periodic Cell Measurement-SM12-</c:v>
                </c:pt>
                <c:pt idx="5">
                  <c:v>Trigger AUX ADC &amp; Redundant AUX ADC-</c:v>
                </c:pt>
                <c:pt idx="6">
                  <c:v>SM1 - Trigger Cell Redundant Measuments-</c:v>
                </c:pt>
                <c:pt idx="7">
                  <c:v>Periodic Cell Measurement-SM12-</c:v>
                </c:pt>
                <c:pt idx="8">
                  <c:v>Periodic Cell Measurement-SM12-</c:v>
                </c:pt>
                <c:pt idx="10">
                  <c:v>SM9 - Trigger OW Even Ch &amp; Read Even Ch OW Baseline-SM9-</c:v>
                </c:pt>
                <c:pt idx="11">
                  <c:v>Periodic Cell Measurements - Cycle 5-SM12-</c:v>
                </c:pt>
                <c:pt idx="12">
                  <c:v>Periodic Cell Measurements - Cycle 6 &amp; SM9 - Trigger OW Odd Ch &amp; Read Odd Ch OW Baseline &amp; Even Ch OW Data-SM9- SM12-</c:v>
                </c:pt>
                <c:pt idx="13">
                  <c:v>Periodic Cell Measurements - Cycle 7-SM12-</c:v>
                </c:pt>
                <c:pt idx="14">
                  <c:v>Periodic Cell Measurements - Cycle 8 &amp; SM9 -Read Odd Ch OW Data-SM9- SM12-</c:v>
                </c:pt>
                <c:pt idx="15">
                  <c:v>Periodic Cell Measurements - Cycle 9 &amp; Read AUX &amp; Redundant AUX Data-SM12-SM15-SM14-</c:v>
                </c:pt>
                <c:pt idx="16">
                  <c:v>Periodic Cell Measurements - Cycle 10 &amp; Read STATUS A, B &amp; Read AUXE(ADBMS6832 Only)-SM12-SM18-SM20-SM8-</c:v>
                </c:pt>
                <c:pt idx="17">
                  <c:v>Read/Clear Diagnostic Flags-SM1-SM2-SM3-SM4-SM5-SM7-SM16-SM17-SM19-SM21-</c:v>
                </c:pt>
              </c:strCache>
            </c:strRef>
          </c:cat>
          <c:val>
            <c:numRef>
              <c:f>('Loop Information'!$AI$25:$AI$28,'Loop Information'!$AI$35:$AI$37,'Loop Information'!$AI$43,'Loop Information'!$AI$49:$AI$51,'Loop Information'!$AI$56,'Loop Information'!$AI$62,'Loop Information'!$AI$68,'Loop Information'!$AI$74,'Loop Information'!$AI$80,'Loop Information'!$AI$86:$AI$87)</c:f>
              <c:numCache>
                <c:formatCode>##0.0E+0</c:formatCode>
                <c:ptCount val="18"/>
                <c:pt idx="0">
                  <c:v>5.7600000000000001E-4</c:v>
                </c:pt>
                <c:pt idx="1">
                  <c:v>8.1600000000000032E-5</c:v>
                </c:pt>
                <c:pt idx="2">
                  <c:v>2.2000000000000001E-3</c:v>
                </c:pt>
                <c:pt idx="3">
                  <c:v>1.2319999999999996E-4</c:v>
                </c:pt>
                <c:pt idx="4">
                  <c:v>5.7600000000000012E-4</c:v>
                </c:pt>
                <c:pt idx="5">
                  <c:v>1.2239999999999994E-4</c:v>
                </c:pt>
                <c:pt idx="6">
                  <c:v>4.0800000000000558E-5</c:v>
                </c:pt>
                <c:pt idx="7">
                  <c:v>5.7600000000000012E-4</c:v>
                </c:pt>
                <c:pt idx="8">
                  <c:v>5.7600000000000012E-4</c:v>
                </c:pt>
                <c:pt idx="9">
                  <c:v>0</c:v>
                </c:pt>
                <c:pt idx="10">
                  <c:v>6.5760000000000124E-4</c:v>
                </c:pt>
                <c:pt idx="11">
                  <c:v>5.7600000000000012E-4</c:v>
                </c:pt>
                <c:pt idx="12">
                  <c:v>1.1520000000000002E-3</c:v>
                </c:pt>
                <c:pt idx="13">
                  <c:v>5.7600000000000012E-4</c:v>
                </c:pt>
                <c:pt idx="14">
                  <c:v>1.0703999999999991E-3</c:v>
                </c:pt>
                <c:pt idx="15">
                  <c:v>1.2352000000000057E-3</c:v>
                </c:pt>
                <c:pt idx="16">
                  <c:v>8.2319999999999616E-4</c:v>
                </c:pt>
                <c:pt idx="17">
                  <c:v>4.1120000000000045E-4</c:v>
                </c:pt>
              </c:numCache>
            </c:numRef>
          </c:val>
          <c:extLst>
            <c:ext xmlns:c16="http://schemas.microsoft.com/office/drawing/2014/chart" uri="{C3380CC4-5D6E-409C-BE32-E72D297353CC}">
              <c16:uniqueId val="{0000001F-CE7B-4722-AB3C-189E6A4E3C2F}"/>
            </c:ext>
          </c:extLst>
        </c:ser>
        <c:dLbls>
          <c:showLegendKey val="0"/>
          <c:showVal val="0"/>
          <c:showCatName val="0"/>
          <c:showSerName val="0"/>
          <c:showPercent val="0"/>
          <c:showBubbleSize val="0"/>
        </c:dLbls>
        <c:gapWidth val="84"/>
        <c:overlap val="100"/>
        <c:axId val="-687259064"/>
        <c:axId val="-687258488"/>
      </c:barChart>
      <c:catAx>
        <c:axId val="-687259064"/>
        <c:scaling>
          <c:orientation val="minMax"/>
        </c:scaling>
        <c:delete val="0"/>
        <c:axPos val="l"/>
        <c:majorGridlines>
          <c:spPr>
            <a:ln>
              <a:solidFill>
                <a:schemeClr val="bg1">
                  <a:lumMod val="75000"/>
                  <a:alpha val="58000"/>
                </a:schemeClr>
              </a:solidFill>
            </a:ln>
          </c:spPr>
        </c:majorGridlines>
        <c:numFmt formatCode="General" sourceLinked="0"/>
        <c:majorTickMark val="out"/>
        <c:minorTickMark val="none"/>
        <c:tickLblPos val="nextTo"/>
        <c:spPr>
          <a:ln>
            <a:solidFill>
              <a:schemeClr val="bg1">
                <a:lumMod val="75000"/>
              </a:schemeClr>
            </a:solidFill>
          </a:ln>
        </c:spPr>
        <c:crossAx val="-687258488"/>
        <c:crosses val="autoZero"/>
        <c:auto val="1"/>
        <c:lblAlgn val="ctr"/>
        <c:lblOffset val="100"/>
        <c:noMultiLvlLbl val="0"/>
      </c:catAx>
      <c:valAx>
        <c:axId val="-687258488"/>
        <c:scaling>
          <c:orientation val="minMax"/>
          <c:max val="0.1"/>
          <c:min val="0"/>
        </c:scaling>
        <c:delete val="0"/>
        <c:axPos val="b"/>
        <c:majorGridlines>
          <c:spPr>
            <a:ln>
              <a:solidFill>
                <a:schemeClr val="bg1">
                  <a:lumMod val="75000"/>
                </a:schemeClr>
              </a:solidFill>
            </a:ln>
          </c:spPr>
        </c:majorGridlines>
        <c:numFmt formatCode="##0.0E+0" sourceLinked="1"/>
        <c:majorTickMark val="out"/>
        <c:minorTickMark val="none"/>
        <c:tickLblPos val="nextTo"/>
        <c:crossAx val="-687259064"/>
        <c:crosses val="autoZero"/>
        <c:crossBetween val="between"/>
      </c:valAx>
    </c:plotArea>
    <c:plotVisOnly val="1"/>
    <c:dispBlanksAs val="gap"/>
    <c:showDLblsOverMax val="0"/>
  </c:chart>
  <c:spPr>
    <a:ln>
      <a:noFill/>
    </a:ln>
  </c:spPr>
  <c:txPr>
    <a:bodyPr/>
    <a:lstStyle/>
    <a:p>
      <a:pPr>
        <a:defRPr sz="1100" baseline="0">
          <a:latin typeface="Century Gothic" panose="020B0502020202020204" pitchFamily="34" charset="0"/>
        </a:defRPr>
      </a:pPr>
      <a:endParaRPr lang="en-US"/>
    </a:p>
  </c:txPr>
  <c:printSettings>
    <c:headerFooter/>
    <c:pageMargins b="0.75" l="0.25" r="0.25" t="0.75" header="0.3" footer="0.3"/>
    <c:pageSetup paperSize="17" orientation="landscape" horizontalDpi="1200" verticalDpi="1200"/>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295275</xdr:colOff>
      <xdr:row>109</xdr:row>
      <xdr:rowOff>28575</xdr:rowOff>
    </xdr:from>
    <xdr:to>
      <xdr:col>26</xdr:col>
      <xdr:colOff>847725</xdr:colOff>
      <xdr:row>154</xdr:row>
      <xdr:rowOff>47625</xdr:rowOff>
    </xdr:to>
    <xdr:graphicFrame macro="">
      <xdr:nvGraphicFramePr>
        <xdr:cNvPr id="3" name="Chart 2">
          <a:extLst>
            <a:ext uri="{FF2B5EF4-FFF2-40B4-BE49-F238E27FC236}">
              <a16:creationId xmlns:a16="http://schemas.microsoft.com/office/drawing/2014/main" id="{2E1A2B2A-B569-4E63-8AA8-10BF0B9195A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rgb="FF0070C0"/>
  </sheetPr>
  <dimension ref="A1:F7"/>
  <sheetViews>
    <sheetView zoomScale="85" zoomScaleNormal="85" workbookViewId="0">
      <selection activeCell="C4" sqref="C4"/>
    </sheetView>
  </sheetViews>
  <sheetFormatPr defaultColWidth="8.7109375" defaultRowHeight="15" x14ac:dyDescent="0.25"/>
  <cols>
    <col min="1" max="1" width="1.42578125" style="1" customWidth="1"/>
    <col min="2" max="2" width="93" style="1" customWidth="1"/>
    <col min="3" max="3" width="46.5703125" style="1" customWidth="1"/>
    <col min="4" max="4" width="52.140625" style="1" customWidth="1"/>
    <col min="5" max="5" width="15.42578125" style="1" customWidth="1"/>
    <col min="6" max="6" width="12.42578125" style="1" customWidth="1"/>
    <col min="7" max="16384" width="8.7109375" style="1"/>
  </cols>
  <sheetData>
    <row r="1" spans="1:6" ht="192.95" customHeight="1" x14ac:dyDescent="0.25">
      <c r="A1" s="76"/>
      <c r="B1" s="382" t="s">
        <v>0</v>
      </c>
      <c r="C1" s="382"/>
      <c r="D1" s="78"/>
      <c r="E1" s="79"/>
      <c r="F1" s="79"/>
    </row>
    <row r="2" spans="1:6" ht="15.75" x14ac:dyDescent="0.25">
      <c r="B2" s="384" t="s">
        <v>1</v>
      </c>
      <c r="C2" s="383">
        <v>1</v>
      </c>
      <c r="D2" s="79"/>
      <c r="E2" s="79"/>
      <c r="F2" s="79"/>
    </row>
    <row r="3" spans="1:6" ht="15" customHeight="1" x14ac:dyDescent="0.25">
      <c r="B3" s="384"/>
      <c r="C3" s="383"/>
      <c r="D3" s="80"/>
      <c r="E3" s="79"/>
      <c r="F3" s="79"/>
    </row>
    <row r="4" spans="1:6" ht="25.5" x14ac:dyDescent="0.25">
      <c r="B4" s="371" t="s">
        <v>2</v>
      </c>
      <c r="C4" s="286">
        <v>4.9999999999999998E-7</v>
      </c>
      <c r="D4" s="80"/>
      <c r="E4" s="79"/>
      <c r="F4" s="79"/>
    </row>
    <row r="5" spans="1:6" ht="25.5" x14ac:dyDescent="0.25">
      <c r="B5" s="371" t="s">
        <v>3</v>
      </c>
      <c r="C5" s="330" t="s">
        <v>4</v>
      </c>
      <c r="D5" s="385"/>
      <c r="E5" s="385"/>
      <c r="F5" s="385"/>
    </row>
    <row r="6" spans="1:6" ht="25.5" x14ac:dyDescent="0.25">
      <c r="B6" s="288" t="s">
        <v>5</v>
      </c>
      <c r="C6" s="287">
        <v>0.3</v>
      </c>
      <c r="D6" s="311" t="s">
        <v>6</v>
      </c>
    </row>
    <row r="7" spans="1:6" ht="25.5" x14ac:dyDescent="0.25">
      <c r="B7" s="288" t="s">
        <v>7</v>
      </c>
      <c r="C7" s="286">
        <v>2.0000000000000002E-5</v>
      </c>
      <c r="D7" s="311" t="s">
        <v>8</v>
      </c>
    </row>
  </sheetData>
  <mergeCells count="4">
    <mergeCell ref="B1:C1"/>
    <mergeCell ref="C2:C3"/>
    <mergeCell ref="B2:B3"/>
    <mergeCell ref="D5:F5"/>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4"/>
  </sheetPr>
  <dimension ref="A1:AK106"/>
  <sheetViews>
    <sheetView topLeftCell="L31" zoomScale="70" zoomScaleNormal="70" workbookViewId="0">
      <selection activeCell="Y51" sqref="Y51"/>
    </sheetView>
  </sheetViews>
  <sheetFormatPr defaultColWidth="8.7109375" defaultRowHeight="15" x14ac:dyDescent="0.25"/>
  <cols>
    <col min="1" max="1" width="14.5703125" style="199" bestFit="1" customWidth="1"/>
    <col min="2" max="2" width="4.85546875" style="199" customWidth="1"/>
    <col min="3" max="20" width="4" style="199" customWidth="1"/>
    <col min="21" max="21" width="14.28515625" style="199" customWidth="1"/>
    <col min="22" max="22" width="14.28515625" style="305" customWidth="1"/>
    <col min="23" max="23" width="12.28515625" style="199" customWidth="1"/>
    <col min="24" max="24" width="9" style="337" customWidth="1"/>
    <col min="25" max="25" width="126.140625" style="199" customWidth="1"/>
    <col min="26" max="26" width="82.7109375" style="199" customWidth="1"/>
    <col min="27" max="27" width="38.5703125" style="199" customWidth="1"/>
    <col min="28" max="28" width="19" style="199" bestFit="1" customWidth="1"/>
    <col min="29" max="29" width="17.28515625" style="199" customWidth="1"/>
    <col min="30" max="31" width="23.85546875" style="199" customWidth="1"/>
    <col min="32" max="32" width="10.5703125" style="199" customWidth="1"/>
    <col min="33" max="33" width="10.5703125" style="333" customWidth="1"/>
    <col min="34" max="34" width="10.28515625" style="333" bestFit="1" customWidth="1"/>
    <col min="35" max="35" width="12" style="199" customWidth="1"/>
    <col min="36" max="36" width="8.7109375" style="199"/>
    <col min="37" max="37" width="125.85546875" style="199" bestFit="1" customWidth="1"/>
    <col min="38" max="16384" width="8.7109375" style="199"/>
  </cols>
  <sheetData>
    <row r="1" spans="1:32" ht="31.5" x14ac:dyDescent="0.25">
      <c r="A1" s="388" t="s">
        <v>9</v>
      </c>
      <c r="B1" s="388"/>
      <c r="C1" s="388"/>
      <c r="D1" s="388"/>
      <c r="E1" s="388"/>
      <c r="F1" s="388"/>
      <c r="G1" s="388"/>
      <c r="H1" s="388"/>
      <c r="I1" s="388"/>
      <c r="J1" s="388"/>
      <c r="K1" s="388"/>
      <c r="L1" s="388"/>
      <c r="M1" s="388"/>
      <c r="N1" s="388"/>
      <c r="O1" s="388"/>
      <c r="P1" s="388"/>
      <c r="Q1" s="388"/>
      <c r="R1" s="388"/>
      <c r="S1" s="388"/>
      <c r="T1" s="388"/>
      <c r="W1" s="200"/>
      <c r="X1" s="336"/>
    </row>
    <row r="2" spans="1:32" ht="171.75" customHeight="1" x14ac:dyDescent="0.25">
      <c r="A2" s="214" t="s">
        <v>10</v>
      </c>
      <c r="B2" s="215" t="s">
        <v>11</v>
      </c>
      <c r="C2" s="214" t="s">
        <v>12</v>
      </c>
      <c r="D2" s="214" t="s">
        <v>13</v>
      </c>
      <c r="E2" s="214" t="s">
        <v>14</v>
      </c>
      <c r="F2" s="214" t="s">
        <v>15</v>
      </c>
      <c r="G2" s="214" t="s">
        <v>16</v>
      </c>
      <c r="H2" s="214" t="s">
        <v>17</v>
      </c>
      <c r="I2" s="214" t="s">
        <v>18</v>
      </c>
      <c r="J2" s="214" t="s">
        <v>19</v>
      </c>
      <c r="K2" s="214" t="s">
        <v>20</v>
      </c>
      <c r="L2" s="214" t="s">
        <v>21</v>
      </c>
      <c r="M2" s="214" t="s">
        <v>22</v>
      </c>
      <c r="N2" s="214" t="s">
        <v>23</v>
      </c>
      <c r="O2" s="214" t="s">
        <v>24</v>
      </c>
      <c r="P2" s="214" t="s">
        <v>25</v>
      </c>
      <c r="Q2" s="214" t="s">
        <v>26</v>
      </c>
      <c r="R2" s="214" t="s">
        <v>27</v>
      </c>
      <c r="S2" s="214" t="s">
        <v>28</v>
      </c>
      <c r="T2" s="214" t="s">
        <v>29</v>
      </c>
      <c r="U2" s="198" t="s">
        <v>30</v>
      </c>
      <c r="V2" s="198" t="s">
        <v>31</v>
      </c>
      <c r="W2" s="200"/>
      <c r="X2" s="336"/>
      <c r="Y2" s="326" t="s">
        <v>32</v>
      </c>
      <c r="Z2" s="327" t="s">
        <v>33</v>
      </c>
      <c r="AA2" s="196"/>
      <c r="AB2" s="197"/>
      <c r="AC2" s="197"/>
      <c r="AD2" s="197"/>
      <c r="AE2" s="197"/>
      <c r="AF2" s="197"/>
    </row>
    <row r="3" spans="1:32" ht="35.25" thickBot="1" x14ac:dyDescent="0.3">
      <c r="A3" s="201"/>
      <c r="B3" s="213"/>
      <c r="C3" s="201" t="s">
        <v>34</v>
      </c>
      <c r="D3" s="201" t="s">
        <v>35</v>
      </c>
      <c r="E3" s="201" t="s">
        <v>36</v>
      </c>
      <c r="F3" s="201" t="s">
        <v>37</v>
      </c>
      <c r="G3" s="201" t="s">
        <v>38</v>
      </c>
      <c r="H3" s="201" t="s">
        <v>39</v>
      </c>
      <c r="I3" s="201" t="s">
        <v>40</v>
      </c>
      <c r="J3" s="201" t="s">
        <v>41</v>
      </c>
      <c r="K3" s="201" t="s">
        <v>42</v>
      </c>
      <c r="L3" s="201" t="s">
        <v>43</v>
      </c>
      <c r="M3" s="201" t="s">
        <v>44</v>
      </c>
      <c r="N3" s="5" t="s">
        <v>45</v>
      </c>
      <c r="O3" s="5" t="s">
        <v>46</v>
      </c>
      <c r="P3" s="5" t="s">
        <v>47</v>
      </c>
      <c r="Q3" s="5" t="s">
        <v>48</v>
      </c>
      <c r="R3" s="201" t="s">
        <v>49</v>
      </c>
      <c r="S3" s="201" t="s">
        <v>50</v>
      </c>
      <c r="T3" s="201" t="s">
        <v>51</v>
      </c>
      <c r="U3" s="5"/>
      <c r="V3" s="321"/>
      <c r="W3" s="200"/>
      <c r="X3" s="336"/>
      <c r="Y3" s="328" t="s">
        <v>52</v>
      </c>
      <c r="Z3" s="329">
        <v>44573</v>
      </c>
      <c r="AA3" s="197"/>
      <c r="AB3" s="197"/>
      <c r="AC3" s="197"/>
      <c r="AD3" s="197"/>
      <c r="AE3" s="197"/>
      <c r="AF3" s="197"/>
    </row>
    <row r="4" spans="1:32" ht="21.75" customHeight="1" thickBot="1" x14ac:dyDescent="0.3">
      <c r="A4" s="279">
        <v>1</v>
      </c>
      <c r="B4" s="303" t="s">
        <v>53</v>
      </c>
      <c r="C4" s="303" t="str">
        <f t="shared" ref="C4:T4" si="0">IF(COUNTIF($Z$24:$Z$28,"*"&amp;C3&amp;"*"),"✔","")</f>
        <v/>
      </c>
      <c r="D4" s="303" t="str">
        <f t="shared" si="0"/>
        <v/>
      </c>
      <c r="E4" s="303" t="str">
        <f t="shared" si="0"/>
        <v/>
      </c>
      <c r="F4" s="303" t="str">
        <f t="shared" si="0"/>
        <v/>
      </c>
      <c r="G4" s="303" t="str">
        <f t="shared" si="0"/>
        <v/>
      </c>
      <c r="H4" s="303" t="str">
        <f>IF(COUNTIF($Z$24:$Z$29,"*"&amp;H3&amp;"*"),"✔","")</f>
        <v>✔</v>
      </c>
      <c r="I4" s="303" t="str">
        <f t="shared" si="0"/>
        <v/>
      </c>
      <c r="J4" s="303" t="str">
        <f t="shared" si="0"/>
        <v/>
      </c>
      <c r="K4" s="303" t="str">
        <f t="shared" si="0"/>
        <v/>
      </c>
      <c r="L4" s="303" t="str">
        <f t="shared" si="0"/>
        <v>✔</v>
      </c>
      <c r="M4" s="303" t="str">
        <f t="shared" si="0"/>
        <v/>
      </c>
      <c r="N4" s="303" t="str">
        <f t="shared" si="0"/>
        <v/>
      </c>
      <c r="O4" s="303" t="str">
        <f t="shared" si="0"/>
        <v/>
      </c>
      <c r="P4" s="303" t="str">
        <f t="shared" si="0"/>
        <v/>
      </c>
      <c r="Q4" s="303" t="str">
        <f t="shared" si="0"/>
        <v/>
      </c>
      <c r="R4" s="303" t="str">
        <f t="shared" si="0"/>
        <v/>
      </c>
      <c r="S4" s="303" t="str">
        <f t="shared" si="0"/>
        <v/>
      </c>
      <c r="T4" s="303" t="str">
        <f t="shared" si="0"/>
        <v/>
      </c>
      <c r="U4" s="318">
        <f>AA31+0.0022</f>
        <v>3.0632000000000003E-3</v>
      </c>
      <c r="V4" s="322">
        <f>AE32</f>
        <v>0</v>
      </c>
      <c r="W4" s="304"/>
      <c r="Y4" s="200"/>
      <c r="Z4" s="191"/>
      <c r="AA4" s="192"/>
      <c r="AB4" s="202"/>
      <c r="AC4" s="202"/>
      <c r="AD4" s="202"/>
      <c r="AE4" s="202"/>
      <c r="AF4" s="202"/>
    </row>
    <row r="5" spans="1:32" ht="21.75" customHeight="1" thickBot="1" x14ac:dyDescent="0.3">
      <c r="A5" s="280">
        <v>2</v>
      </c>
      <c r="B5" s="212" t="s">
        <v>53</v>
      </c>
      <c r="C5" s="7" t="str">
        <f t="shared" ref="C5:T5" si="1">IF(COUNTIF($Z$35:$Z$37,"*"&amp;C3&amp;"*"),"✔","")</f>
        <v/>
      </c>
      <c r="D5" s="7" t="str">
        <f t="shared" si="1"/>
        <v/>
      </c>
      <c r="E5" s="7" t="str">
        <f t="shared" si="1"/>
        <v/>
      </c>
      <c r="F5" s="7" t="str">
        <f t="shared" si="1"/>
        <v/>
      </c>
      <c r="G5" s="7" t="str">
        <f t="shared" si="1"/>
        <v/>
      </c>
      <c r="H5" s="7" t="str">
        <f t="shared" si="1"/>
        <v/>
      </c>
      <c r="I5" s="7" t="str">
        <f t="shared" si="1"/>
        <v/>
      </c>
      <c r="J5" s="7" t="str">
        <f t="shared" si="1"/>
        <v/>
      </c>
      <c r="K5" s="7" t="str">
        <f t="shared" si="1"/>
        <v/>
      </c>
      <c r="L5" s="7" t="str">
        <f t="shared" si="1"/>
        <v>✔</v>
      </c>
      <c r="M5" s="7" t="str">
        <f t="shared" si="1"/>
        <v/>
      </c>
      <c r="N5" s="7" t="str">
        <f t="shared" si="1"/>
        <v/>
      </c>
      <c r="O5" s="7" t="str">
        <f t="shared" si="1"/>
        <v/>
      </c>
      <c r="P5" s="7" t="str">
        <f t="shared" si="1"/>
        <v/>
      </c>
      <c r="Q5" s="7" t="str">
        <f t="shared" si="1"/>
        <v/>
      </c>
      <c r="R5" s="7" t="str">
        <f t="shared" si="1"/>
        <v/>
      </c>
      <c r="S5" s="7" t="str">
        <f t="shared" si="1"/>
        <v/>
      </c>
      <c r="T5" s="7" t="str">
        <f t="shared" si="1"/>
        <v/>
      </c>
      <c r="U5" s="319">
        <f>AA39</f>
        <v>7.3920000000000008E-4</v>
      </c>
      <c r="V5" s="322">
        <f>AE40</f>
        <v>9.2607999999999996E-3</v>
      </c>
      <c r="W5" s="304"/>
      <c r="Y5" s="200"/>
      <c r="Z5" s="193"/>
      <c r="AA5" s="192"/>
      <c r="AB5" s="202"/>
      <c r="AC5" s="202"/>
      <c r="AD5" s="202"/>
      <c r="AE5" s="202"/>
      <c r="AF5" s="202"/>
    </row>
    <row r="6" spans="1:32" ht="21.75" customHeight="1" thickBot="1" x14ac:dyDescent="0.3">
      <c r="A6" s="280">
        <v>3</v>
      </c>
      <c r="B6" s="212" t="s">
        <v>53</v>
      </c>
      <c r="C6" s="212" t="str">
        <f t="shared" ref="C6:T6" si="2">IF(COUNTIF($Z$43:$Z$44,"*"&amp;C3&amp;"*"),"✔","")</f>
        <v/>
      </c>
      <c r="D6" s="212" t="str">
        <f t="shared" si="2"/>
        <v/>
      </c>
      <c r="E6" s="212" t="str">
        <f t="shared" si="2"/>
        <v/>
      </c>
      <c r="F6" s="212" t="str">
        <f t="shared" si="2"/>
        <v/>
      </c>
      <c r="G6" s="212" t="str">
        <f t="shared" si="2"/>
        <v/>
      </c>
      <c r="H6" s="212" t="str">
        <f t="shared" si="2"/>
        <v/>
      </c>
      <c r="I6" s="212" t="str">
        <f t="shared" si="2"/>
        <v/>
      </c>
      <c r="J6" s="212" t="str">
        <f t="shared" si="2"/>
        <v/>
      </c>
      <c r="K6" s="212" t="str">
        <f t="shared" si="2"/>
        <v/>
      </c>
      <c r="L6" s="212" t="str">
        <f t="shared" si="2"/>
        <v>✔</v>
      </c>
      <c r="M6" s="212" t="str">
        <f t="shared" si="2"/>
        <v/>
      </c>
      <c r="N6" s="212" t="str">
        <f t="shared" si="2"/>
        <v/>
      </c>
      <c r="O6" s="212" t="str">
        <f t="shared" si="2"/>
        <v/>
      </c>
      <c r="P6" s="212" t="str">
        <f t="shared" si="2"/>
        <v/>
      </c>
      <c r="Q6" s="212" t="str">
        <f t="shared" si="2"/>
        <v/>
      </c>
      <c r="R6" s="212" t="str">
        <f t="shared" si="2"/>
        <v/>
      </c>
      <c r="S6" s="212" t="str">
        <f t="shared" si="2"/>
        <v/>
      </c>
      <c r="T6" s="212" t="str">
        <f t="shared" si="2"/>
        <v/>
      </c>
      <c r="U6" s="319">
        <f>AA45</f>
        <v>5.7600000000000001E-4</v>
      </c>
      <c r="V6" s="322">
        <f>AE46</f>
        <v>0.01</v>
      </c>
      <c r="W6" s="304"/>
      <c r="Y6" s="200"/>
      <c r="Z6" s="193"/>
      <c r="AA6" s="194"/>
      <c r="AB6" s="194"/>
      <c r="AC6" s="194"/>
      <c r="AD6" s="194"/>
      <c r="AE6" s="194"/>
      <c r="AF6" s="194"/>
    </row>
    <row r="7" spans="1:32" ht="21.75" customHeight="1" thickBot="1" x14ac:dyDescent="0.3">
      <c r="A7" s="280">
        <v>4</v>
      </c>
      <c r="B7" s="212" t="s">
        <v>53</v>
      </c>
      <c r="C7" s="7" t="str">
        <f t="shared" ref="C7:T7" si="3">IF(COUNTIF($Z$49:$Z$50,"*"&amp;C3&amp;"*"),"✔","")</f>
        <v/>
      </c>
      <c r="D7" s="7" t="str">
        <f t="shared" si="3"/>
        <v/>
      </c>
      <c r="E7" s="7" t="str">
        <f t="shared" si="3"/>
        <v/>
      </c>
      <c r="F7" s="7" t="str">
        <f t="shared" si="3"/>
        <v/>
      </c>
      <c r="G7" s="7" t="str">
        <f t="shared" si="3"/>
        <v/>
      </c>
      <c r="H7" s="7" t="str">
        <f t="shared" si="3"/>
        <v/>
      </c>
      <c r="I7" s="7" t="str">
        <f t="shared" si="3"/>
        <v/>
      </c>
      <c r="J7" s="7" t="str">
        <f t="shared" si="3"/>
        <v/>
      </c>
      <c r="K7" s="7" t="str">
        <f t="shared" si="3"/>
        <v/>
      </c>
      <c r="L7" s="7" t="str">
        <f t="shared" si="3"/>
        <v>✔</v>
      </c>
      <c r="M7" s="7" t="str">
        <f t="shared" si="3"/>
        <v/>
      </c>
      <c r="N7" s="7" t="str">
        <f t="shared" si="3"/>
        <v/>
      </c>
      <c r="O7" s="7" t="str">
        <f t="shared" si="3"/>
        <v/>
      </c>
      <c r="P7" s="7" t="str">
        <f t="shared" si="3"/>
        <v/>
      </c>
      <c r="Q7" s="7" t="str">
        <f t="shared" si="3"/>
        <v/>
      </c>
      <c r="R7" s="7" t="str">
        <f t="shared" si="3"/>
        <v/>
      </c>
      <c r="S7" s="7" t="str">
        <f t="shared" si="3"/>
        <v/>
      </c>
      <c r="T7" s="7" t="str">
        <f t="shared" si="3"/>
        <v/>
      </c>
      <c r="U7" s="319">
        <f>AA52+0.0024</f>
        <v>3.6335999999999999E-3</v>
      </c>
      <c r="V7" s="322">
        <f>AE53</f>
        <v>5.7600000000000001E-4</v>
      </c>
      <c r="W7" s="304"/>
      <c r="Y7" s="200"/>
      <c r="Z7" s="191"/>
      <c r="AA7" s="194"/>
      <c r="AB7" s="203"/>
      <c r="AC7" s="203"/>
      <c r="AD7" s="203"/>
      <c r="AE7" s="203"/>
      <c r="AF7" s="203"/>
    </row>
    <row r="8" spans="1:32" ht="21.75" customHeight="1" thickBot="1" x14ac:dyDescent="0.3">
      <c r="A8" s="280">
        <v>5</v>
      </c>
      <c r="B8" s="212" t="s">
        <v>53</v>
      </c>
      <c r="C8" s="212" t="str">
        <f t="shared" ref="C8:T8" si="4">IF(COUNTIF($Z$56:$Z$57,"*"&amp;C3&amp;"*"),"✔","")</f>
        <v/>
      </c>
      <c r="D8" s="212" t="str">
        <f t="shared" si="4"/>
        <v/>
      </c>
      <c r="E8" s="212" t="str">
        <f t="shared" si="4"/>
        <v/>
      </c>
      <c r="F8" s="212" t="str">
        <f t="shared" si="4"/>
        <v/>
      </c>
      <c r="G8" s="212" t="str">
        <f t="shared" si="4"/>
        <v/>
      </c>
      <c r="H8" s="212" t="str">
        <f t="shared" si="4"/>
        <v/>
      </c>
      <c r="I8" s="212" t="str">
        <f t="shared" si="4"/>
        <v/>
      </c>
      <c r="J8" s="212" t="str">
        <f t="shared" si="4"/>
        <v/>
      </c>
      <c r="K8" s="212" t="str">
        <f t="shared" si="4"/>
        <v/>
      </c>
      <c r="L8" s="212" t="str">
        <f t="shared" si="4"/>
        <v>✔</v>
      </c>
      <c r="M8" s="212" t="str">
        <f t="shared" si="4"/>
        <v/>
      </c>
      <c r="N8" s="212" t="str">
        <f t="shared" si="4"/>
        <v/>
      </c>
      <c r="O8" s="212" t="str">
        <f t="shared" si="4"/>
        <v/>
      </c>
      <c r="P8" s="212" t="str">
        <f t="shared" si="4"/>
        <v/>
      </c>
      <c r="Q8" s="212" t="str">
        <f t="shared" si="4"/>
        <v/>
      </c>
      <c r="R8" s="212" t="str">
        <f t="shared" si="4"/>
        <v/>
      </c>
      <c r="S8" s="212" t="str">
        <f t="shared" si="4"/>
        <v/>
      </c>
      <c r="T8" s="212" t="str">
        <f t="shared" si="4"/>
        <v/>
      </c>
      <c r="U8" s="319">
        <f>AA58</f>
        <v>5.7600000000000001E-4</v>
      </c>
      <c r="V8" s="322">
        <f>AE59</f>
        <v>0</v>
      </c>
      <c r="W8" s="304"/>
      <c r="Y8" s="200"/>
      <c r="Z8" s="193"/>
      <c r="AA8" s="192"/>
      <c r="AB8" s="202"/>
      <c r="AC8" s="202"/>
      <c r="AD8" s="202"/>
      <c r="AE8" s="202"/>
      <c r="AF8" s="202"/>
    </row>
    <row r="9" spans="1:32" ht="21.75" customHeight="1" thickBot="1" x14ac:dyDescent="0.3">
      <c r="A9" s="280">
        <v>6</v>
      </c>
      <c r="B9" s="212" t="s">
        <v>53</v>
      </c>
      <c r="C9" s="7" t="str">
        <f t="shared" ref="C9:T9" si="5">IF(COUNTIF($Z$62:$Z$63,"*"&amp;C3&amp;"*"),"✔","")</f>
        <v/>
      </c>
      <c r="D9" s="7" t="str">
        <f t="shared" si="5"/>
        <v/>
      </c>
      <c r="E9" s="7" t="str">
        <f t="shared" si="5"/>
        <v/>
      </c>
      <c r="F9" s="7" t="str">
        <f t="shared" si="5"/>
        <v/>
      </c>
      <c r="G9" s="7" t="str">
        <f t="shared" si="5"/>
        <v/>
      </c>
      <c r="H9" s="7" t="str">
        <f t="shared" si="5"/>
        <v/>
      </c>
      <c r="I9" s="7" t="str">
        <f t="shared" si="5"/>
        <v/>
      </c>
      <c r="J9" s="7" t="str">
        <f t="shared" si="5"/>
        <v/>
      </c>
      <c r="K9" s="7" t="str">
        <f t="shared" si="5"/>
        <v>✔</v>
      </c>
      <c r="L9" s="7" t="str">
        <f t="shared" si="5"/>
        <v>✔</v>
      </c>
      <c r="M9" s="7" t="str">
        <f t="shared" si="5"/>
        <v/>
      </c>
      <c r="N9" s="7" t="str">
        <f t="shared" si="5"/>
        <v/>
      </c>
      <c r="O9" s="7" t="str">
        <f t="shared" si="5"/>
        <v/>
      </c>
      <c r="P9" s="7" t="str">
        <f t="shared" si="5"/>
        <v/>
      </c>
      <c r="Q9" s="7" t="str">
        <f t="shared" si="5"/>
        <v/>
      </c>
      <c r="R9" s="7" t="str">
        <f t="shared" si="5"/>
        <v/>
      </c>
      <c r="S9" s="7" t="str">
        <f t="shared" si="5"/>
        <v/>
      </c>
      <c r="T9" s="7" t="str">
        <f t="shared" si="5"/>
        <v/>
      </c>
      <c r="U9" s="319">
        <f>AA64</f>
        <v>1.1520000000000002E-3</v>
      </c>
      <c r="V9" s="322">
        <f>AE65</f>
        <v>8.8408000000000011E-3</v>
      </c>
      <c r="W9" s="304"/>
      <c r="Y9" s="316" t="s">
        <v>54</v>
      </c>
      <c r="Z9" s="317">
        <f>J18</f>
        <v>0.1</v>
      </c>
      <c r="AA9" s="389" t="s">
        <v>55</v>
      </c>
      <c r="AB9" s="389"/>
      <c r="AC9" s="389"/>
      <c r="AD9" s="389"/>
      <c r="AE9" s="389"/>
      <c r="AF9" s="389"/>
    </row>
    <row r="10" spans="1:32" ht="21.75" customHeight="1" thickBot="1" x14ac:dyDescent="0.3">
      <c r="A10" s="280">
        <v>7</v>
      </c>
      <c r="B10" s="212" t="s">
        <v>53</v>
      </c>
      <c r="C10" s="212" t="str">
        <f t="shared" ref="C10:T10" si="6">IF(COUNTIF($Z$68:$Z$69,"*"&amp;C3&amp;"*"),"✔","")</f>
        <v/>
      </c>
      <c r="D10" s="212" t="str">
        <f t="shared" si="6"/>
        <v/>
      </c>
      <c r="E10" s="212" t="str">
        <f t="shared" si="6"/>
        <v/>
      </c>
      <c r="F10" s="212" t="str">
        <f t="shared" si="6"/>
        <v/>
      </c>
      <c r="G10" s="212" t="str">
        <f t="shared" si="6"/>
        <v/>
      </c>
      <c r="H10" s="212" t="str">
        <f t="shared" si="6"/>
        <v/>
      </c>
      <c r="I10" s="212" t="str">
        <f t="shared" si="6"/>
        <v/>
      </c>
      <c r="J10" s="212" t="str">
        <f t="shared" si="6"/>
        <v/>
      </c>
      <c r="K10" s="212" t="str">
        <f t="shared" si="6"/>
        <v/>
      </c>
      <c r="L10" s="212" t="str">
        <f t="shared" si="6"/>
        <v>✔</v>
      </c>
      <c r="M10" s="212" t="str">
        <f t="shared" si="6"/>
        <v/>
      </c>
      <c r="N10" s="212" t="str">
        <f t="shared" si="6"/>
        <v/>
      </c>
      <c r="O10" s="212" t="str">
        <f t="shared" si="6"/>
        <v/>
      </c>
      <c r="P10" s="212" t="str">
        <f t="shared" si="6"/>
        <v/>
      </c>
      <c r="Q10" s="212" t="str">
        <f t="shared" si="6"/>
        <v/>
      </c>
      <c r="R10" s="212" t="str">
        <f t="shared" si="6"/>
        <v/>
      </c>
      <c r="S10" s="212" t="str">
        <f t="shared" si="6"/>
        <v/>
      </c>
      <c r="T10" s="212" t="str">
        <f t="shared" si="6"/>
        <v/>
      </c>
      <c r="U10" s="319">
        <f>AA70</f>
        <v>5.7600000000000001E-4</v>
      </c>
      <c r="V10" s="322">
        <f>AE71</f>
        <v>0</v>
      </c>
      <c r="W10" s="304"/>
      <c r="Y10" s="317" t="s">
        <v>56</v>
      </c>
      <c r="Z10" s="317"/>
      <c r="AA10" s="390"/>
      <c r="AB10" s="390"/>
      <c r="AC10" s="390"/>
      <c r="AD10" s="390"/>
      <c r="AE10" s="390"/>
      <c r="AF10" s="390"/>
    </row>
    <row r="11" spans="1:32" ht="21.75" customHeight="1" thickBot="1" x14ac:dyDescent="0.3">
      <c r="A11" s="280">
        <v>8</v>
      </c>
      <c r="B11" s="212" t="s">
        <v>53</v>
      </c>
      <c r="C11" s="7" t="str">
        <f t="shared" ref="C11:T11" si="7">IF(COUNTIF($Z$74:$Z$75,"*"&amp;C3&amp;"*"),"✔","")</f>
        <v/>
      </c>
      <c r="D11" s="7" t="str">
        <f t="shared" si="7"/>
        <v/>
      </c>
      <c r="E11" s="7" t="str">
        <f t="shared" si="7"/>
        <v/>
      </c>
      <c r="F11" s="7" t="str">
        <f t="shared" si="7"/>
        <v/>
      </c>
      <c r="G11" s="7" t="str">
        <f t="shared" si="7"/>
        <v/>
      </c>
      <c r="H11" s="7" t="str">
        <f t="shared" si="7"/>
        <v/>
      </c>
      <c r="I11" s="7" t="str">
        <f t="shared" si="7"/>
        <v/>
      </c>
      <c r="J11" s="7" t="str">
        <f t="shared" si="7"/>
        <v/>
      </c>
      <c r="K11" s="7" t="str">
        <f t="shared" si="7"/>
        <v>✔</v>
      </c>
      <c r="L11" s="7" t="str">
        <f t="shared" si="7"/>
        <v>✔</v>
      </c>
      <c r="M11" s="7" t="str">
        <f t="shared" si="7"/>
        <v/>
      </c>
      <c r="N11" s="7" t="str">
        <f t="shared" si="7"/>
        <v/>
      </c>
      <c r="O11" s="7" t="str">
        <f t="shared" si="7"/>
        <v/>
      </c>
      <c r="P11" s="7" t="str">
        <f t="shared" si="7"/>
        <v/>
      </c>
      <c r="Q11" s="7" t="str">
        <f t="shared" si="7"/>
        <v/>
      </c>
      <c r="R11" s="7" t="str">
        <f t="shared" si="7"/>
        <v/>
      </c>
      <c r="S11" s="7" t="str">
        <f t="shared" si="7"/>
        <v/>
      </c>
      <c r="T11" s="7" t="str">
        <f t="shared" si="7"/>
        <v/>
      </c>
      <c r="U11" s="319">
        <f>AA76</f>
        <v>1.0704000000000002E-3</v>
      </c>
      <c r="V11" s="322">
        <f>AE77</f>
        <v>0</v>
      </c>
      <c r="W11" s="304"/>
      <c r="Y11" s="317" t="s">
        <v>57</v>
      </c>
      <c r="Z11" s="317">
        <f>J20</f>
        <v>0.01</v>
      </c>
      <c r="AA11" s="389" t="s">
        <v>58</v>
      </c>
      <c r="AB11" s="389"/>
      <c r="AC11" s="389"/>
      <c r="AD11" s="389"/>
      <c r="AE11" s="389"/>
      <c r="AF11" s="389"/>
    </row>
    <row r="12" spans="1:32" ht="21.75" customHeight="1" thickBot="1" x14ac:dyDescent="0.3">
      <c r="A12" s="280">
        <v>9</v>
      </c>
      <c r="B12" s="212" t="s">
        <v>53</v>
      </c>
      <c r="C12" s="212" t="str">
        <f t="shared" ref="C12:T12" si="8">IF(COUNTIF($Z$80:$Z$81,"*"&amp;C3&amp;"*"),"✔","")</f>
        <v/>
      </c>
      <c r="D12" s="212" t="str">
        <f t="shared" si="8"/>
        <v/>
      </c>
      <c r="E12" s="212" t="str">
        <f t="shared" si="8"/>
        <v/>
      </c>
      <c r="F12" s="212" t="str">
        <f t="shared" si="8"/>
        <v/>
      </c>
      <c r="G12" s="212" t="str">
        <f t="shared" si="8"/>
        <v/>
      </c>
      <c r="H12" s="212" t="str">
        <f t="shared" si="8"/>
        <v/>
      </c>
      <c r="I12" s="212" t="str">
        <f t="shared" si="8"/>
        <v/>
      </c>
      <c r="J12" s="212" t="str">
        <f t="shared" si="8"/>
        <v/>
      </c>
      <c r="K12" s="212" t="str">
        <f t="shared" si="8"/>
        <v/>
      </c>
      <c r="L12" s="212" t="str">
        <f t="shared" si="8"/>
        <v>✔</v>
      </c>
      <c r="M12" s="212" t="str">
        <f t="shared" si="8"/>
        <v>✔</v>
      </c>
      <c r="N12" s="212" t="str">
        <f t="shared" si="8"/>
        <v>✔</v>
      </c>
      <c r="O12" s="212" t="str">
        <f t="shared" si="8"/>
        <v/>
      </c>
      <c r="P12" s="212" t="str">
        <f t="shared" si="8"/>
        <v/>
      </c>
      <c r="Q12" s="212" t="str">
        <f t="shared" si="8"/>
        <v/>
      </c>
      <c r="R12" s="212" t="str">
        <f t="shared" si="8"/>
        <v/>
      </c>
      <c r="S12" s="212" t="str">
        <f t="shared" si="8"/>
        <v/>
      </c>
      <c r="T12" s="212" t="str">
        <f t="shared" si="8"/>
        <v/>
      </c>
      <c r="U12" s="319">
        <f>AA82</f>
        <v>1.2352000000000003E-3</v>
      </c>
      <c r="V12" s="322">
        <f>AE83</f>
        <v>0</v>
      </c>
      <c r="W12" s="304"/>
      <c r="Y12" s="200"/>
      <c r="Z12" s="191"/>
      <c r="AA12" s="194"/>
      <c r="AB12" s="203"/>
      <c r="AC12" s="203"/>
      <c r="AD12" s="203"/>
      <c r="AE12" s="203"/>
      <c r="AF12" s="203"/>
    </row>
    <row r="13" spans="1:32" ht="21.75" customHeight="1" thickBot="1" x14ac:dyDescent="0.3">
      <c r="A13" s="281">
        <v>10</v>
      </c>
      <c r="B13" s="212" t="s">
        <v>53</v>
      </c>
      <c r="C13" s="7" t="str">
        <f t="shared" ref="C13:T13" si="9">IF(COUNTIF($Z$85:$Z$87,"*"&amp;C3&amp;"*"),"✔","")</f>
        <v>✔</v>
      </c>
      <c r="D13" s="7" t="str">
        <f t="shared" si="9"/>
        <v>✔</v>
      </c>
      <c r="E13" s="7" t="str">
        <f t="shared" si="9"/>
        <v>✔</v>
      </c>
      <c r="F13" s="7" t="str">
        <f t="shared" si="9"/>
        <v>✔</v>
      </c>
      <c r="G13" s="7" t="str">
        <f t="shared" si="9"/>
        <v>✔</v>
      </c>
      <c r="H13" s="7" t="str">
        <f t="shared" si="9"/>
        <v/>
      </c>
      <c r="I13" s="7" t="str">
        <f t="shared" si="9"/>
        <v>✔</v>
      </c>
      <c r="J13" s="7" t="str">
        <f t="shared" si="9"/>
        <v>✔</v>
      </c>
      <c r="K13" s="7" t="str">
        <f t="shared" si="9"/>
        <v/>
      </c>
      <c r="L13" s="7" t="str">
        <f t="shared" si="9"/>
        <v>✔</v>
      </c>
      <c r="M13" s="7" t="str">
        <f t="shared" si="9"/>
        <v/>
      </c>
      <c r="N13" s="7" t="str">
        <f t="shared" si="9"/>
        <v/>
      </c>
      <c r="O13" s="7" t="str">
        <f t="shared" si="9"/>
        <v>✔</v>
      </c>
      <c r="P13" s="7" t="str">
        <f t="shared" si="9"/>
        <v>✔</v>
      </c>
      <c r="Q13" s="7" t="str">
        <f t="shared" si="9"/>
        <v>✔</v>
      </c>
      <c r="R13" s="7" t="str">
        <f t="shared" si="9"/>
        <v>✔</v>
      </c>
      <c r="S13" s="7" t="str">
        <f t="shared" si="9"/>
        <v>✔</v>
      </c>
      <c r="T13" s="7" t="str">
        <f t="shared" si="9"/>
        <v>✔</v>
      </c>
      <c r="U13" s="320">
        <f>AA90</f>
        <v>1.2344000000000001E-3</v>
      </c>
      <c r="V13" s="323">
        <f>AE90</f>
        <v>0</v>
      </c>
      <c r="W13" s="304"/>
      <c r="Y13" s="200"/>
      <c r="Z13" s="193"/>
      <c r="AA13" s="192"/>
      <c r="AB13" s="202"/>
      <c r="AC13" s="202"/>
      <c r="AD13" s="202"/>
      <c r="AE13" s="202"/>
      <c r="AF13" s="202"/>
    </row>
    <row r="14" spans="1:32" ht="21.75" customHeight="1" thickBot="1" x14ac:dyDescent="0.3">
      <c r="A14" s="282" t="s">
        <v>59</v>
      </c>
      <c r="B14" s="283" t="str">
        <f>IF(COUNTIF(B4:B13,"✔"),"✔","")</f>
        <v>✔</v>
      </c>
      <c r="C14" s="283" t="str">
        <f t="shared" ref="C14:T14" si="10">IF(COUNTIF(C4:C13,"✔"),"✔","")</f>
        <v>✔</v>
      </c>
      <c r="D14" s="283" t="str">
        <f t="shared" si="10"/>
        <v>✔</v>
      </c>
      <c r="E14" s="283" t="str">
        <f t="shared" si="10"/>
        <v>✔</v>
      </c>
      <c r="F14" s="283" t="str">
        <f t="shared" si="10"/>
        <v>✔</v>
      </c>
      <c r="G14" s="283" t="str">
        <f t="shared" si="10"/>
        <v>✔</v>
      </c>
      <c r="H14" s="283" t="str">
        <f t="shared" si="10"/>
        <v>✔</v>
      </c>
      <c r="I14" s="283" t="str">
        <f t="shared" si="10"/>
        <v>✔</v>
      </c>
      <c r="J14" s="283" t="str">
        <f t="shared" si="10"/>
        <v>✔</v>
      </c>
      <c r="K14" s="283" t="str">
        <f t="shared" si="10"/>
        <v>✔</v>
      </c>
      <c r="L14" s="283" t="str">
        <f t="shared" si="10"/>
        <v>✔</v>
      </c>
      <c r="M14" s="283" t="str">
        <f t="shared" si="10"/>
        <v>✔</v>
      </c>
      <c r="N14" s="283" t="str">
        <f t="shared" si="10"/>
        <v>✔</v>
      </c>
      <c r="O14" s="283" t="str">
        <f t="shared" si="10"/>
        <v>✔</v>
      </c>
      <c r="P14" s="283" t="str">
        <f t="shared" si="10"/>
        <v>✔</v>
      </c>
      <c r="Q14" s="283" t="str">
        <f t="shared" si="10"/>
        <v>✔</v>
      </c>
      <c r="R14" s="283" t="str">
        <f t="shared" si="10"/>
        <v>✔</v>
      </c>
      <c r="S14" s="283" t="str">
        <f t="shared" si="10"/>
        <v>✔</v>
      </c>
      <c r="T14" s="284" t="str">
        <f t="shared" si="10"/>
        <v>✔</v>
      </c>
      <c r="U14" s="264"/>
      <c r="V14" s="306"/>
      <c r="W14" s="264"/>
      <c r="Y14" s="312"/>
      <c r="Z14" s="312"/>
      <c r="AA14" s="312"/>
      <c r="AB14" s="312"/>
      <c r="AC14" s="312"/>
      <c r="AD14" s="203"/>
      <c r="AE14" s="203"/>
      <c r="AF14" s="203"/>
    </row>
    <row r="15" spans="1:32" ht="60.75" customHeight="1" x14ac:dyDescent="0.25">
      <c r="V15" s="314" t="s">
        <v>60</v>
      </c>
      <c r="W15" s="324">
        <f>Z9-SUM(V4:V13)</f>
        <v>7.1322400000000008E-2</v>
      </c>
      <c r="Y15" s="312"/>
      <c r="Z15" s="312"/>
      <c r="AA15" s="312"/>
      <c r="AB15" s="312"/>
      <c r="AC15" s="312"/>
      <c r="AD15" s="203"/>
      <c r="AE15" s="203"/>
      <c r="AF15" s="203"/>
    </row>
    <row r="16" spans="1:32" ht="30" x14ac:dyDescent="0.25">
      <c r="V16" s="315" t="s">
        <v>61</v>
      </c>
      <c r="W16" s="325">
        <f>AE95</f>
        <v>0.71322400000000008</v>
      </c>
      <c r="X16" s="338"/>
      <c r="Y16" s="312"/>
      <c r="Z16" s="312"/>
      <c r="AA16" s="312"/>
      <c r="AB16" s="312"/>
      <c r="AC16" s="312"/>
      <c r="AF16" s="211"/>
    </row>
    <row r="17" spans="1:37" ht="24" thickBot="1" x14ac:dyDescent="0.3">
      <c r="V17" s="315"/>
      <c r="W17" s="313"/>
      <c r="X17" s="338"/>
      <c r="Y17" s="312"/>
      <c r="Z17" s="312"/>
      <c r="AA17" s="312"/>
      <c r="AB17" s="312"/>
      <c r="AC17" s="312"/>
      <c r="AF17" s="211"/>
    </row>
    <row r="18" spans="1:37" ht="23.25" x14ac:dyDescent="0.25">
      <c r="A18" s="392" t="s">
        <v>54</v>
      </c>
      <c r="B18" s="393"/>
      <c r="C18" s="393"/>
      <c r="D18" s="393"/>
      <c r="E18" s="393"/>
      <c r="F18" s="393"/>
      <c r="G18" s="393"/>
      <c r="H18" s="393"/>
      <c r="I18" s="393"/>
      <c r="J18" s="398">
        <v>0.1</v>
      </c>
      <c r="K18" s="398"/>
      <c r="L18" s="398"/>
      <c r="M18" s="398"/>
      <c r="N18" s="398"/>
      <c r="O18" s="398"/>
      <c r="P18" s="398"/>
      <c r="Q18" s="398"/>
      <c r="R18" s="398"/>
      <c r="S18" s="398"/>
      <c r="T18" s="398"/>
      <c r="U18" s="401" t="s">
        <v>55</v>
      </c>
      <c r="V18" s="402"/>
      <c r="W18" s="313"/>
      <c r="X18" s="338"/>
      <c r="Y18" s="312"/>
      <c r="Z18" s="312"/>
      <c r="AA18" s="312"/>
      <c r="AB18" s="312"/>
      <c r="AC18" s="312"/>
      <c r="AF18" s="211"/>
    </row>
    <row r="19" spans="1:37" ht="26.25" customHeight="1" x14ac:dyDescent="0.25">
      <c r="A19" s="394" t="s">
        <v>56</v>
      </c>
      <c r="B19" s="395"/>
      <c r="C19" s="395"/>
      <c r="D19" s="395"/>
      <c r="E19" s="395"/>
      <c r="F19" s="395"/>
      <c r="G19" s="395"/>
      <c r="H19" s="395"/>
      <c r="I19" s="395"/>
      <c r="J19" s="399">
        <f>AA94</f>
        <v>1.3856000000000002E-2</v>
      </c>
      <c r="K19" s="399"/>
      <c r="L19" s="399"/>
      <c r="M19" s="399"/>
      <c r="N19" s="399"/>
      <c r="O19" s="399"/>
      <c r="P19" s="399"/>
      <c r="Q19" s="399"/>
      <c r="R19" s="399"/>
      <c r="S19" s="399"/>
      <c r="T19" s="399"/>
      <c r="U19" s="403"/>
      <c r="V19" s="404"/>
      <c r="W19" s="313"/>
      <c r="X19" s="338"/>
      <c r="Y19" s="391" t="s">
        <v>62</v>
      </c>
      <c r="Z19" s="391"/>
      <c r="AA19" s="312"/>
      <c r="AB19" s="312"/>
      <c r="AC19" s="312"/>
      <c r="AF19" s="211"/>
    </row>
    <row r="20" spans="1:37" ht="64.5" customHeight="1" thickBot="1" x14ac:dyDescent="0.3">
      <c r="A20" s="396" t="s">
        <v>57</v>
      </c>
      <c r="B20" s="397"/>
      <c r="C20" s="397"/>
      <c r="D20" s="397"/>
      <c r="E20" s="397"/>
      <c r="F20" s="397"/>
      <c r="G20" s="397"/>
      <c r="H20" s="397"/>
      <c r="I20" s="397"/>
      <c r="J20" s="400">
        <v>0.01</v>
      </c>
      <c r="K20" s="400"/>
      <c r="L20" s="400"/>
      <c r="M20" s="400"/>
      <c r="N20" s="400"/>
      <c r="O20" s="400"/>
      <c r="P20" s="400"/>
      <c r="Q20" s="400"/>
      <c r="R20" s="400"/>
      <c r="S20" s="400"/>
      <c r="T20" s="400"/>
      <c r="U20" s="405" t="s">
        <v>58</v>
      </c>
      <c r="V20" s="406"/>
      <c r="W20" s="313"/>
      <c r="X20" s="338"/>
      <c r="Y20" s="391"/>
      <c r="Z20" s="391"/>
      <c r="AA20" s="312"/>
      <c r="AB20" s="312"/>
      <c r="AC20" s="312"/>
      <c r="AF20" s="211"/>
    </row>
    <row r="21" spans="1:37" ht="15.75" thickBot="1" x14ac:dyDescent="0.3">
      <c r="B21" s="204"/>
      <c r="J21" s="246"/>
      <c r="U21" s="264"/>
      <c r="V21" s="308"/>
      <c r="W21" s="301"/>
      <c r="X21" s="338"/>
      <c r="Y21" s="204"/>
    </row>
    <row r="22" spans="1:37" ht="15.75" thickBot="1" x14ac:dyDescent="0.3">
      <c r="B22" s="204"/>
      <c r="K22" s="204"/>
      <c r="U22" s="264"/>
      <c r="V22" s="372"/>
      <c r="W22" s="300"/>
      <c r="X22" s="339"/>
      <c r="Y22" s="247"/>
      <c r="Z22" s="248"/>
      <c r="AA22" s="249"/>
      <c r="AB22" s="250"/>
      <c r="AC22" s="204"/>
      <c r="AD22" s="204"/>
      <c r="AE22" s="204"/>
    </row>
    <row r="23" spans="1:37" ht="21.75" thickBot="1" x14ac:dyDescent="0.3">
      <c r="A23" s="258"/>
      <c r="V23" s="309"/>
      <c r="W23" s="302"/>
      <c r="X23" s="340" t="s">
        <v>63</v>
      </c>
      <c r="Y23" s="255" t="s">
        <v>64</v>
      </c>
      <c r="Z23" s="256" t="s">
        <v>65</v>
      </c>
      <c r="AA23" s="253" t="s">
        <v>66</v>
      </c>
      <c r="AB23" s="254" t="s">
        <v>67</v>
      </c>
      <c r="AC23" s="257" t="s">
        <v>68</v>
      </c>
      <c r="AD23" s="292"/>
      <c r="AE23" s="293" t="s">
        <v>69</v>
      </c>
    </row>
    <row r="24" spans="1:37" ht="21" x14ac:dyDescent="0.25">
      <c r="A24" s="258"/>
      <c r="X24" s="341"/>
      <c r="Y24" s="260" t="s">
        <v>70</v>
      </c>
      <c r="Z24" s="256"/>
      <c r="AA24" s="265"/>
      <c r="AB24" s="254"/>
      <c r="AC24" s="257"/>
      <c r="AD24" s="289"/>
      <c r="AE24" s="290"/>
      <c r="AG24" s="334" t="s">
        <v>71</v>
      </c>
      <c r="AH24" s="334" t="s">
        <v>72</v>
      </c>
      <c r="AI24" s="332" t="s">
        <v>73</v>
      </c>
    </row>
    <row r="25" spans="1:37" s="239" customFormat="1" x14ac:dyDescent="0.25">
      <c r="B25" s="238"/>
      <c r="K25" s="238"/>
      <c r="V25" s="307"/>
      <c r="X25" s="342">
        <v>1</v>
      </c>
      <c r="Y25" s="352" t="str">
        <f>'Safety Mechanism Timing'!B187</f>
        <v>Cell Measurements - Cycle 1</v>
      </c>
      <c r="Z25" s="204" t="str">
        <f>'Safety Mechanism Timing'!B197</f>
        <v>SM12-</v>
      </c>
      <c r="AA25" s="277">
        <f>'Safety Mechanism Timing'!G197</f>
        <v>5.7600000000000001E-4</v>
      </c>
      <c r="AB25" s="241">
        <f>'Safety Mechanism Timing'!H197</f>
        <v>8.2500000000000004E-3</v>
      </c>
      <c r="AC25" s="240">
        <f>AB25*AA25</f>
        <v>4.7520000000000004E-6</v>
      </c>
      <c r="AD25" s="241"/>
      <c r="AE25" s="240">
        <f>'Safety Mechanism Timing'!J197</f>
        <v>0</v>
      </c>
      <c r="AG25" s="333">
        <f>(X25-1)*$J$20</f>
        <v>0</v>
      </c>
      <c r="AH25" s="333">
        <f>AG25+AA25</f>
        <v>5.7600000000000001E-4</v>
      </c>
      <c r="AI25" s="239">
        <f>AH25-AG25</f>
        <v>5.7600000000000001E-4</v>
      </c>
      <c r="AK25" s="239" t="str">
        <f>_xlfn.CONCAT("Periodic Cell Measurement-",Z25)</f>
        <v>Periodic Cell Measurement-SM12-</v>
      </c>
    </row>
    <row r="26" spans="1:37" x14ac:dyDescent="0.25">
      <c r="X26" s="343">
        <v>1.1000000000000001</v>
      </c>
      <c r="Y26" s="352" t="str">
        <f>'Safety Mechanism Timing'!B199</f>
        <v>SM6 - Initialization</v>
      </c>
      <c r="Z26" s="204" t="str">
        <f>'Safety Mechanism Timing'!B203</f>
        <v/>
      </c>
      <c r="AA26" s="277">
        <f>'Safety Mechanism Timing'!G203</f>
        <v>8.1600000000000005E-5</v>
      </c>
      <c r="AB26" s="241">
        <f>'Safety Mechanism Timing'!H203</f>
        <v>8.2500000000000004E-3</v>
      </c>
      <c r="AC26" s="240">
        <f t="shared" ref="AC26:AC86" si="11">AB26*AA26</f>
        <v>6.7320000000000007E-7</v>
      </c>
      <c r="AD26" s="241"/>
      <c r="AE26" s="240">
        <f>'Safety Mechanism Timing'!J203</f>
        <v>0</v>
      </c>
      <c r="AG26" s="333">
        <f>AH25</f>
        <v>5.7600000000000001E-4</v>
      </c>
      <c r="AH26" s="333">
        <f t="shared" ref="AH26:AH28" si="12">AG26+AA26</f>
        <v>6.5760000000000005E-4</v>
      </c>
      <c r="AI26" s="239">
        <f t="shared" ref="AI26:AI28" si="13">AH26-AG26</f>
        <v>8.1600000000000032E-5</v>
      </c>
      <c r="AK26" s="239" t="str">
        <f t="shared" ref="AK26:AK28" si="14">_xlfn.CONCAT(Y26,"-",Z26)</f>
        <v>SM6 - Initialization-</v>
      </c>
    </row>
    <row r="27" spans="1:37" x14ac:dyDescent="0.25">
      <c r="X27" s="343">
        <v>1.2</v>
      </c>
      <c r="Y27" s="352" t="str">
        <f>'Safety Mechanism Timing'!B205</f>
        <v>SM6 - 2.2ms Delay</v>
      </c>
      <c r="Z27" s="204" t="str">
        <f>'Safety Mechanism Timing'!B208</f>
        <v/>
      </c>
      <c r="AA27" s="240"/>
      <c r="AB27" s="241">
        <f>'Safety Mechanism Timing'!H208</f>
        <v>0</v>
      </c>
      <c r="AC27" s="240">
        <f t="shared" si="11"/>
        <v>0</v>
      </c>
      <c r="AD27" s="241"/>
      <c r="AE27" s="240">
        <f>'Safety Mechanism Timing'!J208</f>
        <v>0</v>
      </c>
      <c r="AG27" s="333">
        <f t="shared" ref="AG27:AG28" si="15">AH26</f>
        <v>6.5760000000000005E-4</v>
      </c>
      <c r="AH27" s="333">
        <f>AG27+AA27+0.0022</f>
        <v>2.8576000000000001E-3</v>
      </c>
      <c r="AI27" s="239">
        <f t="shared" si="13"/>
        <v>2.2000000000000001E-3</v>
      </c>
      <c r="AK27" s="239" t="str">
        <f t="shared" si="14"/>
        <v>SM6 - 2.2ms Delay-</v>
      </c>
    </row>
    <row r="28" spans="1:37" x14ac:dyDescent="0.25">
      <c r="X28" s="343">
        <v>1.3</v>
      </c>
      <c r="Y28" s="352" t="str">
        <f>'Safety Mechanism Timing'!B210</f>
        <v>SM6 - Cell Value Out-of-Range Test</v>
      </c>
      <c r="Z28" s="204" t="str">
        <f>'Safety Mechanism Timing'!B214</f>
        <v/>
      </c>
      <c r="AA28" s="277">
        <f>'Safety Mechanism Timing'!G214</f>
        <v>1.2320000000000001E-4</v>
      </c>
      <c r="AB28" s="241">
        <f>'Safety Mechanism Timing'!H214</f>
        <v>8.2500000000000004E-3</v>
      </c>
      <c r="AC28" s="240">
        <f t="shared" si="11"/>
        <v>1.0164000000000001E-6</v>
      </c>
      <c r="AD28" s="241"/>
      <c r="AE28" s="240">
        <f>'Safety Mechanism Timing'!J214</f>
        <v>0</v>
      </c>
      <c r="AG28" s="333">
        <f t="shared" si="15"/>
        <v>2.8576000000000001E-3</v>
      </c>
      <c r="AH28" s="333">
        <f t="shared" si="12"/>
        <v>2.9808E-3</v>
      </c>
      <c r="AI28" s="239">
        <f t="shared" si="13"/>
        <v>1.2319999999999996E-4</v>
      </c>
      <c r="AK28" s="239" t="str">
        <f t="shared" si="14"/>
        <v>SM6 - Cell Value Out-of-Range Test-</v>
      </c>
    </row>
    <row r="29" spans="1:37" x14ac:dyDescent="0.25">
      <c r="X29" s="343">
        <v>1.4</v>
      </c>
      <c r="Y29" s="352" t="str">
        <f>'Safety Mechanism Timing'!B216</f>
        <v>SM6 - Cell Value In-Range test</v>
      </c>
      <c r="Z29" s="204" t="str">
        <f>'Safety Mechanism Timing'!B219</f>
        <v>SM6-</v>
      </c>
      <c r="AA29" s="277">
        <f>'Safety Mechanism Timing'!G219</f>
        <v>8.2399999999999997E-5</v>
      </c>
      <c r="AB29" s="241"/>
      <c r="AC29" s="240"/>
      <c r="AD29" s="241"/>
      <c r="AE29" s="240">
        <f>'Safety Mechanism Timing'!J219</f>
        <v>0</v>
      </c>
      <c r="AI29" s="239"/>
    </row>
    <row r="30" spans="1:37" x14ac:dyDescent="0.25">
      <c r="X30" s="343"/>
      <c r="Y30" s="242"/>
      <c r="Z30" s="204" t="s">
        <v>74</v>
      </c>
      <c r="AA30" s="277"/>
      <c r="AB30" s="241"/>
      <c r="AC30" s="240"/>
      <c r="AD30" s="241"/>
      <c r="AE30" s="240">
        <f>'Safety Mechanism Timing'!J224</f>
        <v>0</v>
      </c>
      <c r="AI30" s="239"/>
    </row>
    <row r="31" spans="1:37" x14ac:dyDescent="0.25">
      <c r="X31" s="342"/>
      <c r="Y31" s="207"/>
      <c r="Z31" s="271" t="s">
        <v>75</v>
      </c>
      <c r="AA31" s="272">
        <f>SUM(AA25:AA29)</f>
        <v>8.6320000000000017E-4</v>
      </c>
      <c r="AB31" s="241"/>
      <c r="AC31" s="240"/>
      <c r="AD31" s="241"/>
      <c r="AE31" s="240"/>
    </row>
    <row r="32" spans="1:37" ht="15.75" thickBot="1" x14ac:dyDescent="0.3">
      <c r="X32" s="344"/>
      <c r="Y32" s="261"/>
      <c r="Z32" s="273" t="s">
        <v>76</v>
      </c>
      <c r="AA32" s="274">
        <f>IF((($Z$11-AA31)-0.0022) &gt;0,($Z$11-AA31)-0.0022,0)</f>
        <v>6.9367999999999999E-3</v>
      </c>
      <c r="AB32" s="262"/>
      <c r="AC32" s="263"/>
      <c r="AD32" s="291" t="s">
        <v>77</v>
      </c>
      <c r="AE32" s="294">
        <f>SUM(AE25:AE29)</f>
        <v>0</v>
      </c>
    </row>
    <row r="33" spans="24:37" ht="15.75" thickBot="1" x14ac:dyDescent="0.3">
      <c r="X33" s="345"/>
      <c r="Y33" s="264"/>
      <c r="Z33" s="3"/>
      <c r="AA33" s="3"/>
      <c r="AB33" s="243"/>
      <c r="AC33" s="243"/>
      <c r="AD33" s="243"/>
      <c r="AE33" s="243"/>
    </row>
    <row r="34" spans="24:37" x14ac:dyDescent="0.25">
      <c r="X34" s="346"/>
      <c r="Y34" s="260" t="s">
        <v>78</v>
      </c>
      <c r="Z34" s="266"/>
      <c r="AA34" s="267"/>
      <c r="AB34" s="268"/>
      <c r="AC34" s="267"/>
      <c r="AD34" s="268"/>
      <c r="AE34" s="267"/>
      <c r="AG34" s="334" t="s">
        <v>71</v>
      </c>
      <c r="AH34" s="334" t="s">
        <v>72</v>
      </c>
      <c r="AI34" s="332" t="s">
        <v>73</v>
      </c>
    </row>
    <row r="35" spans="24:37" x14ac:dyDescent="0.25">
      <c r="X35" s="343">
        <v>2</v>
      </c>
      <c r="Y35" s="352" t="str">
        <f>'Safety Mechanism Timing'!B226</f>
        <v>Cell Measurements - Cycle 2</v>
      </c>
      <c r="Z35" s="204" t="str">
        <f>'Safety Mechanism Timing'!B236</f>
        <v>SM12-</v>
      </c>
      <c r="AA35" s="277">
        <f>'Safety Mechanism Timing'!G236</f>
        <v>5.7600000000000001E-4</v>
      </c>
      <c r="AB35" s="241">
        <f>'Safety Mechanism Timing'!H236</f>
        <v>8.2500000000000004E-3</v>
      </c>
      <c r="AC35" s="240">
        <f t="shared" si="11"/>
        <v>4.7520000000000004E-6</v>
      </c>
      <c r="AD35" s="241"/>
      <c r="AE35" s="240">
        <f>'Safety Mechanism Timing'!J236</f>
        <v>0</v>
      </c>
      <c r="AG35" s="333">
        <f>(X35-1)*$J$20</f>
        <v>0.01</v>
      </c>
      <c r="AH35" s="333">
        <f t="shared" ref="AH35" si="16">AG35+AA35</f>
        <v>1.0576E-2</v>
      </c>
      <c r="AI35" s="239">
        <f t="shared" ref="AI35:AI37" si="17">AH35-AG35</f>
        <v>5.7600000000000012E-4</v>
      </c>
      <c r="AK35" s="239" t="str">
        <f>_xlfn.CONCAT("Periodic Cell Measurement-",Z35)</f>
        <v>Periodic Cell Measurement-SM12-</v>
      </c>
    </row>
    <row r="36" spans="24:37" x14ac:dyDescent="0.25">
      <c r="X36" s="342">
        <v>2.1</v>
      </c>
      <c r="Y36" s="352" t="str">
        <f>'Safety Mechanism Timing'!B238</f>
        <v>Trigger AUX ADC &amp; Redundant AUX ADC</v>
      </c>
      <c r="Z36" s="204" t="str">
        <f>'Safety Mechanism Timing'!B248</f>
        <v/>
      </c>
      <c r="AA36" s="277">
        <f>'Safety Mechanism Timing'!G243</f>
        <v>1.2239999999999999E-4</v>
      </c>
      <c r="AB36" s="241">
        <f>'Safety Mechanism Timing'!H243</f>
        <v>1.0256666666666667E-2</v>
      </c>
      <c r="AC36" s="240">
        <f t="shared" si="11"/>
        <v>1.2554160000000001E-6</v>
      </c>
      <c r="AD36" s="241"/>
      <c r="AE36" s="240">
        <f>'Safety Mechanism Timing'!J243</f>
        <v>0</v>
      </c>
      <c r="AG36" s="333">
        <f t="shared" ref="AG36:AG37" si="18">AH35</f>
        <v>1.0576E-2</v>
      </c>
      <c r="AH36" s="333">
        <f>AG36+AA36</f>
        <v>1.06984E-2</v>
      </c>
      <c r="AI36" s="239">
        <f t="shared" si="17"/>
        <v>1.2239999999999994E-4</v>
      </c>
      <c r="AK36" s="239" t="str">
        <f t="shared" ref="AK36:AK37" si="19">_xlfn.CONCAT(Y36,"-",Z36)</f>
        <v>Trigger AUX ADC &amp; Redundant AUX ADC-</v>
      </c>
    </row>
    <row r="37" spans="24:37" x14ac:dyDescent="0.25">
      <c r="X37" s="343">
        <v>2.2000000000000002</v>
      </c>
      <c r="Y37" s="352" t="str">
        <f>'Safety Mechanism Timing'!B245</f>
        <v>SM1 - Trigger Cell Redundant Measuments</v>
      </c>
      <c r="Z37" s="204" t="str">
        <f>'Safety Mechanism Timing'!B248</f>
        <v/>
      </c>
      <c r="AA37" s="277">
        <f>'Safety Mechanism Timing'!G248</f>
        <v>4.0800000000000002E-5</v>
      </c>
      <c r="AB37" s="241">
        <f>'Safety Mechanism Timing'!H248</f>
        <v>1.1259999999999999E-2</v>
      </c>
      <c r="AC37" s="240">
        <f t="shared" si="11"/>
        <v>4.5940800000000001E-7</v>
      </c>
      <c r="AD37" s="241"/>
      <c r="AE37" s="240">
        <f>'Safety Mechanism Timing'!J248</f>
        <v>0</v>
      </c>
      <c r="AG37" s="333">
        <f t="shared" si="18"/>
        <v>1.06984E-2</v>
      </c>
      <c r="AH37" s="333">
        <f t="shared" ref="AH37" si="20">AG37+AA37</f>
        <v>1.0739200000000001E-2</v>
      </c>
      <c r="AI37" s="239">
        <f t="shared" si="17"/>
        <v>4.0800000000000558E-5</v>
      </c>
      <c r="AK37" s="239" t="str">
        <f t="shared" si="19"/>
        <v>SM1 - Trigger Cell Redundant Measuments-</v>
      </c>
    </row>
    <row r="38" spans="24:37" x14ac:dyDescent="0.25">
      <c r="X38" s="343"/>
      <c r="Y38" s="278" t="s">
        <v>79</v>
      </c>
      <c r="Z38" s="204"/>
      <c r="AA38" s="240"/>
      <c r="AB38" s="241"/>
      <c r="AC38" s="240"/>
      <c r="AD38" s="241"/>
      <c r="AE38" s="240">
        <f>'Safety Mechanism Timing'!J253</f>
        <v>9.2607999999999996E-3</v>
      </c>
    </row>
    <row r="39" spans="24:37" x14ac:dyDescent="0.25">
      <c r="X39" s="343"/>
      <c r="Y39" s="207"/>
      <c r="Z39" s="271" t="s">
        <v>75</v>
      </c>
      <c r="AA39" s="272">
        <f>SUM(AA35:AA38)</f>
        <v>7.3920000000000008E-4</v>
      </c>
      <c r="AB39" s="241"/>
      <c r="AC39" s="240"/>
      <c r="AD39" s="241"/>
      <c r="AE39" s="240"/>
    </row>
    <row r="40" spans="24:37" ht="15.75" thickBot="1" x14ac:dyDescent="0.3">
      <c r="X40" s="347"/>
      <c r="Y40" s="261"/>
      <c r="Z40" s="273" t="s">
        <v>76</v>
      </c>
      <c r="AA40" s="274">
        <f>IF(($Z$11-AA39) &gt; 0, $Z$11-AA39,0)</f>
        <v>9.2607999999999996E-3</v>
      </c>
      <c r="AB40" s="262"/>
      <c r="AC40" s="263"/>
      <c r="AD40" s="291" t="s">
        <v>77</v>
      </c>
      <c r="AE40" s="294">
        <f>SUM(AE35:AE38)</f>
        <v>9.2607999999999996E-3</v>
      </c>
    </row>
    <row r="41" spans="24:37" ht="15.75" thickBot="1" x14ac:dyDescent="0.3">
      <c r="X41" s="345"/>
      <c r="Y41" s="248"/>
      <c r="Z41" s="269"/>
      <c r="AA41" s="269"/>
      <c r="AB41" s="270"/>
      <c r="AC41" s="270"/>
      <c r="AD41" s="243"/>
      <c r="AE41" s="243"/>
    </row>
    <row r="42" spans="24:37" x14ac:dyDescent="0.25">
      <c r="X42" s="348"/>
      <c r="Y42" s="260" t="s">
        <v>80</v>
      </c>
      <c r="Z42" s="204"/>
      <c r="AA42" s="243"/>
      <c r="AB42" s="241"/>
      <c r="AC42" s="240"/>
      <c r="AD42" s="268"/>
      <c r="AE42" s="267"/>
      <c r="AG42" s="334" t="s">
        <v>71</v>
      </c>
      <c r="AH42" s="334" t="s">
        <v>72</v>
      </c>
      <c r="AI42" s="332" t="s">
        <v>73</v>
      </c>
    </row>
    <row r="43" spans="24:37" x14ac:dyDescent="0.25">
      <c r="X43" s="343">
        <v>3</v>
      </c>
      <c r="Y43" s="352" t="str">
        <f>'Safety Mechanism Timing'!B255</f>
        <v>Cell Measurements - Cycle 3</v>
      </c>
      <c r="Z43" s="204" t="str">
        <f>'Safety Mechanism Timing'!B265</f>
        <v>SM12-</v>
      </c>
      <c r="AA43" s="277">
        <f>'Safety Mechanism Timing'!G265</f>
        <v>5.7600000000000001E-4</v>
      </c>
      <c r="AB43" s="241">
        <f>'Safety Mechanism Timing'!H265</f>
        <v>8.2500000000000004E-3</v>
      </c>
      <c r="AC43" s="240">
        <f>AB43*AA43</f>
        <v>4.7520000000000004E-6</v>
      </c>
      <c r="AD43" s="241"/>
      <c r="AE43" s="240">
        <f>'Safety Mechanism Timing'!J265</f>
        <v>5.7600000000000001E-4</v>
      </c>
      <c r="AG43" s="333">
        <f>(X43-1)*$J$20</f>
        <v>0.02</v>
      </c>
      <c r="AH43" s="333">
        <f>AG43+AA43</f>
        <v>2.0576000000000001E-2</v>
      </c>
      <c r="AI43" s="239">
        <f>AH43-AG43</f>
        <v>5.7600000000000012E-4</v>
      </c>
      <c r="AK43" s="239" t="str">
        <f>_xlfn.CONCAT("Periodic Cell Measurement-",Z43)</f>
        <v>Periodic Cell Measurement-SM12-</v>
      </c>
    </row>
    <row r="44" spans="24:37" x14ac:dyDescent="0.25">
      <c r="X44" s="343"/>
      <c r="Y44" s="278" t="s">
        <v>81</v>
      </c>
      <c r="Z44" s="204"/>
      <c r="AA44" s="240"/>
      <c r="AB44" s="241"/>
      <c r="AC44" s="240"/>
      <c r="AD44" s="241"/>
      <c r="AE44" s="240">
        <f>'Safety Mechanism Timing'!J270</f>
        <v>9.4240000000000001E-3</v>
      </c>
      <c r="AI44" s="239"/>
    </row>
    <row r="45" spans="24:37" x14ac:dyDescent="0.25">
      <c r="X45" s="343"/>
      <c r="Y45" s="275"/>
      <c r="Z45" s="271" t="s">
        <v>75</v>
      </c>
      <c r="AA45" s="272">
        <f>SUM(AA43)</f>
        <v>5.7600000000000001E-4</v>
      </c>
      <c r="AB45" s="241"/>
      <c r="AC45" s="240"/>
      <c r="AD45" s="241"/>
      <c r="AE45" s="240"/>
      <c r="AI45" s="239"/>
    </row>
    <row r="46" spans="24:37" ht="15.75" thickBot="1" x14ac:dyDescent="0.3">
      <c r="X46" s="347"/>
      <c r="Y46" s="261"/>
      <c r="Z46" s="273" t="s">
        <v>76</v>
      </c>
      <c r="AA46" s="274">
        <f>IF(($Z$11-AA45) &gt;0,$Z$11-AA45,0)</f>
        <v>9.4240000000000001E-3</v>
      </c>
      <c r="AB46" s="262"/>
      <c r="AC46" s="263"/>
      <c r="AD46" s="291" t="s">
        <v>77</v>
      </c>
      <c r="AE46" s="294">
        <f>SUM(AE43:AE44)</f>
        <v>0.01</v>
      </c>
      <c r="AI46" s="239"/>
    </row>
    <row r="47" spans="24:37" ht="15.75" thickBot="1" x14ac:dyDescent="0.3">
      <c r="X47" s="345"/>
      <c r="Y47" s="248"/>
      <c r="Z47" s="269"/>
      <c r="AA47" s="269"/>
      <c r="AB47" s="270"/>
      <c r="AC47" s="270"/>
      <c r="AD47" s="243"/>
      <c r="AE47" s="243"/>
    </row>
    <row r="48" spans="24:37" x14ac:dyDescent="0.25">
      <c r="X48" s="348"/>
      <c r="Y48" s="260" t="s">
        <v>82</v>
      </c>
      <c r="Z48" s="204"/>
      <c r="AA48" s="243"/>
      <c r="AB48" s="241"/>
      <c r="AC48" s="240"/>
      <c r="AD48" s="268"/>
      <c r="AE48" s="267"/>
      <c r="AG48" s="334" t="s">
        <v>71</v>
      </c>
      <c r="AH48" s="334" t="s">
        <v>72</v>
      </c>
      <c r="AI48" s="332" t="s">
        <v>73</v>
      </c>
    </row>
    <row r="49" spans="24:37" x14ac:dyDescent="0.25">
      <c r="X49" s="343">
        <v>4</v>
      </c>
      <c r="Y49" s="352" t="str">
        <f>'Safety Mechanism Timing'!B272</f>
        <v>Cell Measurements - Cycle 4</v>
      </c>
      <c r="Z49" s="204" t="str">
        <f>'Safety Mechanism Timing'!B265</f>
        <v>SM12-</v>
      </c>
      <c r="AA49" s="276">
        <f>'Safety Mechanism Timing'!G282</f>
        <v>5.7600000000000001E-4</v>
      </c>
      <c r="AB49" s="241">
        <f>'Safety Mechanism Timing'!H282</f>
        <v>8.2500000000000004E-3</v>
      </c>
      <c r="AC49" s="240">
        <f t="shared" si="11"/>
        <v>4.7520000000000004E-6</v>
      </c>
      <c r="AD49" s="241"/>
      <c r="AE49" s="240">
        <f>'Safety Mechanism Timing'!J282</f>
        <v>5.7600000000000001E-4</v>
      </c>
      <c r="AG49" s="333">
        <f>(X49-1)*$J$20</f>
        <v>0.03</v>
      </c>
      <c r="AH49" s="333">
        <f>AG49+AA49</f>
        <v>3.0575999999999999E-2</v>
      </c>
      <c r="AI49" s="239">
        <f>AH49-AG49</f>
        <v>5.7600000000000012E-4</v>
      </c>
      <c r="AK49" s="239" t="str">
        <f>_xlfn.CONCAT("Periodic Cell Measurement-",Z49)</f>
        <v>Periodic Cell Measurement-SM12-</v>
      </c>
    </row>
    <row r="50" spans="24:37" x14ac:dyDescent="0.25">
      <c r="X50" s="343">
        <v>4.0999999999999996</v>
      </c>
      <c r="Y50" s="352" t="str">
        <f>'Safety Mechanism Timing'!B284</f>
        <v>Redundant Measurement 16ms Delay</v>
      </c>
      <c r="Z50" s="204" t="str">
        <f>'Safety Mechanism Timing'!B287</f>
        <v/>
      </c>
      <c r="AA50" s="243">
        <f>'Safety Mechanism Timing'!G287</f>
        <v>0</v>
      </c>
      <c r="AB50" s="241">
        <f>'Safety Mechanism Timing'!H287</f>
        <v>0</v>
      </c>
      <c r="AC50" s="240">
        <f t="shared" si="11"/>
        <v>0</v>
      </c>
      <c r="AD50" s="241"/>
      <c r="AE50" s="240">
        <f>'Safety Mechanism Timing'!J284</f>
        <v>0</v>
      </c>
      <c r="AG50" s="333">
        <f>AH49</f>
        <v>3.0575999999999999E-2</v>
      </c>
      <c r="AH50" s="333">
        <f t="shared" ref="AH50:AH51" si="21">AG50+AA50</f>
        <v>3.0575999999999999E-2</v>
      </c>
      <c r="AI50" s="239">
        <f t="shared" ref="AI50:AI51" si="22">AH50-AG50</f>
        <v>0</v>
      </c>
    </row>
    <row r="51" spans="24:37" x14ac:dyDescent="0.25">
      <c r="X51" s="343">
        <v>4.2</v>
      </c>
      <c r="Y51" s="352" t="str">
        <f>'Safety Mechanism Timing'!B289</f>
        <v>SM9 - Trigger OW Even Ch &amp; Read Even Ch OW Baseline</v>
      </c>
      <c r="Z51" s="204" t="str">
        <f>'Safety Mechanism Timing'!B301</f>
        <v>SM9-</v>
      </c>
      <c r="AA51" s="276">
        <f>'Safety Mechanism Timing'!G301</f>
        <v>6.5760000000000015E-4</v>
      </c>
      <c r="AB51" s="241">
        <f>'Safety Mechanism Timing'!H301</f>
        <v>8.4367518248175174E-3</v>
      </c>
      <c r="AC51" s="240">
        <f>AB51*AA51</f>
        <v>5.5480080000000011E-6</v>
      </c>
      <c r="AD51" s="241"/>
      <c r="AE51" s="240">
        <f>'Safety Mechanism Timing'!J301</f>
        <v>6.5760000000000015E-4</v>
      </c>
      <c r="AG51" s="333">
        <f>AH50</f>
        <v>3.0575999999999999E-2</v>
      </c>
      <c r="AH51" s="333">
        <f t="shared" si="21"/>
        <v>3.12336E-2</v>
      </c>
      <c r="AI51" s="239">
        <f t="shared" si="22"/>
        <v>6.5760000000000124E-4</v>
      </c>
      <c r="AK51" s="239" t="str">
        <f>_xlfn.CONCAT(Y51,"-",Z51)</f>
        <v>SM9 - Trigger OW Even Ch &amp; Read Even Ch OW Baseline-SM9-</v>
      </c>
    </row>
    <row r="52" spans="24:37" x14ac:dyDescent="0.25">
      <c r="X52" s="343"/>
      <c r="Y52" s="207"/>
      <c r="Z52" s="271" t="s">
        <v>75</v>
      </c>
      <c r="AA52" s="272">
        <f>SUM(AA49,AA51)</f>
        <v>1.2336000000000001E-3</v>
      </c>
      <c r="AB52" s="241"/>
      <c r="AC52" s="240"/>
      <c r="AD52" s="241"/>
      <c r="AE52" s="240"/>
    </row>
    <row r="53" spans="24:37" ht="15.75" thickBot="1" x14ac:dyDescent="0.3">
      <c r="X53" s="347"/>
      <c r="Y53" s="261"/>
      <c r="Z53" s="273" t="s">
        <v>76</v>
      </c>
      <c r="AA53" s="274">
        <f>IF(($Z$11-AA52) &gt;0,$Z$11-AA52,0)</f>
        <v>8.7664000000000006E-3</v>
      </c>
      <c r="AB53" s="262"/>
      <c r="AC53" s="263"/>
      <c r="AD53" s="291" t="s">
        <v>77</v>
      </c>
      <c r="AE53" s="294">
        <f>SUM(AE49:AE50)</f>
        <v>5.7600000000000001E-4</v>
      </c>
    </row>
    <row r="54" spans="24:37" ht="15.75" thickBot="1" x14ac:dyDescent="0.3">
      <c r="X54" s="345"/>
      <c r="Y54" s="248"/>
      <c r="Z54" s="269"/>
      <c r="AA54" s="269"/>
      <c r="AB54" s="270"/>
      <c r="AC54" s="270"/>
      <c r="AD54" s="243"/>
      <c r="AE54" s="243"/>
    </row>
    <row r="55" spans="24:37" x14ac:dyDescent="0.25">
      <c r="X55" s="346"/>
      <c r="Y55" s="260" t="s">
        <v>83</v>
      </c>
      <c r="Z55" s="204"/>
      <c r="AA55" s="243"/>
      <c r="AB55" s="241"/>
      <c r="AC55" s="240"/>
      <c r="AD55" s="268"/>
      <c r="AE55" s="267"/>
      <c r="AG55" s="334" t="s">
        <v>71</v>
      </c>
      <c r="AH55" s="334" t="s">
        <v>72</v>
      </c>
      <c r="AI55" s="332" t="s">
        <v>73</v>
      </c>
    </row>
    <row r="56" spans="24:37" x14ac:dyDescent="0.25">
      <c r="X56" s="343">
        <v>5</v>
      </c>
      <c r="Y56" s="352" t="str">
        <f>'Safety Mechanism Timing'!B308</f>
        <v>Cell Measurements - Cycle 5</v>
      </c>
      <c r="Z56" s="204" t="str">
        <f>'Safety Mechanism Timing'!B318</f>
        <v>SM12-</v>
      </c>
      <c r="AA56" s="276">
        <f>'Safety Mechanism Timing'!G318</f>
        <v>5.7600000000000001E-4</v>
      </c>
      <c r="AB56" s="241">
        <f>'Safety Mechanism Timing'!H318</f>
        <v>8.2500000000000004E-3</v>
      </c>
      <c r="AC56" s="240">
        <f t="shared" si="11"/>
        <v>4.7520000000000004E-6</v>
      </c>
      <c r="AD56" s="241"/>
      <c r="AE56" s="240">
        <f>'Safety Mechanism Timing'!J318</f>
        <v>0</v>
      </c>
      <c r="AG56" s="333">
        <f>(X56-1)*$J$20</f>
        <v>0.04</v>
      </c>
      <c r="AH56" s="333">
        <f>AG56+AA56</f>
        <v>4.0576000000000001E-2</v>
      </c>
      <c r="AI56" s="239">
        <f>AH56-AG56</f>
        <v>5.7600000000000012E-4</v>
      </c>
      <c r="AK56" s="239" t="str">
        <f>_xlfn.CONCAT("Periodic ",Y56,"-",Z56)</f>
        <v>Periodic Cell Measurements - Cycle 5-SM12-</v>
      </c>
    </row>
    <row r="57" spans="24:37" x14ac:dyDescent="0.25">
      <c r="X57" s="343"/>
      <c r="Y57" s="278" t="s">
        <v>84</v>
      </c>
      <c r="Z57" s="204"/>
      <c r="AA57" s="243"/>
      <c r="AB57" s="241"/>
      <c r="AC57" s="240"/>
      <c r="AD57" s="241"/>
      <c r="AE57" s="240">
        <f>'Safety Mechanism Timing'!J323</f>
        <v>0</v>
      </c>
      <c r="AI57" s="239"/>
    </row>
    <row r="58" spans="24:37" x14ac:dyDescent="0.25">
      <c r="X58" s="343"/>
      <c r="Y58" s="275"/>
      <c r="Z58" s="271" t="s">
        <v>75</v>
      </c>
      <c r="AA58" s="272">
        <f>SUM(AA56:AA56)</f>
        <v>5.7600000000000001E-4</v>
      </c>
      <c r="AB58" s="241"/>
      <c r="AC58" s="240"/>
      <c r="AD58" s="241"/>
      <c r="AE58" s="240"/>
      <c r="AI58" s="239"/>
    </row>
    <row r="59" spans="24:37" ht="15.75" thickBot="1" x14ac:dyDescent="0.3">
      <c r="X59" s="347"/>
      <c r="Y59" s="261"/>
      <c r="Z59" s="273" t="s">
        <v>76</v>
      </c>
      <c r="AA59" s="274">
        <f>IF(($Z$11-AA58)&gt;0,$Z$11-AA58,0)</f>
        <v>9.4240000000000001E-3</v>
      </c>
      <c r="AB59" s="262"/>
      <c r="AC59" s="263"/>
      <c r="AD59" s="291" t="s">
        <v>77</v>
      </c>
      <c r="AE59" s="294">
        <f>SUM(AE56:AE57)</f>
        <v>0</v>
      </c>
      <c r="AI59" s="239"/>
    </row>
    <row r="60" spans="24:37" ht="15.75" thickBot="1" x14ac:dyDescent="0.3">
      <c r="X60" s="345"/>
      <c r="Y60" s="248"/>
      <c r="Z60" s="269"/>
      <c r="AA60" s="269"/>
      <c r="AB60" s="270"/>
      <c r="AC60" s="270"/>
      <c r="AD60" s="243"/>
      <c r="AE60" s="243"/>
    </row>
    <row r="61" spans="24:37" x14ac:dyDescent="0.25">
      <c r="X61" s="346"/>
      <c r="Y61" s="260" t="s">
        <v>85</v>
      </c>
      <c r="Z61" s="204"/>
      <c r="AA61" s="243"/>
      <c r="AB61" s="241"/>
      <c r="AC61" s="240"/>
      <c r="AD61" s="268"/>
      <c r="AE61" s="267"/>
      <c r="AG61" s="334" t="s">
        <v>71</v>
      </c>
      <c r="AH61" s="334" t="s">
        <v>72</v>
      </c>
      <c r="AI61" s="332" t="s">
        <v>73</v>
      </c>
    </row>
    <row r="62" spans="24:37" x14ac:dyDescent="0.25">
      <c r="X62" s="343">
        <v>6</v>
      </c>
      <c r="Y62" s="352" t="str">
        <f>'Safety Mechanism Timing'!B325</f>
        <v>Cell Measurements - Cycle 6 &amp; SM9 - Trigger OW Odd Ch &amp; Read Odd Ch OW Baseline &amp; Even Ch OW Data</v>
      </c>
      <c r="Z62" s="204" t="str">
        <f>_xlfn.CONCAT('Safety Mechanism Timing'!B343, " ",'Safety Mechanism Timing'!B265)</f>
        <v>SM9- SM12-</v>
      </c>
      <c r="AA62" s="276">
        <f>'Safety Mechanism Timing'!G343</f>
        <v>1.1520000000000002E-3</v>
      </c>
      <c r="AB62" s="241">
        <f>'Safety Mechanism Timing'!H343</f>
        <v>8.356604166666665E-3</v>
      </c>
      <c r="AC62" s="240">
        <f t="shared" si="11"/>
        <v>9.6268079999999993E-6</v>
      </c>
      <c r="AD62" s="241"/>
      <c r="AE62" s="240">
        <f>'Safety Mechanism Timing'!J343</f>
        <v>5.7600000000000001E-4</v>
      </c>
      <c r="AG62" s="333">
        <f>(X62-1)*$J$20</f>
        <v>0.05</v>
      </c>
      <c r="AH62" s="333">
        <f>AG62+AA62</f>
        <v>5.1152000000000003E-2</v>
      </c>
      <c r="AI62" s="239">
        <f>AH62-AG62</f>
        <v>1.1520000000000002E-3</v>
      </c>
      <c r="AK62" s="239" t="str">
        <f>_xlfn.CONCAT("Periodic ",Y62,"-",Z62)</f>
        <v>Periodic Cell Measurements - Cycle 6 &amp; SM9 - Trigger OW Odd Ch &amp; Read Odd Ch OW Baseline &amp; Even Ch OW Data-SM9- SM12-</v>
      </c>
    </row>
    <row r="63" spans="24:37" x14ac:dyDescent="0.25">
      <c r="X63" s="342"/>
      <c r="Y63" s="278" t="str">
        <f>'Safety Mechanism Timing'!B345</f>
        <v>Cycle 6 Margin</v>
      </c>
      <c r="Z63" s="204" t="str">
        <f>'Safety Mechanism Timing'!B348</f>
        <v/>
      </c>
      <c r="AA63" s="243"/>
      <c r="AB63" s="241"/>
      <c r="AC63" s="240"/>
      <c r="AD63" s="241"/>
      <c r="AE63" s="240">
        <f>'Safety Mechanism Timing'!J348</f>
        <v>8.264800000000001E-3</v>
      </c>
      <c r="AI63" s="239"/>
    </row>
    <row r="64" spans="24:37" x14ac:dyDescent="0.25">
      <c r="X64" s="343"/>
      <c r="Y64" s="275"/>
      <c r="Z64" s="271" t="s">
        <v>75</v>
      </c>
      <c r="AA64" s="272">
        <f>SUM(AA62:AA63)</f>
        <v>1.1520000000000002E-3</v>
      </c>
      <c r="AB64" s="241"/>
      <c r="AC64" s="240"/>
      <c r="AD64" s="241"/>
      <c r="AE64" s="240"/>
      <c r="AI64" s="239"/>
    </row>
    <row r="65" spans="24:37" ht="15.75" thickBot="1" x14ac:dyDescent="0.3">
      <c r="X65" s="347"/>
      <c r="Y65" s="261"/>
      <c r="Z65" s="273" t="s">
        <v>76</v>
      </c>
      <c r="AA65" s="274">
        <f>IF(($Z$11-AA64)&gt;0,$Z$11-AA64,0)</f>
        <v>8.848E-3</v>
      </c>
      <c r="AB65" s="262"/>
      <c r="AC65" s="263"/>
      <c r="AD65" s="291" t="s">
        <v>77</v>
      </c>
      <c r="AE65" s="294">
        <f>SUM(AE62:AE63)</f>
        <v>8.8408000000000011E-3</v>
      </c>
      <c r="AI65" s="239"/>
    </row>
    <row r="66" spans="24:37" ht="15.75" thickBot="1" x14ac:dyDescent="0.3">
      <c r="X66" s="345"/>
      <c r="Y66" s="248"/>
      <c r="Z66" s="269"/>
      <c r="AA66" s="269"/>
      <c r="AB66" s="270"/>
      <c r="AC66" s="270"/>
      <c r="AD66" s="243"/>
      <c r="AE66" s="243"/>
    </row>
    <row r="67" spans="24:37" x14ac:dyDescent="0.25">
      <c r="X67" s="346"/>
      <c r="Y67" s="260" t="s">
        <v>86</v>
      </c>
      <c r="Z67" s="204"/>
      <c r="AA67" s="243"/>
      <c r="AB67" s="241"/>
      <c r="AC67" s="240"/>
      <c r="AD67" s="268"/>
      <c r="AE67" s="267"/>
      <c r="AG67" s="334" t="s">
        <v>71</v>
      </c>
      <c r="AH67" s="334" t="s">
        <v>72</v>
      </c>
      <c r="AI67" s="332" t="s">
        <v>73</v>
      </c>
    </row>
    <row r="68" spans="24:37" x14ac:dyDescent="0.25">
      <c r="X68" s="343">
        <v>7</v>
      </c>
      <c r="Y68" s="352" t="str">
        <f>'Safety Mechanism Timing'!B350</f>
        <v>Cell Measurements - Cycle 7</v>
      </c>
      <c r="Z68" s="204" t="str">
        <f>'Safety Mechanism Timing'!B265</f>
        <v>SM12-</v>
      </c>
      <c r="AA68" s="276">
        <f>'Safety Mechanism Timing'!G360</f>
        <v>5.7600000000000001E-4</v>
      </c>
      <c r="AB68" s="241">
        <f>'Safety Mechanism Timing'!H360</f>
        <v>8.2500000000000004E-3</v>
      </c>
      <c r="AC68" s="240">
        <f t="shared" si="11"/>
        <v>4.7520000000000004E-6</v>
      </c>
      <c r="AD68" s="241"/>
      <c r="AE68" s="240">
        <f>'Safety Mechanism Timing'!J360</f>
        <v>0</v>
      </c>
      <c r="AG68" s="333">
        <f>(X68-1)*$J$20</f>
        <v>0.06</v>
      </c>
      <c r="AH68" s="333">
        <f>AG68+AA68</f>
        <v>6.0575999999999998E-2</v>
      </c>
      <c r="AI68" s="239">
        <f>AH68-AG68</f>
        <v>5.7600000000000012E-4</v>
      </c>
      <c r="AK68" s="239" t="str">
        <f>_xlfn.CONCAT("Periodic ",Y68,"-",Z68)</f>
        <v>Periodic Cell Measurements - Cycle 7-SM12-</v>
      </c>
    </row>
    <row r="69" spans="24:37" x14ac:dyDescent="0.25">
      <c r="X69" s="342"/>
      <c r="Y69" s="278" t="str">
        <f>'Safety Mechanism Timing'!B362</f>
        <v>Cycle 7 Margin</v>
      </c>
      <c r="Z69" s="204" t="str">
        <f>'Safety Mechanism Timing'!B365</f>
        <v/>
      </c>
      <c r="AA69" s="243"/>
      <c r="AB69" s="241"/>
      <c r="AC69" s="240"/>
      <c r="AD69" s="241"/>
      <c r="AE69" s="240">
        <f>'Safety Mechanism Timing'!J365</f>
        <v>0</v>
      </c>
      <c r="AI69" s="239"/>
    </row>
    <row r="70" spans="24:37" x14ac:dyDescent="0.25">
      <c r="X70" s="343"/>
      <c r="Y70" s="275"/>
      <c r="Z70" s="271" t="s">
        <v>75</v>
      </c>
      <c r="AA70" s="272">
        <f>SUM(AA68:AA68)</f>
        <v>5.7600000000000001E-4</v>
      </c>
      <c r="AB70" s="241"/>
      <c r="AC70" s="240"/>
      <c r="AD70" s="241"/>
      <c r="AE70" s="240"/>
      <c r="AI70" s="239"/>
    </row>
    <row r="71" spans="24:37" ht="15.75" thickBot="1" x14ac:dyDescent="0.3">
      <c r="X71" s="347"/>
      <c r="Y71" s="261"/>
      <c r="Z71" s="273" t="s">
        <v>76</v>
      </c>
      <c r="AA71" s="274">
        <f>IF(($Z$11-AA70)&gt;0,$Z$11-AA70,0)</f>
        <v>9.4240000000000001E-3</v>
      </c>
      <c r="AB71" s="262"/>
      <c r="AC71" s="263"/>
      <c r="AD71" s="291" t="s">
        <v>77</v>
      </c>
      <c r="AE71" s="294">
        <f>SUM(AE68:AE69)</f>
        <v>0</v>
      </c>
      <c r="AI71" s="239"/>
    </row>
    <row r="72" spans="24:37" ht="15.75" thickBot="1" x14ac:dyDescent="0.3">
      <c r="X72" s="345"/>
      <c r="Y72" s="248"/>
      <c r="Z72" s="269"/>
      <c r="AA72" s="269"/>
      <c r="AB72" s="270"/>
      <c r="AC72" s="270"/>
      <c r="AD72" s="243"/>
      <c r="AE72" s="243"/>
    </row>
    <row r="73" spans="24:37" x14ac:dyDescent="0.25">
      <c r="X73" s="346"/>
      <c r="Y73" s="260" t="s">
        <v>87</v>
      </c>
      <c r="Z73" s="204"/>
      <c r="AA73" s="243"/>
      <c r="AB73" s="241"/>
      <c r="AC73" s="240"/>
      <c r="AD73" s="268"/>
      <c r="AE73" s="267"/>
      <c r="AG73" s="334" t="s">
        <v>71</v>
      </c>
      <c r="AH73" s="334" t="s">
        <v>72</v>
      </c>
      <c r="AI73" s="332" t="s">
        <v>73</v>
      </c>
    </row>
    <row r="74" spans="24:37" x14ac:dyDescent="0.25">
      <c r="X74" s="343">
        <v>8</v>
      </c>
      <c r="Y74" s="352" t="str">
        <f>'Safety Mechanism Timing'!B367</f>
        <v>Cell Measurements - Cycle 8 &amp; SM9 -Read Odd Ch OW Data</v>
      </c>
      <c r="Z74" s="204" t="str">
        <f>_xlfn.CONCAT('Safety Mechanism Timing'!B343, " ",'Safety Mechanism Timing'!B265)</f>
        <v>SM9- SM12-</v>
      </c>
      <c r="AA74" s="276">
        <f>'Safety Mechanism Timing'!G383</f>
        <v>1.0704000000000002E-3</v>
      </c>
      <c r="AB74" s="241">
        <f>'Safety Mechanism Timing'!H383</f>
        <v>8.2499999999999969E-3</v>
      </c>
      <c r="AC74" s="240">
        <f t="shared" si="11"/>
        <v>8.8307999999999985E-6</v>
      </c>
      <c r="AD74" s="241"/>
      <c r="AE74" s="240">
        <f>'Safety Mechanism Timing'!J383</f>
        <v>0</v>
      </c>
      <c r="AG74" s="333">
        <f>(X74-1)*$J$20</f>
        <v>7.0000000000000007E-2</v>
      </c>
      <c r="AH74" s="333">
        <f>AG74+AA74</f>
        <v>7.1070400000000006E-2</v>
      </c>
      <c r="AI74" s="239">
        <f>AH74-AG74</f>
        <v>1.0703999999999991E-3</v>
      </c>
      <c r="AK74" s="239" t="str">
        <f>_xlfn.CONCAT("Periodic ",Y74,"-",Z74)</f>
        <v>Periodic Cell Measurements - Cycle 8 &amp; SM9 -Read Odd Ch OW Data-SM9- SM12-</v>
      </c>
    </row>
    <row r="75" spans="24:37" x14ac:dyDescent="0.25">
      <c r="X75" s="342"/>
      <c r="Y75" s="278" t="str">
        <f>'Safety Mechanism Timing'!B385</f>
        <v>Cycle 8 Margin</v>
      </c>
      <c r="Z75" s="204" t="str">
        <f>'Safety Mechanism Timing'!B388</f>
        <v/>
      </c>
      <c r="AA75" s="243"/>
      <c r="AB75" s="241">
        <f>'Safety Mechanism Timing'!H388</f>
        <v>0</v>
      </c>
      <c r="AC75" s="240">
        <f t="shared" si="11"/>
        <v>0</v>
      </c>
      <c r="AD75" s="241"/>
      <c r="AE75" s="240">
        <f>'Safety Mechanism Timing'!J388</f>
        <v>0</v>
      </c>
      <c r="AI75" s="239"/>
    </row>
    <row r="76" spans="24:37" x14ac:dyDescent="0.25">
      <c r="X76" s="343"/>
      <c r="Y76" s="275"/>
      <c r="Z76" s="271" t="s">
        <v>75</v>
      </c>
      <c r="AA76" s="272">
        <f>SUM(AA74:AA74)</f>
        <v>1.0704000000000002E-3</v>
      </c>
      <c r="AB76" s="241"/>
      <c r="AC76" s="240"/>
      <c r="AD76" s="241"/>
      <c r="AE76" s="240"/>
      <c r="AI76" s="239"/>
    </row>
    <row r="77" spans="24:37" ht="15.75" thickBot="1" x14ac:dyDescent="0.3">
      <c r="X77" s="347"/>
      <c r="Y77" s="261"/>
      <c r="Z77" s="273" t="s">
        <v>76</v>
      </c>
      <c r="AA77" s="274">
        <f>IF(($Z$11-AA76)&gt;0,$Z$11-AA76,0)</f>
        <v>8.9295999999999993E-3</v>
      </c>
      <c r="AB77" s="262"/>
      <c r="AC77" s="263"/>
      <c r="AD77" s="291" t="s">
        <v>77</v>
      </c>
      <c r="AE77" s="294">
        <f>SUM(AE74:AE75)</f>
        <v>0</v>
      </c>
      <c r="AI77" s="239"/>
    </row>
    <row r="78" spans="24:37" ht="15.75" thickBot="1" x14ac:dyDescent="0.3">
      <c r="X78" s="345"/>
      <c r="Y78" s="248"/>
      <c r="Z78" s="269"/>
      <c r="AA78" s="269"/>
      <c r="AB78" s="270"/>
      <c r="AC78" s="270"/>
      <c r="AD78" s="243"/>
      <c r="AE78" s="243"/>
    </row>
    <row r="79" spans="24:37" x14ac:dyDescent="0.25">
      <c r="X79" s="346"/>
      <c r="Y79" s="260" t="s">
        <v>88</v>
      </c>
      <c r="Z79" s="204"/>
      <c r="AA79" s="243"/>
      <c r="AB79" s="241"/>
      <c r="AC79" s="240"/>
      <c r="AD79" s="268"/>
      <c r="AE79" s="267"/>
      <c r="AG79" s="334" t="s">
        <v>71</v>
      </c>
      <c r="AH79" s="334" t="s">
        <v>72</v>
      </c>
      <c r="AI79" s="332" t="s">
        <v>73</v>
      </c>
    </row>
    <row r="80" spans="24:37" x14ac:dyDescent="0.25">
      <c r="X80" s="343">
        <v>9</v>
      </c>
      <c r="Y80" s="352" t="str">
        <f>'Safety Mechanism Timing'!B390</f>
        <v>Cell Measurements - Cycle 9 &amp; Read AUX &amp; Redundant AUX Data</v>
      </c>
      <c r="Z80" s="204" t="str">
        <f>'Safety Mechanism Timing'!B408</f>
        <v>SM12-SM15-SM14-</v>
      </c>
      <c r="AA80" s="276">
        <f>'Safety Mechanism Timing'!G408</f>
        <v>1.2352000000000003E-3</v>
      </c>
      <c r="AB80" s="241">
        <f>'Safety Mechanism Timing'!H408</f>
        <v>8.2499999999999969E-3</v>
      </c>
      <c r="AC80" s="240">
        <f t="shared" si="11"/>
        <v>1.0190399999999998E-5</v>
      </c>
      <c r="AD80" s="241"/>
      <c r="AE80" s="240">
        <f>'Safety Mechanism Timing'!J408</f>
        <v>0</v>
      </c>
      <c r="AG80" s="333">
        <f>(X80-1)*$J$20</f>
        <v>0.08</v>
      </c>
      <c r="AH80" s="333">
        <f>AG80+AA80</f>
        <v>8.1235200000000007E-2</v>
      </c>
      <c r="AI80" s="239">
        <f>AH80-AG80</f>
        <v>1.2352000000000057E-3</v>
      </c>
      <c r="AK80" s="239" t="str">
        <f>_xlfn.CONCAT("Periodic ",Y80,"-",Z80)</f>
        <v>Periodic Cell Measurements - Cycle 9 &amp; Read AUX &amp; Redundant AUX Data-SM12-SM15-SM14-</v>
      </c>
    </row>
    <row r="81" spans="24:37" x14ac:dyDescent="0.25">
      <c r="X81" s="342"/>
      <c r="Y81" s="278" t="str">
        <f>'Safety Mechanism Timing'!B410</f>
        <v>Cycle 9 Margin</v>
      </c>
      <c r="Z81" s="204"/>
      <c r="AA81" s="243"/>
      <c r="AB81" s="241">
        <f>'Safety Mechanism Timing'!H413</f>
        <v>0</v>
      </c>
      <c r="AC81" s="240">
        <f t="shared" si="11"/>
        <v>0</v>
      </c>
      <c r="AD81" s="241"/>
      <c r="AE81" s="240">
        <f>'Safety Mechanism Timing'!J413</f>
        <v>0</v>
      </c>
      <c r="AI81" s="239"/>
    </row>
    <row r="82" spans="24:37" x14ac:dyDescent="0.25">
      <c r="X82" s="343"/>
      <c r="Y82" s="275"/>
      <c r="Z82" s="271" t="s">
        <v>75</v>
      </c>
      <c r="AA82" s="272">
        <f>SUM(AA80:AA80)</f>
        <v>1.2352000000000003E-3</v>
      </c>
      <c r="AB82" s="241"/>
      <c r="AC82" s="240"/>
      <c r="AD82" s="241"/>
      <c r="AE82" s="240"/>
      <c r="AI82" s="239"/>
    </row>
    <row r="83" spans="24:37" ht="15.75" thickBot="1" x14ac:dyDescent="0.3">
      <c r="X83" s="347"/>
      <c r="Y83" s="261"/>
      <c r="Z83" s="273" t="s">
        <v>76</v>
      </c>
      <c r="AA83" s="274">
        <f>IF(($Z$11-AA82)&gt;0,$Z$11-AA82,0)</f>
        <v>8.7647999999999997E-3</v>
      </c>
      <c r="AB83" s="262"/>
      <c r="AC83" s="263"/>
      <c r="AD83" s="291" t="s">
        <v>77</v>
      </c>
      <c r="AE83" s="294">
        <f>SUM(AE80:AE81)</f>
        <v>0</v>
      </c>
      <c r="AI83" s="239"/>
    </row>
    <row r="84" spans="24:37" ht="15.75" thickBot="1" x14ac:dyDescent="0.3">
      <c r="X84" s="345"/>
      <c r="Y84" s="248"/>
      <c r="Z84" s="269"/>
      <c r="AA84" s="269"/>
      <c r="AB84" s="270"/>
      <c r="AC84" s="270"/>
      <c r="AD84" s="243"/>
      <c r="AE84" s="243"/>
    </row>
    <row r="85" spans="24:37" x14ac:dyDescent="0.25">
      <c r="X85" s="346"/>
      <c r="Y85" s="260" t="s">
        <v>89</v>
      </c>
      <c r="Z85" s="204"/>
      <c r="AA85" s="243"/>
      <c r="AB85" s="241"/>
      <c r="AC85" s="240"/>
      <c r="AD85" s="268"/>
      <c r="AE85" s="267"/>
      <c r="AG85" s="334" t="s">
        <v>71</v>
      </c>
      <c r="AH85" s="334" t="s">
        <v>72</v>
      </c>
      <c r="AI85" s="332" t="s">
        <v>73</v>
      </c>
    </row>
    <row r="86" spans="24:37" x14ac:dyDescent="0.25">
      <c r="X86" s="343">
        <v>10</v>
      </c>
      <c r="Y86" s="352" t="str">
        <f>'Safety Mechanism Timing'!B416</f>
        <v>Cell Measurements - Cycle 10 &amp; Read STATUS A, B &amp; Read AUXE(ADBMS6832 Only)</v>
      </c>
      <c r="Z86" s="204" t="str">
        <f>'Safety Mechanism Timing'!B429</f>
        <v>SM12-SM18-SM20-SM8-</v>
      </c>
      <c r="AA86" s="243">
        <f>'Safety Mechanism Timing'!G429</f>
        <v>8.2320000000000017E-4</v>
      </c>
      <c r="AB86" s="241">
        <f>'Safety Mechanism Timing'!H429</f>
        <v>8.2499999999999987E-3</v>
      </c>
      <c r="AC86" s="240">
        <f t="shared" si="11"/>
        <v>6.7913999999999999E-6</v>
      </c>
      <c r="AD86" s="241"/>
      <c r="AE86" s="240">
        <f>'Safety Mechanism Timing'!J429</f>
        <v>0</v>
      </c>
      <c r="AG86" s="333">
        <f>(X86-1)*$J$20</f>
        <v>0.09</v>
      </c>
      <c r="AH86" s="333">
        <f>AG86+AA86</f>
        <v>9.0823199999999993E-2</v>
      </c>
      <c r="AI86" s="239">
        <f>AH86-AG86</f>
        <v>8.2319999999999616E-4</v>
      </c>
      <c r="AK86" s="239" t="str">
        <f>_xlfn.CONCAT("Periodic ",Y86,"-",Z86)</f>
        <v>Periodic Cell Measurements - Cycle 10 &amp; Read STATUS A, B &amp; Read AUXE(ADBMS6832 Only)-SM12-SM18-SM20-SM8-</v>
      </c>
    </row>
    <row r="87" spans="24:37" x14ac:dyDescent="0.25">
      <c r="X87" s="343">
        <v>10.1</v>
      </c>
      <c r="Y87" s="352" t="str">
        <f>'Safety Mechanism Timing'!B431</f>
        <v>Read/Clear Diagnostic Flags</v>
      </c>
      <c r="Z87" s="204" t="str">
        <f>'Safety Mechanism Timing'!B439</f>
        <v>SM1-SM2-SM3-SM4-SM5-SM7-SM16-SM17-SM19-SM21-</v>
      </c>
      <c r="AA87" s="243">
        <f>'Safety Mechanism Timing'!G439</f>
        <v>4.1120000000000002E-4</v>
      </c>
      <c r="AB87" s="241">
        <f>'Safety Mechanism Timing'!H439</f>
        <v>8.2500000000000004E-3</v>
      </c>
      <c r="AC87" s="240">
        <f t="shared" ref="AC87" si="23">AB87*AA87</f>
        <v>3.3924000000000003E-6</v>
      </c>
      <c r="AD87" s="241"/>
      <c r="AE87" s="240">
        <f>'Safety Mechanism Timing'!J439</f>
        <v>0</v>
      </c>
      <c r="AG87" s="333">
        <f>AH86</f>
        <v>9.0823199999999993E-2</v>
      </c>
      <c r="AH87" s="333">
        <f t="shared" ref="AH87" si="24">AG87+AA87</f>
        <v>9.1234399999999993E-2</v>
      </c>
      <c r="AI87" s="239">
        <f t="shared" ref="AI87" si="25">AH87-AG87</f>
        <v>4.1120000000000045E-4</v>
      </c>
      <c r="AK87" s="239" t="str">
        <f>_xlfn.CONCAT(Y87,"-",Z87)</f>
        <v>Read/Clear Diagnostic Flags-SM1-SM2-SM3-SM4-SM5-SM7-SM16-SM17-SM19-SM21-</v>
      </c>
    </row>
    <row r="88" spans="24:37" x14ac:dyDescent="0.25">
      <c r="X88" s="343"/>
      <c r="Y88" s="207"/>
      <c r="Z88" s="204"/>
      <c r="AA88" s="243"/>
      <c r="AB88" s="241"/>
      <c r="AC88" s="240"/>
      <c r="AD88" s="241"/>
      <c r="AE88" s="240"/>
      <c r="AI88" s="239"/>
    </row>
    <row r="89" spans="24:37" x14ac:dyDescent="0.25">
      <c r="X89" s="343"/>
      <c r="Y89" s="207"/>
      <c r="Z89" s="204"/>
      <c r="AA89" s="243"/>
      <c r="AB89" s="241"/>
      <c r="AC89" s="240"/>
      <c r="AD89" s="241"/>
      <c r="AE89" s="240"/>
      <c r="AI89" s="239"/>
    </row>
    <row r="90" spans="24:37" x14ac:dyDescent="0.25">
      <c r="X90" s="343"/>
      <c r="Y90" s="278" t="s">
        <v>90</v>
      </c>
      <c r="Z90" s="271" t="s">
        <v>75</v>
      </c>
      <c r="AA90" s="272">
        <f>SUM(AA86:AA87)</f>
        <v>1.2344000000000001E-3</v>
      </c>
      <c r="AB90" s="241"/>
      <c r="AC90" s="240"/>
      <c r="AD90" s="241"/>
      <c r="AE90" s="240"/>
    </row>
    <row r="91" spans="24:37" ht="15.75" thickBot="1" x14ac:dyDescent="0.3">
      <c r="X91" s="347"/>
      <c r="Y91" s="261"/>
      <c r="Z91" s="273" t="s">
        <v>76</v>
      </c>
      <c r="AA91" s="274">
        <f>IF(($Z$11-AA90)&gt;0,$Z$11-AA90,0)</f>
        <v>8.7656000000000001E-3</v>
      </c>
      <c r="AB91" s="262"/>
      <c r="AC91" s="263"/>
      <c r="AD91" s="291" t="s">
        <v>77</v>
      </c>
      <c r="AE91" s="294">
        <f>SUM(AE86)</f>
        <v>0</v>
      </c>
    </row>
    <row r="92" spans="24:37" ht="15.75" thickBot="1" x14ac:dyDescent="0.3">
      <c r="X92" s="345"/>
      <c r="Y92" s="248"/>
      <c r="Z92" s="269"/>
      <c r="AA92" s="269"/>
      <c r="AB92" s="270"/>
      <c r="AC92" s="270"/>
      <c r="AD92" s="243"/>
      <c r="AE92" s="243"/>
    </row>
    <row r="93" spans="24:37" ht="15.75" thickBot="1" x14ac:dyDescent="0.3">
      <c r="X93" s="349"/>
      <c r="Y93" s="209"/>
      <c r="Z93" s="206"/>
      <c r="AA93" s="244"/>
      <c r="AB93" s="241"/>
      <c r="AC93" s="240"/>
      <c r="AD93" s="268"/>
      <c r="AE93" s="295"/>
    </row>
    <row r="94" spans="24:37" ht="27" thickBot="1" x14ac:dyDescent="0.3">
      <c r="X94" s="350"/>
      <c r="Y94" s="208"/>
      <c r="Z94" s="251" t="s">
        <v>91</v>
      </c>
      <c r="AA94" s="259">
        <f>SUM(AA31+0.0022+AA39+AA45+AA52+0.0024+AA58+AA64+AA70+AA76+AA82+AA90)</f>
        <v>1.3856000000000002E-2</v>
      </c>
      <c r="AB94" s="209"/>
      <c r="AC94" s="210"/>
      <c r="AD94" s="297" t="s">
        <v>92</v>
      </c>
      <c r="AE94" s="296">
        <f>SUM(AE32,AE40,AE46,AE53,AE59,AE65,AE71,AE77,AE83,AE91)</f>
        <v>2.8677600000000004E-2</v>
      </c>
    </row>
    <row r="95" spans="24:37" ht="24" thickBot="1" x14ac:dyDescent="0.3">
      <c r="X95" s="351"/>
      <c r="Y95" s="209"/>
      <c r="Z95" s="252"/>
      <c r="AA95" s="252"/>
      <c r="AB95" s="209"/>
      <c r="AC95" s="210"/>
      <c r="AD95" s="298" t="s">
        <v>61</v>
      </c>
      <c r="AE95" s="299">
        <f>(Z9-AE94)/Z9</f>
        <v>0.71322400000000008</v>
      </c>
    </row>
    <row r="96" spans="24:37" x14ac:dyDescent="0.25">
      <c r="Y96" s="204"/>
      <c r="Z96" s="204"/>
      <c r="AA96" s="204"/>
    </row>
    <row r="97" spans="1:34" s="310" customFormat="1" ht="15" customHeight="1" x14ac:dyDescent="0.25">
      <c r="A97" s="387" t="s">
        <v>93</v>
      </c>
      <c r="B97" s="387"/>
      <c r="C97" s="387"/>
      <c r="D97" s="387"/>
      <c r="E97" s="387"/>
      <c r="F97" s="387"/>
      <c r="G97" s="387"/>
      <c r="H97" s="387"/>
      <c r="I97" s="387"/>
      <c r="J97" s="387"/>
      <c r="K97" s="387"/>
      <c r="L97" s="387"/>
      <c r="M97" s="387"/>
      <c r="N97" s="387"/>
      <c r="O97" s="387"/>
      <c r="P97" s="387"/>
      <c r="Q97" s="387"/>
      <c r="R97" s="387"/>
      <c r="S97" s="387"/>
      <c r="T97" s="387"/>
      <c r="U97" s="387"/>
      <c r="V97" s="387"/>
      <c r="W97" s="387"/>
      <c r="X97" s="387"/>
      <c r="AG97" s="335"/>
      <c r="AH97" s="335"/>
    </row>
    <row r="98" spans="1:34" s="386" customFormat="1" x14ac:dyDescent="0.25"/>
    <row r="99" spans="1:34" s="386" customFormat="1" x14ac:dyDescent="0.25"/>
    <row r="100" spans="1:34" s="386" customFormat="1" x14ac:dyDescent="0.25"/>
    <row r="101" spans="1:34" s="386" customFormat="1" x14ac:dyDescent="0.25"/>
    <row r="102" spans="1:34" s="386" customFormat="1" x14ac:dyDescent="0.25"/>
    <row r="103" spans="1:34" s="386" customFormat="1" x14ac:dyDescent="0.25"/>
    <row r="104" spans="1:34" s="386" customFormat="1" x14ac:dyDescent="0.25"/>
    <row r="105" spans="1:34" s="386" customFormat="1" x14ac:dyDescent="0.25"/>
    <row r="106" spans="1:34" s="386" customFormat="1" x14ac:dyDescent="0.25"/>
  </sheetData>
  <mergeCells count="16">
    <mergeCell ref="A98:XFD106"/>
    <mergeCell ref="A97:X97"/>
    <mergeCell ref="A1:T1"/>
    <mergeCell ref="AA9:AF9"/>
    <mergeCell ref="AA11:AF11"/>
    <mergeCell ref="AA10:AF10"/>
    <mergeCell ref="Y19:Z20"/>
    <mergeCell ref="A18:I18"/>
    <mergeCell ref="A19:I19"/>
    <mergeCell ref="A20:I20"/>
    <mergeCell ref="J18:T18"/>
    <mergeCell ref="J19:T19"/>
    <mergeCell ref="J20:T20"/>
    <mergeCell ref="U18:V18"/>
    <mergeCell ref="U19:V19"/>
    <mergeCell ref="U20:V20"/>
  </mergeCells>
  <conditionalFormatting sqref="U4:U13">
    <cfRule type="cellIs" dxfId="1" priority="2" operator="greaterThan">
      <formula>$Z$11</formula>
    </cfRule>
  </conditionalFormatting>
  <conditionalFormatting sqref="Z10">
    <cfRule type="cellIs" dxfId="0" priority="1" operator="greaterThan">
      <formula>$Z$9</formula>
    </cfRule>
  </conditionalFormatting>
  <hyperlinks>
    <hyperlink ref="Y25" location="'Safety Mechanism Timing'!B187" display="'Safety Mechanism Timing'!B187" xr:uid="{00000000-0004-0000-0100-000000000000}"/>
    <hyperlink ref="Y26" location="'Safety Mechanism Timing'!B199" display="'Safety Mechanism Timing'!B199" xr:uid="{00000000-0004-0000-0100-000001000000}"/>
    <hyperlink ref="Y27" location="'Safety Mechanism Timing'!B205" display="'Safety Mechanism Timing'!B205" xr:uid="{00000000-0004-0000-0100-000002000000}"/>
    <hyperlink ref="Y28" location="'Safety Mechanism Timing'!B210" display="'Safety Mechanism Timing'!B210" xr:uid="{00000000-0004-0000-0100-000003000000}"/>
    <hyperlink ref="Y29" location="'Safety Mechanism Timing'!B216" display="'Safety Mechanism Timing'!B216" xr:uid="{00000000-0004-0000-0100-000004000000}"/>
    <hyperlink ref="Y35" location="'Safety Mechanism Timing'!B226" display="'Safety Mechanism Timing'!B226" xr:uid="{00000000-0004-0000-0100-000005000000}"/>
    <hyperlink ref="Y36" location="'Safety Mechanism Timing'!B238" display="'Safety Mechanism Timing'!B238" xr:uid="{00000000-0004-0000-0100-000006000000}"/>
    <hyperlink ref="Y37" location="'Safety Mechanism Timing'!B245" display="'Safety Mechanism Timing'!B245" xr:uid="{00000000-0004-0000-0100-000007000000}"/>
    <hyperlink ref="Y43" location="'Safety Mechanism Timing'!B255" display="'Safety Mechanism Timing'!B255" xr:uid="{00000000-0004-0000-0100-000008000000}"/>
    <hyperlink ref="Y49" location="'Safety Mechanism Timing'!B272" display="'Safety Mechanism Timing'!B272" xr:uid="{00000000-0004-0000-0100-000009000000}"/>
    <hyperlink ref="Y56" location="'Safety Mechanism Timing'!B308" display="'Safety Mechanism Timing'!B308" xr:uid="{00000000-0004-0000-0100-00000A000000}"/>
    <hyperlink ref="Y62" location="'Safety Mechanism Timing'!B325" display="'Safety Mechanism Timing'!B325" xr:uid="{00000000-0004-0000-0100-00000B000000}"/>
    <hyperlink ref="Y68" location="'Safety Mechanism Timing'!B350" display="'Safety Mechanism Timing'!B350" xr:uid="{00000000-0004-0000-0100-00000C000000}"/>
    <hyperlink ref="Y74" location="'Safety Mechanism Timing'!B367" display="'Safety Mechanism Timing'!B367" xr:uid="{00000000-0004-0000-0100-00000D000000}"/>
    <hyperlink ref="Y80" location="'Safety Mechanism Timing'!B390" display="'Safety Mechanism Timing'!B390" xr:uid="{00000000-0004-0000-0100-00000E000000}"/>
    <hyperlink ref="Y86" location="'Safety Mechanism Timing'!B416" display="'Safety Mechanism Timing'!B416" xr:uid="{00000000-0004-0000-0100-00000F000000}"/>
    <hyperlink ref="Y87" location="'Safety Mechanism Timing'!B431" display="'Safety Mechanism Timing'!B431" xr:uid="{00000000-0004-0000-0100-000010000000}"/>
    <hyperlink ref="Y51" location="'Safety Mechanism Timing'!B289" display="'Safety Mechanism Timing'!B289" xr:uid="{00000000-0004-0000-0100-000011000000}"/>
    <hyperlink ref="Y50" location="'Safety Mechanism Timing'!B284" display="'Safety Mechanism Timing'!B284" xr:uid="{00000000-0004-0000-0100-000012000000}"/>
  </hyperlinks>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tabColor theme="5"/>
  </sheetPr>
  <dimension ref="A1:J579"/>
  <sheetViews>
    <sheetView tabSelected="1" topLeftCell="A355" zoomScale="86" zoomScaleNormal="115" workbookViewId="0">
      <selection activeCell="B289" sqref="B289"/>
    </sheetView>
  </sheetViews>
  <sheetFormatPr defaultColWidth="8.7109375" defaultRowHeight="15" x14ac:dyDescent="0.25"/>
  <cols>
    <col min="1" max="1" width="4.7109375" style="8" customWidth="1"/>
    <col min="2" max="2" width="56.5703125" style="8" customWidth="1"/>
    <col min="3" max="3" width="27.7109375" style="145" bestFit="1" customWidth="1"/>
    <col min="4" max="5" width="40.7109375" style="8" customWidth="1"/>
    <col min="6" max="7" width="10.7109375" style="8" customWidth="1"/>
    <col min="8" max="8" width="15.7109375" style="8" customWidth="1"/>
    <col min="9" max="9" width="98.28515625" style="8" customWidth="1"/>
    <col min="10" max="10" width="27.42578125" style="8" bestFit="1" customWidth="1"/>
    <col min="11" max="11" width="8.7109375" style="8" customWidth="1"/>
    <col min="12" max="13" width="8.7109375" style="8"/>
    <col min="14" max="14" width="8.7109375" style="8" customWidth="1"/>
    <col min="15" max="16384" width="8.7109375" style="8"/>
  </cols>
  <sheetData>
    <row r="1" spans="1:9" ht="27" thickBot="1" x14ac:dyDescent="0.45">
      <c r="B1" s="205" t="s">
        <v>57</v>
      </c>
      <c r="C1" s="195">
        <f>'Loop Information'!Z11</f>
        <v>0.01</v>
      </c>
      <c r="D1" s="146"/>
      <c r="H1" s="72"/>
      <c r="I1" s="180" t="s">
        <v>94</v>
      </c>
    </row>
    <row r="2" spans="1:9" ht="30.75" thickBot="1" x14ac:dyDescent="0.3">
      <c r="A2" s="147"/>
      <c r="B2" s="131" t="s">
        <v>95</v>
      </c>
      <c r="C2" s="122" t="s">
        <v>96</v>
      </c>
      <c r="D2" s="122" t="s">
        <v>97</v>
      </c>
      <c r="E2" s="122" t="s">
        <v>98</v>
      </c>
      <c r="F2" s="122" t="s">
        <v>99</v>
      </c>
      <c r="G2" s="122" t="s">
        <v>100</v>
      </c>
      <c r="H2" s="178" t="s">
        <v>101</v>
      </c>
    </row>
    <row r="3" spans="1:9" x14ac:dyDescent="0.25">
      <c r="A3" s="148"/>
      <c r="B3" s="220" t="str">
        <f>B22</f>
        <v>Initialization</v>
      </c>
      <c r="C3" s="373" t="s">
        <v>102</v>
      </c>
      <c r="D3" s="373" t="str">
        <f>B30</f>
        <v/>
      </c>
      <c r="E3" s="373" t="s">
        <v>103</v>
      </c>
      <c r="F3" s="221">
        <f>G30</f>
        <v>4.1120000000000002E-4</v>
      </c>
      <c r="G3" s="221">
        <f>H30</f>
        <v>7.8600583657587545E-3</v>
      </c>
      <c r="H3" s="222">
        <f>J30</f>
        <v>0</v>
      </c>
      <c r="I3" s="124" t="s">
        <v>104</v>
      </c>
    </row>
    <row r="4" spans="1:9" x14ac:dyDescent="0.25">
      <c r="A4" s="148"/>
      <c r="B4" s="132" t="str">
        <f>B32</f>
        <v>Cell Measurement Normal Operation</v>
      </c>
      <c r="C4" s="120" t="s">
        <v>102</v>
      </c>
      <c r="D4" s="120" t="str">
        <f>B43</f>
        <v>SM12-</v>
      </c>
      <c r="E4" s="120" t="s">
        <v>105</v>
      </c>
      <c r="F4" s="149">
        <f>G43</f>
        <v>5.7600000000000001E-4</v>
      </c>
      <c r="G4" s="149">
        <f>H43</f>
        <v>8.2500000000000004E-3</v>
      </c>
      <c r="H4" s="179">
        <f>J43</f>
        <v>0</v>
      </c>
    </row>
    <row r="5" spans="1:9" ht="45" x14ac:dyDescent="0.25">
      <c r="A5" s="148"/>
      <c r="B5" s="132" t="str">
        <f>B45</f>
        <v>Cell Measurements with SM6</v>
      </c>
      <c r="C5" s="120" t="s">
        <v>39</v>
      </c>
      <c r="D5" s="120" t="str">
        <f>B62</f>
        <v>SM6-SM12-</v>
      </c>
      <c r="E5" s="121" t="s">
        <v>106</v>
      </c>
      <c r="F5" s="149">
        <f>G62</f>
        <v>0.01</v>
      </c>
      <c r="G5" s="149">
        <f>H62</f>
        <v>7.1213999999999989E-4</v>
      </c>
      <c r="H5" s="179">
        <f>J62</f>
        <v>0</v>
      </c>
    </row>
    <row r="6" spans="1:9" ht="45" x14ac:dyDescent="0.25">
      <c r="A6" s="148"/>
      <c r="B6" s="132" t="str">
        <f>B64</f>
        <v>Cell Measurement with SM1 &amp; SM9</v>
      </c>
      <c r="C6" s="120" t="s">
        <v>107</v>
      </c>
      <c r="D6" s="120" t="str">
        <f>B147</f>
        <v>SM12-SM9-</v>
      </c>
      <c r="E6" s="120" t="s">
        <v>108</v>
      </c>
      <c r="F6" s="149">
        <f>G147</f>
        <v>6.0412800000000114E-2</v>
      </c>
      <c r="G6" s="149">
        <f>H147</f>
        <v>7.251712219926887E-4</v>
      </c>
      <c r="H6" s="179">
        <f>J147</f>
        <v>3.7559200000000008E-2</v>
      </c>
    </row>
    <row r="7" spans="1:9" ht="30.75" thickBot="1" x14ac:dyDescent="0.3">
      <c r="A7" s="148"/>
      <c r="B7" s="216" t="str">
        <f>B149</f>
        <v>Cell Measurement with AUX-ADC</v>
      </c>
      <c r="C7" s="374" t="s">
        <v>109</v>
      </c>
      <c r="D7" s="374" t="str">
        <f>B185</f>
        <v>SM12-SM15-SM8-SM12-SM18-SM20-SM14-</v>
      </c>
      <c r="E7" s="374" t="s">
        <v>110</v>
      </c>
      <c r="F7" s="217">
        <f>G185</f>
        <v>2.0163999999999998E-2</v>
      </c>
      <c r="G7" s="217">
        <f>H185</f>
        <v>9.7187145407657194E-4</v>
      </c>
      <c r="H7" s="218">
        <f>J185</f>
        <v>0</v>
      </c>
    </row>
    <row r="8" spans="1:9" ht="15.75" thickBot="1" x14ac:dyDescent="0.3">
      <c r="A8" s="235"/>
      <c r="B8" s="236" t="s">
        <v>111</v>
      </c>
      <c r="C8" s="374"/>
      <c r="D8" s="374"/>
      <c r="E8" s="374"/>
      <c r="F8" s="217">
        <f>SUM(F4:F7)</f>
        <v>9.1152800000000117E-2</v>
      </c>
      <c r="G8" s="217"/>
      <c r="H8" s="218">
        <f>SUM(H4:H7)</f>
        <v>3.7559200000000008E-2</v>
      </c>
    </row>
    <row r="9" spans="1:9" ht="15.75" thickBot="1" x14ac:dyDescent="0.3">
      <c r="B9" s="134"/>
      <c r="C9" s="152"/>
      <c r="D9" s="133"/>
      <c r="E9" s="134"/>
      <c r="F9" s="72"/>
      <c r="G9" s="72"/>
      <c r="H9" s="72"/>
    </row>
    <row r="10" spans="1:9" ht="30" x14ac:dyDescent="0.25">
      <c r="B10" s="131" t="s">
        <v>112</v>
      </c>
      <c r="C10" s="122" t="s">
        <v>96</v>
      </c>
      <c r="D10" s="122" t="s">
        <v>113</v>
      </c>
      <c r="E10" s="122" t="s">
        <v>98</v>
      </c>
      <c r="F10" s="122" t="s">
        <v>99</v>
      </c>
      <c r="G10" s="122" t="s">
        <v>100</v>
      </c>
      <c r="H10" s="178" t="s">
        <v>114</v>
      </c>
    </row>
    <row r="11" spans="1:9" x14ac:dyDescent="0.25">
      <c r="B11" s="132" t="str">
        <f>B445</f>
        <v>SM_ SPI_PEC_DIAG</v>
      </c>
      <c r="C11" s="181" t="s">
        <v>115</v>
      </c>
      <c r="D11" s="120" t="str">
        <f>B481</f>
        <v>SM22-</v>
      </c>
      <c r="E11" s="182"/>
      <c r="F11" s="182">
        <f>G481</f>
        <v>2.0528000000000009E-3</v>
      </c>
      <c r="G11" s="182">
        <f>H481</f>
        <v>9.3268433359314038E-3</v>
      </c>
      <c r="H11" s="183">
        <f>J481</f>
        <v>0</v>
      </c>
    </row>
    <row r="12" spans="1:9" x14ac:dyDescent="0.25">
      <c r="B12" s="132" t="str">
        <f>B483</f>
        <v>SM_POWER_MON_DIAG</v>
      </c>
      <c r="C12" s="181" t="s">
        <v>116</v>
      </c>
      <c r="D12" s="120" t="str">
        <f>B497</f>
        <v>SM23-</v>
      </c>
      <c r="E12" s="182"/>
      <c r="F12" s="182">
        <f>G497</f>
        <v>4.7407999999999999E-3</v>
      </c>
      <c r="G12" s="182">
        <f>H497</f>
        <v>1.3409584880188998E-3</v>
      </c>
      <c r="H12" s="183">
        <f>J497</f>
        <v>0</v>
      </c>
    </row>
    <row r="13" spans="1:9" x14ac:dyDescent="0.25">
      <c r="B13" s="132" t="str">
        <f>B499</f>
        <v>SM_CLOCK_MON_DIAG</v>
      </c>
      <c r="C13" s="181" t="s">
        <v>117</v>
      </c>
      <c r="D13" s="120" t="str">
        <f>B514</f>
        <v>SM24-</v>
      </c>
      <c r="E13" s="182"/>
      <c r="F13" s="182">
        <f>G514</f>
        <v>4.8231999999999997E-3</v>
      </c>
      <c r="G13" s="182">
        <f>H514</f>
        <v>1.458993199535578E-3</v>
      </c>
      <c r="H13" s="183">
        <f>J514</f>
        <v>0</v>
      </c>
    </row>
    <row r="14" spans="1:9" x14ac:dyDescent="0.25">
      <c r="B14" s="132" t="str">
        <f>B516</f>
        <v>SM_SPI_RED_DIAG</v>
      </c>
      <c r="C14" s="181" t="s">
        <v>118</v>
      </c>
      <c r="D14" s="120" t="str">
        <f>B522</f>
        <v>SM25-</v>
      </c>
      <c r="E14" s="182"/>
      <c r="F14" s="182">
        <f>G522</f>
        <v>3.2959999999999999E-4</v>
      </c>
      <c r="G14" s="182">
        <f>H522</f>
        <v>8.2500000000000004E-3</v>
      </c>
      <c r="H14" s="183">
        <f>J522</f>
        <v>0</v>
      </c>
    </row>
    <row r="15" spans="1:9" x14ac:dyDescent="0.25">
      <c r="B15" s="132" t="str">
        <f>B524</f>
        <v>SM_TMOD_IND_DIAG</v>
      </c>
      <c r="C15" s="181" t="s">
        <v>119</v>
      </c>
      <c r="D15" s="120" t="str">
        <f>B532</f>
        <v>SM26-</v>
      </c>
      <c r="E15" s="182"/>
      <c r="F15" s="182">
        <f>G532</f>
        <v>4.9439999999999998E-4</v>
      </c>
      <c r="G15" s="182">
        <f>H532</f>
        <v>8.2500000000000004E-3</v>
      </c>
      <c r="H15" s="183">
        <f>J532</f>
        <v>0</v>
      </c>
    </row>
    <row r="16" spans="1:9" s="72" customFormat="1" x14ac:dyDescent="0.25">
      <c r="B16" s="132" t="str">
        <f>B534</f>
        <v>SM_THSD_IND_DIAG</v>
      </c>
      <c r="C16" s="181" t="s">
        <v>120</v>
      </c>
      <c r="D16" s="120" t="str">
        <f>B542</f>
        <v>SM27-</v>
      </c>
      <c r="E16" s="182"/>
      <c r="F16" s="182">
        <f>G542</f>
        <v>4.9439999999999998E-4</v>
      </c>
      <c r="G16" s="182">
        <f>H542</f>
        <v>8.2500000000000004E-3</v>
      </c>
      <c r="H16" s="183">
        <f>J542</f>
        <v>0</v>
      </c>
    </row>
    <row r="17" spans="2:10" s="72" customFormat="1" x14ac:dyDescent="0.25">
      <c r="B17" s="219" t="str">
        <f>B544</f>
        <v>SM_VCELL_CMP_DIAG</v>
      </c>
      <c r="C17" s="181" t="s">
        <v>121</v>
      </c>
      <c r="D17" s="120" t="str">
        <f>B552</f>
        <v>SM28-</v>
      </c>
      <c r="F17" s="182">
        <f>G552</f>
        <v>4.2464E-3</v>
      </c>
      <c r="G17" s="182">
        <f>H552</f>
        <v>5.3655237377543338E-4</v>
      </c>
      <c r="H17" s="183">
        <f>J552</f>
        <v>0</v>
      </c>
    </row>
    <row r="18" spans="2:10" s="72" customFormat="1" x14ac:dyDescent="0.25">
      <c r="B18" s="219" t="str">
        <f>B554</f>
        <v>SM_CELL_OWD_DIAG</v>
      </c>
      <c r="C18" s="181" t="s">
        <v>122</v>
      </c>
      <c r="D18" s="120" t="str">
        <f>B557</f>
        <v>SM29-</v>
      </c>
      <c r="F18" s="182">
        <f>G557</f>
        <v>0</v>
      </c>
      <c r="G18" s="182">
        <f>H557</f>
        <v>0</v>
      </c>
      <c r="H18" s="183">
        <f>J557</f>
        <v>0</v>
      </c>
    </row>
    <row r="19" spans="2:10" s="72" customFormat="1" x14ac:dyDescent="0.25">
      <c r="B19" s="219" t="str">
        <f>B559</f>
        <v>SM_AUXREGS_DIAG</v>
      </c>
      <c r="C19" s="181" t="s">
        <v>123</v>
      </c>
      <c r="D19" s="120" t="str">
        <f>B569</f>
        <v>SM30-</v>
      </c>
      <c r="F19" s="182">
        <f>G569</f>
        <v>2.0452000000000001E-2</v>
      </c>
      <c r="G19" s="182">
        <f>H569</f>
        <v>1.8833405045961274E-4</v>
      </c>
      <c r="H19" s="183">
        <f>J569</f>
        <v>0</v>
      </c>
    </row>
    <row r="20" spans="2:10" s="72" customFormat="1" ht="15.75" thickBot="1" x14ac:dyDescent="0.3">
      <c r="B20" s="184" t="str">
        <f>B571</f>
        <v>SM_NVM_ECC_DIAG</v>
      </c>
      <c r="C20" s="186" t="s">
        <v>124</v>
      </c>
      <c r="D20" s="374" t="str">
        <f>B579</f>
        <v>SM31-</v>
      </c>
      <c r="E20" s="150"/>
      <c r="F20" s="177">
        <f>G579</f>
        <v>4.9439999999999998E-4</v>
      </c>
      <c r="G20" s="177">
        <f>H579</f>
        <v>8.2500000000000004E-3</v>
      </c>
      <c r="H20" s="185">
        <f>J579</f>
        <v>0</v>
      </c>
    </row>
    <row r="21" spans="2:10" s="72" customFormat="1" ht="15.75" thickBot="1" x14ac:dyDescent="0.3">
      <c r="C21" s="127"/>
    </row>
    <row r="22" spans="2:10" x14ac:dyDescent="0.25">
      <c r="B22" s="135" t="s">
        <v>125</v>
      </c>
      <c r="C22" s="153"/>
      <c r="D22" s="90"/>
      <c r="E22" s="154"/>
      <c r="F22" s="154"/>
      <c r="G22" s="154"/>
      <c r="H22" s="155"/>
    </row>
    <row r="23" spans="2:10" x14ac:dyDescent="0.25">
      <c r="B23" s="136" t="s">
        <v>126</v>
      </c>
      <c r="C23" s="72" t="s">
        <v>127</v>
      </c>
      <c r="D23" s="8" t="s">
        <v>128</v>
      </c>
      <c r="E23" s="72" t="s">
        <v>129</v>
      </c>
      <c r="F23" s="72" t="s">
        <v>130</v>
      </c>
      <c r="G23" s="72" t="s">
        <v>131</v>
      </c>
      <c r="H23" s="156" t="s">
        <v>68</v>
      </c>
      <c r="J23" s="8" t="s">
        <v>132</v>
      </c>
    </row>
    <row r="24" spans="2:10" x14ac:dyDescent="0.25">
      <c r="B24" s="137"/>
      <c r="C24" s="72" t="s">
        <v>133</v>
      </c>
      <c r="E24" s="72"/>
      <c r="F24" s="157">
        <f>VLOOKUP(C24,'CMD Timing and Current'!$A$2:$I$96,9,FALSE)</f>
        <v>1.31E-3</v>
      </c>
      <c r="G24" s="157">
        <f>VLOOKUP(C24,'CMD Timing and Current'!$A$2:$I$96,6,FALSE)</f>
        <v>4.0800000000000002E-5</v>
      </c>
      <c r="H24" s="158">
        <f>F24*G24</f>
        <v>5.3448000000000003E-8</v>
      </c>
      <c r="I24" s="159" t="s">
        <v>134</v>
      </c>
      <c r="J24" s="159">
        <v>0</v>
      </c>
    </row>
    <row r="25" spans="2:10" x14ac:dyDescent="0.25">
      <c r="B25" s="137"/>
      <c r="C25" s="72" t="s">
        <v>135</v>
      </c>
      <c r="E25" s="72"/>
      <c r="F25" s="157">
        <f>VLOOKUP(C25,'CMD Timing and Current'!$A$2:$I$96,9,FALSE)</f>
        <v>8.2500000000000004E-3</v>
      </c>
      <c r="G25" s="157">
        <f>VLOOKUP(C25,'CMD Timing and Current'!$A$2:$I$96,6,FALSE)</f>
        <v>8.2399999999999997E-5</v>
      </c>
      <c r="H25" s="158">
        <f>F25*G25</f>
        <v>6.7980000000000004E-7</v>
      </c>
      <c r="I25" s="159" t="s">
        <v>136</v>
      </c>
      <c r="J25" s="159">
        <v>0</v>
      </c>
    </row>
    <row r="26" spans="2:10" s="123" customFormat="1" x14ac:dyDescent="0.25">
      <c r="B26" s="138"/>
      <c r="C26" s="160" t="s">
        <v>137</v>
      </c>
      <c r="E26" s="160"/>
      <c r="F26" s="161">
        <f>VLOOKUP(C26,'CMD Timing and Current'!$A$2:$I$96,9,FALSE)</f>
        <v>8.2500000000000004E-3</v>
      </c>
      <c r="G26" s="157">
        <f>VLOOKUP(C26,'CMD Timing and Current'!$A$2:$I$96,6,FALSE)</f>
        <v>8.2399999999999997E-5</v>
      </c>
      <c r="H26" s="162">
        <f>F26*G26</f>
        <v>6.7980000000000004E-7</v>
      </c>
      <c r="I26" s="163" t="s">
        <v>138</v>
      </c>
      <c r="J26" s="163">
        <v>0</v>
      </c>
    </row>
    <row r="27" spans="2:10" s="123" customFormat="1" x14ac:dyDescent="0.25">
      <c r="B27" s="138"/>
      <c r="C27" s="160" t="s">
        <v>139</v>
      </c>
      <c r="E27" s="160"/>
      <c r="F27" s="161">
        <f>VLOOKUP(C27,'CMD Timing and Current'!$A$2:$I$96,9,FALSE)</f>
        <v>8.2500000000000004E-3</v>
      </c>
      <c r="G27" s="157">
        <f>VLOOKUP(C27,'CMD Timing and Current'!$A$2:$I$96,6,FALSE)</f>
        <v>8.2399999999999997E-5</v>
      </c>
      <c r="H27" s="162">
        <f>F27*G27</f>
        <v>6.7980000000000004E-7</v>
      </c>
      <c r="I27" s="163" t="s">
        <v>140</v>
      </c>
      <c r="J27" s="163">
        <v>0</v>
      </c>
    </row>
    <row r="28" spans="2:10" s="123" customFormat="1" x14ac:dyDescent="0.25">
      <c r="B28" s="138"/>
      <c r="C28" s="160" t="s">
        <v>141</v>
      </c>
      <c r="E28" s="160"/>
      <c r="F28" s="161">
        <f>VLOOKUP(C28,'CMD Timing and Current'!$A$2:$I$96,9,FALSE)</f>
        <v>8.2500000000000004E-3</v>
      </c>
      <c r="G28" s="157">
        <f>VLOOKUP(C28,'CMD Timing and Current'!$A$2:$I$96,6,FALSE)</f>
        <v>8.2399999999999997E-5</v>
      </c>
      <c r="H28" s="162">
        <f>F28*G28</f>
        <v>6.7980000000000004E-7</v>
      </c>
      <c r="I28" s="163" t="s">
        <v>142</v>
      </c>
      <c r="J28" s="163">
        <v>0</v>
      </c>
    </row>
    <row r="29" spans="2:10" s="123" customFormat="1" x14ac:dyDescent="0.25">
      <c r="B29" s="138" t="s">
        <v>143</v>
      </c>
      <c r="C29" s="160" t="s">
        <v>144</v>
      </c>
      <c r="E29" s="160"/>
      <c r="F29" s="161">
        <f>VLOOKUP(C29,'CMD Timing and Current'!$A$2:$I$96,9,FALSE)</f>
        <v>1.1259999999999999E-2</v>
      </c>
      <c r="G29" s="157">
        <f>VLOOKUP(C29,'CMD Timing and Current'!$A$2:$I$96,6,FALSE)</f>
        <v>4.0800000000000002E-5</v>
      </c>
      <c r="H29" s="162">
        <f t="shared" ref="H29" si="0">F29*G29</f>
        <v>4.5940800000000001E-7</v>
      </c>
      <c r="I29" s="163" t="s">
        <v>145</v>
      </c>
      <c r="J29" s="163">
        <v>0</v>
      </c>
    </row>
    <row r="30" spans="2:10" ht="15.75" thickBot="1" x14ac:dyDescent="0.3">
      <c r="B30" s="139" t="str">
        <f>_xlfn.CONCAT(E24:E29)</f>
        <v/>
      </c>
      <c r="C30" s="164"/>
      <c r="D30" s="164"/>
      <c r="E30" s="164" t="s">
        <v>146</v>
      </c>
      <c r="F30" s="165"/>
      <c r="G30" s="151">
        <f>SUM(G24:G29)</f>
        <v>4.1120000000000002E-4</v>
      </c>
      <c r="H30" s="166">
        <f>SUM(H24:H29)/G30</f>
        <v>7.8600583657587545E-3</v>
      </c>
      <c r="I30" s="159"/>
      <c r="J30" s="159">
        <f>SUM(J24:J29)</f>
        <v>0</v>
      </c>
    </row>
    <row r="31" spans="2:10" ht="15.75" thickBot="1" x14ac:dyDescent="0.3"/>
    <row r="32" spans="2:10" ht="30" x14ac:dyDescent="0.25">
      <c r="B32" s="135" t="s">
        <v>147</v>
      </c>
      <c r="C32" s="153"/>
      <c r="D32" s="90" t="s">
        <v>148</v>
      </c>
      <c r="E32" s="154"/>
      <c r="F32" s="154"/>
      <c r="G32" s="154"/>
      <c r="H32" s="155"/>
    </row>
    <row r="33" spans="2:10" x14ac:dyDescent="0.25">
      <c r="B33" s="136" t="s">
        <v>126</v>
      </c>
      <c r="C33" s="72" t="s">
        <v>127</v>
      </c>
      <c r="D33" s="8" t="s">
        <v>128</v>
      </c>
      <c r="E33" s="72" t="s">
        <v>129</v>
      </c>
      <c r="F33" s="72" t="s">
        <v>130</v>
      </c>
      <c r="G33" s="72" t="s">
        <v>131</v>
      </c>
      <c r="H33" s="156" t="s">
        <v>68</v>
      </c>
      <c r="J33" s="8" t="s">
        <v>132</v>
      </c>
    </row>
    <row r="34" spans="2:10" x14ac:dyDescent="0.25">
      <c r="B34" s="142"/>
      <c r="C34" s="72" t="s">
        <v>149</v>
      </c>
      <c r="D34" s="169"/>
      <c r="E34" s="72"/>
      <c r="F34" s="157">
        <f>VLOOKUP(C34,'CMD Timing and Current'!$A$2:$I$96,9,FALSE)</f>
        <v>8.2500000000000004E-3</v>
      </c>
      <c r="G34" s="157">
        <f>VLOOKUP(C34,'CMD Timing and Current'!$A$2:$I$96,6,FALSE)</f>
        <v>4.0800000000000002E-5</v>
      </c>
      <c r="H34" s="158">
        <f t="shared" ref="H34" si="1">F34*G34</f>
        <v>3.3660000000000004E-7</v>
      </c>
      <c r="I34" s="8" t="s">
        <v>150</v>
      </c>
      <c r="J34" s="8">
        <v>0</v>
      </c>
    </row>
    <row r="35" spans="2:10" s="123" customFormat="1" ht="30" x14ac:dyDescent="0.25">
      <c r="B35" s="138"/>
      <c r="C35" s="160"/>
      <c r="D35" s="169"/>
      <c r="E35" s="160"/>
      <c r="F35" s="161"/>
      <c r="G35" s="157"/>
      <c r="H35" s="162"/>
      <c r="I35" s="171" t="s">
        <v>151</v>
      </c>
      <c r="J35" s="163">
        <v>0</v>
      </c>
    </row>
    <row r="36" spans="2:10" x14ac:dyDescent="0.25">
      <c r="B36" s="142" t="s">
        <v>152</v>
      </c>
      <c r="C36" s="72" t="s">
        <v>153</v>
      </c>
      <c r="E36" s="72" t="s">
        <v>43</v>
      </c>
      <c r="F36" s="157">
        <f>VLOOKUP(C36,'CMD Timing and Current'!$A$2:$I$96,9,FALSE)</f>
        <v>8.2500000000000004E-3</v>
      </c>
      <c r="G36" s="157">
        <f>VLOOKUP(C36,'CMD Timing and Current'!$A$2:$I$96,6,FALSE)</f>
        <v>8.2399999999999997E-5</v>
      </c>
      <c r="H36" s="158">
        <f t="shared" ref="H36:H41" si="2">F36*G36</f>
        <v>6.7980000000000004E-7</v>
      </c>
      <c r="I36" s="8" t="s">
        <v>154</v>
      </c>
      <c r="J36" s="8">
        <v>0</v>
      </c>
    </row>
    <row r="37" spans="2:10" x14ac:dyDescent="0.25">
      <c r="B37" s="142" t="s">
        <v>152</v>
      </c>
      <c r="C37" s="72" t="s">
        <v>155</v>
      </c>
      <c r="E37" s="72"/>
      <c r="F37" s="157">
        <f>VLOOKUP(C37,'CMD Timing and Current'!$A$2:$I$96,9,FALSE)</f>
        <v>8.2500000000000004E-3</v>
      </c>
      <c r="G37" s="157">
        <f>VLOOKUP(C37,'CMD Timing and Current'!$A$2:$I$96,6,FALSE)</f>
        <v>8.2399999999999997E-5</v>
      </c>
      <c r="H37" s="158">
        <f t="shared" si="2"/>
        <v>6.7980000000000004E-7</v>
      </c>
      <c r="I37" s="8" t="s">
        <v>154</v>
      </c>
      <c r="J37" s="8">
        <v>0</v>
      </c>
    </row>
    <row r="38" spans="2:10" x14ac:dyDescent="0.25">
      <c r="B38" s="142" t="s">
        <v>152</v>
      </c>
      <c r="C38" s="72" t="s">
        <v>156</v>
      </c>
      <c r="E38" s="72"/>
      <c r="F38" s="157">
        <f>VLOOKUP(C38,'CMD Timing and Current'!$A$2:$I$96,9,FALSE)</f>
        <v>8.2500000000000004E-3</v>
      </c>
      <c r="G38" s="157">
        <f>VLOOKUP(C38,'CMD Timing and Current'!$A$2:$I$96,6,FALSE)</f>
        <v>8.2399999999999997E-5</v>
      </c>
      <c r="H38" s="158">
        <f t="shared" si="2"/>
        <v>6.7980000000000004E-7</v>
      </c>
      <c r="I38" s="8" t="s">
        <v>154</v>
      </c>
      <c r="J38" s="8">
        <v>0</v>
      </c>
    </row>
    <row r="39" spans="2:10" x14ac:dyDescent="0.25">
      <c r="B39" s="142" t="s">
        <v>152</v>
      </c>
      <c r="C39" s="72" t="s">
        <v>157</v>
      </c>
      <c r="E39" s="72"/>
      <c r="F39" s="157">
        <f>VLOOKUP(C39,'CMD Timing and Current'!$A$2:$I$96,9,FALSE)</f>
        <v>8.2500000000000004E-3</v>
      </c>
      <c r="G39" s="157">
        <f>VLOOKUP(C39,'CMD Timing and Current'!$A$2:$I$96,6,FALSE)</f>
        <v>8.2399999999999997E-5</v>
      </c>
      <c r="H39" s="158">
        <f t="shared" si="2"/>
        <v>6.7980000000000004E-7</v>
      </c>
      <c r="I39" s="8" t="s">
        <v>154</v>
      </c>
      <c r="J39" s="8">
        <v>0</v>
      </c>
    </row>
    <row r="40" spans="2:10" x14ac:dyDescent="0.25">
      <c r="B40" s="142" t="s">
        <v>152</v>
      </c>
      <c r="C40" s="72" t="s">
        <v>158</v>
      </c>
      <c r="E40" s="72"/>
      <c r="F40" s="157">
        <f>VLOOKUP(C40,'CMD Timing and Current'!$A$2:$I$96,9,FALSE)</f>
        <v>8.2500000000000004E-3</v>
      </c>
      <c r="G40" s="157">
        <f>VLOOKUP(C40,'CMD Timing and Current'!$A$2:$I$96,6,FALSE)</f>
        <v>8.2399999999999997E-5</v>
      </c>
      <c r="H40" s="158">
        <f t="shared" si="2"/>
        <v>6.7980000000000004E-7</v>
      </c>
      <c r="I40" s="8" t="s">
        <v>154</v>
      </c>
      <c r="J40" s="8">
        <v>0</v>
      </c>
    </row>
    <row r="41" spans="2:10" x14ac:dyDescent="0.25">
      <c r="B41" s="142" t="s">
        <v>152</v>
      </c>
      <c r="C41" s="72" t="s">
        <v>159</v>
      </c>
      <c r="E41" s="72"/>
      <c r="F41" s="157">
        <f>VLOOKUP(C41,'CMD Timing and Current'!$A$2:$I$96,9,FALSE)</f>
        <v>8.2500000000000004E-3</v>
      </c>
      <c r="G41" s="157">
        <f>VLOOKUP(C41,'CMD Timing and Current'!$A$2:$I$96,6,FALSE)</f>
        <v>8.2399999999999997E-5</v>
      </c>
      <c r="H41" s="158">
        <f t="shared" si="2"/>
        <v>6.7980000000000004E-7</v>
      </c>
      <c r="I41" s="8" t="s">
        <v>154</v>
      </c>
      <c r="J41" s="8">
        <v>0</v>
      </c>
    </row>
    <row r="42" spans="2:10" x14ac:dyDescent="0.25">
      <c r="B42" s="138"/>
      <c r="C42" s="72" t="s">
        <v>160</v>
      </c>
      <c r="D42" s="169"/>
      <c r="E42" s="72"/>
      <c r="F42" s="157">
        <f>VLOOKUP(C42,'CMD Timing and Current'!$A$2:$I$96,9,FALSE)</f>
        <v>8.2500000000000004E-3</v>
      </c>
      <c r="G42" s="157">
        <f>VLOOKUP(C42,'CMD Timing and Current'!$A$2:$I$96,6,FALSE)</f>
        <v>4.0800000000000002E-5</v>
      </c>
      <c r="H42" s="158">
        <f t="shared" ref="H42" si="3">F42*G42</f>
        <v>3.3660000000000004E-7</v>
      </c>
      <c r="I42" s="8" t="s">
        <v>161</v>
      </c>
      <c r="J42" s="8">
        <v>0</v>
      </c>
    </row>
    <row r="43" spans="2:10" ht="15.75" thickBot="1" x14ac:dyDescent="0.3">
      <c r="B43" s="141" t="str">
        <f>_xlfn.CONCAT(E34:E42)</f>
        <v>SM12-</v>
      </c>
      <c r="C43" s="164"/>
      <c r="D43" s="164"/>
      <c r="E43" s="164" t="s">
        <v>146</v>
      </c>
      <c r="F43" s="164"/>
      <c r="G43" s="151">
        <f>SUM(G34:G42)</f>
        <v>5.7600000000000001E-4</v>
      </c>
      <c r="H43" s="166">
        <f>SUM(H34:H42)/G43</f>
        <v>8.2500000000000004E-3</v>
      </c>
      <c r="J43" s="159">
        <f>SUM(J34:J42)</f>
        <v>0</v>
      </c>
    </row>
    <row r="44" spans="2:10" ht="15.75" thickBot="1" x14ac:dyDescent="0.3">
      <c r="B44" s="72"/>
      <c r="C44" s="127"/>
      <c r="D44" s="72"/>
      <c r="E44" s="72"/>
      <c r="F44" s="72"/>
      <c r="G44" s="72"/>
      <c r="H44" s="72"/>
    </row>
    <row r="45" spans="2:10" ht="30" x14ac:dyDescent="0.25">
      <c r="B45" s="135" t="s">
        <v>162</v>
      </c>
      <c r="C45" s="153"/>
      <c r="D45" s="90" t="s">
        <v>148</v>
      </c>
      <c r="E45" s="154"/>
      <c r="F45" s="154"/>
      <c r="G45" s="154"/>
      <c r="H45" s="155"/>
    </row>
    <row r="46" spans="2:10" x14ac:dyDescent="0.25">
      <c r="B46" s="136" t="s">
        <v>126</v>
      </c>
      <c r="C46" s="72" t="s">
        <v>127</v>
      </c>
      <c r="D46" s="8" t="s">
        <v>128</v>
      </c>
      <c r="E46" s="72" t="s">
        <v>129</v>
      </c>
      <c r="F46" s="72" t="s">
        <v>130</v>
      </c>
      <c r="G46" s="72" t="s">
        <v>131</v>
      </c>
      <c r="H46" s="156" t="s">
        <v>68</v>
      </c>
      <c r="J46" s="8" t="s">
        <v>132</v>
      </c>
    </row>
    <row r="47" spans="2:10" x14ac:dyDescent="0.25">
      <c r="B47" s="137"/>
      <c r="C47" s="167" t="s">
        <v>149</v>
      </c>
      <c r="E47" s="72" t="s">
        <v>39</v>
      </c>
      <c r="F47" s="157">
        <f>VLOOKUP(C47,'CMD Timing and Current'!$A$2:$I$96,9,FALSE)</f>
        <v>8.2500000000000004E-3</v>
      </c>
      <c r="G47" s="157">
        <f>VLOOKUP(C47,'CMD Timing and Current'!$A$2:$I$96,6,FALSE)</f>
        <v>4.0800000000000002E-5</v>
      </c>
      <c r="H47" s="158">
        <f>F47*G47</f>
        <v>3.3660000000000004E-7</v>
      </c>
      <c r="I47" s="159" t="s">
        <v>150</v>
      </c>
      <c r="J47" s="159">
        <v>0</v>
      </c>
    </row>
    <row r="48" spans="2:10" x14ac:dyDescent="0.25">
      <c r="B48" s="137"/>
      <c r="C48" s="168" t="s">
        <v>163</v>
      </c>
      <c r="F48" s="157">
        <f>VLOOKUP(C48,'CMD Timing and Current'!$A$2:$I$96,9,FALSE)</f>
        <v>8.2500000000000004E-3</v>
      </c>
      <c r="G48" s="157">
        <f>VLOOKUP(C48,'CMD Timing and Current'!$A$2:$I$96,6,FALSE)</f>
        <v>4.0800000000000002E-5</v>
      </c>
      <c r="H48" s="158">
        <f>F48*G48</f>
        <v>3.3660000000000004E-7</v>
      </c>
      <c r="I48" s="159" t="s">
        <v>164</v>
      </c>
      <c r="J48" s="159">
        <v>0</v>
      </c>
    </row>
    <row r="49" spans="2:10" x14ac:dyDescent="0.25">
      <c r="B49" s="138" t="s">
        <v>165</v>
      </c>
      <c r="C49" s="167" t="s">
        <v>166</v>
      </c>
      <c r="E49" s="72"/>
      <c r="F49" s="157"/>
      <c r="G49" s="157">
        <v>2.2000000000000001E-3</v>
      </c>
      <c r="H49" s="158"/>
      <c r="I49" s="159" t="s">
        <v>167</v>
      </c>
      <c r="J49" s="159">
        <v>0</v>
      </c>
    </row>
    <row r="50" spans="2:10" x14ac:dyDescent="0.25">
      <c r="B50" s="130" t="s">
        <v>168</v>
      </c>
      <c r="C50" s="129" t="s">
        <v>169</v>
      </c>
      <c r="D50" s="169"/>
      <c r="F50" s="157">
        <f>VLOOKUP(C50,'CMD Timing and Current'!$A$2:$I$96,9,FALSE)</f>
        <v>8.2500000000000004E-3</v>
      </c>
      <c r="G50" s="157">
        <f>VLOOKUP(C50,'CMD Timing and Current'!$A$2:$I$96,6,FALSE)</f>
        <v>8.2399999999999997E-5</v>
      </c>
      <c r="H50" s="158">
        <f t="shared" ref="H50:H61" si="4">F50*G50</f>
        <v>6.7980000000000004E-7</v>
      </c>
      <c r="I50" s="159" t="s">
        <v>170</v>
      </c>
      <c r="J50" s="159">
        <v>0</v>
      </c>
    </row>
    <row r="51" spans="2:10" x14ac:dyDescent="0.25">
      <c r="B51" s="137"/>
      <c r="C51" s="129" t="s">
        <v>160</v>
      </c>
      <c r="F51" s="157">
        <f>VLOOKUP(C51,'CMD Timing and Current'!$A$2:$I$96,9,FALSE)</f>
        <v>8.2500000000000004E-3</v>
      </c>
      <c r="G51" s="157">
        <f>VLOOKUP(C51,'CMD Timing and Current'!$A$2:$I$96,6,FALSE)</f>
        <v>4.0800000000000002E-5</v>
      </c>
      <c r="H51" s="158">
        <f t="shared" si="4"/>
        <v>3.3660000000000004E-7</v>
      </c>
      <c r="I51" s="159" t="s">
        <v>161</v>
      </c>
      <c r="J51" s="159">
        <v>0</v>
      </c>
    </row>
    <row r="52" spans="2:10" ht="30" x14ac:dyDescent="0.25">
      <c r="B52" s="140" t="s">
        <v>171</v>
      </c>
      <c r="C52" s="8" t="s">
        <v>169</v>
      </c>
      <c r="F52" s="157">
        <f>VLOOKUP(C52,'CMD Timing and Current'!$A$2:$I$96,9,FALSE)</f>
        <v>8.2500000000000004E-3</v>
      </c>
      <c r="G52" s="157">
        <f>VLOOKUP(C52,'CMD Timing and Current'!$A$2:$I$96,6,FALSE)</f>
        <v>8.2399999999999997E-5</v>
      </c>
      <c r="H52" s="158">
        <f>F52*G52</f>
        <v>6.7980000000000004E-7</v>
      </c>
      <c r="I52" s="159" t="s">
        <v>172</v>
      </c>
      <c r="J52" s="159">
        <v>0</v>
      </c>
    </row>
    <row r="53" spans="2:10" s="123" customFormat="1" x14ac:dyDescent="0.25">
      <c r="B53" s="143" t="s">
        <v>173</v>
      </c>
      <c r="C53" s="123" t="s">
        <v>166</v>
      </c>
      <c r="D53" s="169"/>
      <c r="F53" s="157"/>
      <c r="G53" s="163">
        <f>C1-SUM(G34:G42)-SUM(G47:G52)</f>
        <v>6.9367999999999999E-3</v>
      </c>
      <c r="H53" s="162"/>
      <c r="I53" s="171" t="s">
        <v>174</v>
      </c>
      <c r="J53" s="159">
        <v>0</v>
      </c>
    </row>
    <row r="54" spans="2:10" x14ac:dyDescent="0.25">
      <c r="B54" s="140"/>
      <c r="C54" s="8" t="s">
        <v>149</v>
      </c>
      <c r="D54" s="169"/>
      <c r="F54" s="157">
        <f>VLOOKUP(C54,'CMD Timing and Current'!$A$2:$I$96,9,FALSE)</f>
        <v>8.2500000000000004E-3</v>
      </c>
      <c r="G54" s="157">
        <f>VLOOKUP(C54,'CMD Timing and Current'!$A$2:$I$96,6,FALSE)</f>
        <v>4.0800000000000002E-5</v>
      </c>
      <c r="H54" s="158">
        <f t="shared" si="4"/>
        <v>3.3660000000000004E-7</v>
      </c>
      <c r="I54" s="159" t="s">
        <v>150</v>
      </c>
      <c r="J54" s="159">
        <v>0</v>
      </c>
    </row>
    <row r="55" spans="2:10" x14ac:dyDescent="0.25">
      <c r="B55" s="142" t="s">
        <v>175</v>
      </c>
      <c r="C55" s="72" t="s">
        <v>153</v>
      </c>
      <c r="E55" s="72" t="s">
        <v>43</v>
      </c>
      <c r="F55" s="157">
        <f>VLOOKUP(C55,'CMD Timing and Current'!$A$2:$I$96,9,FALSE)</f>
        <v>8.2500000000000004E-3</v>
      </c>
      <c r="G55" s="157">
        <f>VLOOKUP(C55,'CMD Timing and Current'!$A$2:$I$96,6,FALSE)</f>
        <v>8.2399999999999997E-5</v>
      </c>
      <c r="H55" s="158">
        <f t="shared" si="4"/>
        <v>6.7980000000000004E-7</v>
      </c>
      <c r="I55" s="159" t="s">
        <v>154</v>
      </c>
      <c r="J55" s="159">
        <v>0</v>
      </c>
    </row>
    <row r="56" spans="2:10" x14ac:dyDescent="0.25">
      <c r="B56" s="142" t="s">
        <v>175</v>
      </c>
      <c r="C56" s="72" t="s">
        <v>155</v>
      </c>
      <c r="E56" s="72"/>
      <c r="F56" s="157">
        <f>VLOOKUP(C56,'CMD Timing and Current'!$A$2:$I$96,9,FALSE)</f>
        <v>8.2500000000000004E-3</v>
      </c>
      <c r="G56" s="157">
        <f>VLOOKUP(C56,'CMD Timing and Current'!$A$2:$I$96,6,FALSE)</f>
        <v>8.2399999999999997E-5</v>
      </c>
      <c r="H56" s="158">
        <f t="shared" si="4"/>
        <v>6.7980000000000004E-7</v>
      </c>
      <c r="I56" s="159" t="s">
        <v>154</v>
      </c>
      <c r="J56" s="159">
        <v>0</v>
      </c>
    </row>
    <row r="57" spans="2:10" x14ac:dyDescent="0.25">
      <c r="B57" s="142" t="s">
        <v>175</v>
      </c>
      <c r="C57" s="72" t="s">
        <v>156</v>
      </c>
      <c r="E57" s="72"/>
      <c r="F57" s="157">
        <f>VLOOKUP(C57,'CMD Timing and Current'!$A$2:$I$96,9,FALSE)</f>
        <v>8.2500000000000004E-3</v>
      </c>
      <c r="G57" s="157">
        <f>VLOOKUP(C57,'CMD Timing and Current'!$A$2:$I$96,6,FALSE)</f>
        <v>8.2399999999999997E-5</v>
      </c>
      <c r="H57" s="158">
        <f t="shared" si="4"/>
        <v>6.7980000000000004E-7</v>
      </c>
      <c r="I57" s="159" t="s">
        <v>154</v>
      </c>
      <c r="J57" s="159">
        <v>0</v>
      </c>
    </row>
    <row r="58" spans="2:10" x14ac:dyDescent="0.25">
      <c r="B58" s="142" t="s">
        <v>175</v>
      </c>
      <c r="C58" s="72" t="s">
        <v>157</v>
      </c>
      <c r="E58" s="72"/>
      <c r="F58" s="157">
        <f>VLOOKUP(C58,'CMD Timing and Current'!$A$2:$I$96,9,FALSE)</f>
        <v>8.2500000000000004E-3</v>
      </c>
      <c r="G58" s="157">
        <f>VLOOKUP(C58,'CMD Timing and Current'!$A$2:$I$96,6,FALSE)</f>
        <v>8.2399999999999997E-5</v>
      </c>
      <c r="H58" s="158">
        <f t="shared" si="4"/>
        <v>6.7980000000000004E-7</v>
      </c>
      <c r="I58" s="159" t="s">
        <v>154</v>
      </c>
      <c r="J58" s="159">
        <v>0</v>
      </c>
    </row>
    <row r="59" spans="2:10" x14ac:dyDescent="0.25">
      <c r="B59" s="142" t="s">
        <v>175</v>
      </c>
      <c r="C59" s="72" t="s">
        <v>158</v>
      </c>
      <c r="E59" s="72"/>
      <c r="F59" s="157">
        <f>VLOOKUP(C59,'CMD Timing and Current'!$A$2:$I$96,9,FALSE)</f>
        <v>8.2500000000000004E-3</v>
      </c>
      <c r="G59" s="157">
        <f>VLOOKUP(C59,'CMD Timing and Current'!$A$2:$I$96,6,FALSE)</f>
        <v>8.2399999999999997E-5</v>
      </c>
      <c r="H59" s="158">
        <f t="shared" si="4"/>
        <v>6.7980000000000004E-7</v>
      </c>
      <c r="I59" s="159" t="s">
        <v>154</v>
      </c>
      <c r="J59" s="159">
        <v>0</v>
      </c>
    </row>
    <row r="60" spans="2:10" x14ac:dyDescent="0.25">
      <c r="B60" s="142" t="s">
        <v>175</v>
      </c>
      <c r="C60" s="72" t="s">
        <v>159</v>
      </c>
      <c r="E60" s="72"/>
      <c r="F60" s="157">
        <f>VLOOKUP(C60,'CMD Timing and Current'!$A$2:$I$96,9,FALSE)</f>
        <v>8.2500000000000004E-3</v>
      </c>
      <c r="G60" s="157">
        <f>VLOOKUP(C60,'CMD Timing and Current'!$A$2:$I$96,6,FALSE)</f>
        <v>8.2399999999999997E-5</v>
      </c>
      <c r="H60" s="158">
        <f t="shared" si="4"/>
        <v>6.7980000000000004E-7</v>
      </c>
      <c r="I60" s="159" t="s">
        <v>154</v>
      </c>
      <c r="J60" s="159">
        <v>0</v>
      </c>
    </row>
    <row r="61" spans="2:10" x14ac:dyDescent="0.25">
      <c r="B61" s="138"/>
      <c r="C61" s="127" t="s">
        <v>160</v>
      </c>
      <c r="D61" s="169"/>
      <c r="E61" s="72"/>
      <c r="F61" s="157">
        <f>VLOOKUP(C61,'CMD Timing and Current'!$A$2:$I$96,9,FALSE)</f>
        <v>8.2500000000000004E-3</v>
      </c>
      <c r="G61" s="157">
        <f>VLOOKUP(C61,'CMD Timing and Current'!$A$2:$I$96,6,FALSE)</f>
        <v>4.0800000000000002E-5</v>
      </c>
      <c r="H61" s="158">
        <f t="shared" si="4"/>
        <v>3.3660000000000004E-7</v>
      </c>
      <c r="I61" s="159" t="s">
        <v>161</v>
      </c>
      <c r="J61" s="159">
        <v>0</v>
      </c>
    </row>
    <row r="62" spans="2:10" ht="15.75" thickBot="1" x14ac:dyDescent="0.3">
      <c r="B62" s="139" t="str">
        <f>_xlfn.CONCAT(E47:E61)</f>
        <v>SM6-SM12-</v>
      </c>
      <c r="C62" s="164"/>
      <c r="D62" s="164"/>
      <c r="E62" s="164" t="s">
        <v>146</v>
      </c>
      <c r="F62" s="165"/>
      <c r="G62" s="151">
        <f>SUM(G47:G61)</f>
        <v>0.01</v>
      </c>
      <c r="H62" s="166">
        <f>SUM(H47:H61)/G62</f>
        <v>7.1213999999999989E-4</v>
      </c>
      <c r="I62" s="159"/>
      <c r="J62" s="159">
        <f>SUM(J47:J61)</f>
        <v>0</v>
      </c>
    </row>
    <row r="63" spans="2:10" ht="15.75" thickBot="1" x14ac:dyDescent="0.3">
      <c r="B63" s="72"/>
      <c r="C63" s="127"/>
      <c r="D63" s="72"/>
      <c r="E63" s="72"/>
      <c r="F63" s="72"/>
      <c r="G63" s="72">
        <f>G203+G208+G214+G224+G236</f>
        <v>9.9176000000000004E-3</v>
      </c>
      <c r="H63" s="72">
        <f>0.016*1.1-SUM(G67:G84)</f>
        <v>-2.2368000000000006E-3</v>
      </c>
    </row>
    <row r="64" spans="2:10" ht="30" x14ac:dyDescent="0.25">
      <c r="B64" s="135" t="s">
        <v>176</v>
      </c>
      <c r="C64" s="153"/>
      <c r="D64" s="90" t="s">
        <v>148</v>
      </c>
      <c r="E64" s="154"/>
      <c r="F64" s="154"/>
      <c r="G64" s="154"/>
      <c r="H64" s="155"/>
    </row>
    <row r="65" spans="2:10" x14ac:dyDescent="0.25">
      <c r="B65" s="136" t="s">
        <v>126</v>
      </c>
      <c r="C65" s="72" t="s">
        <v>127</v>
      </c>
      <c r="D65" s="8" t="s">
        <v>128</v>
      </c>
      <c r="E65" s="72" t="s">
        <v>129</v>
      </c>
      <c r="F65" s="72" t="s">
        <v>130</v>
      </c>
      <c r="G65" s="72" t="s">
        <v>131</v>
      </c>
      <c r="H65" s="156" t="s">
        <v>68</v>
      </c>
      <c r="J65" s="8" t="s">
        <v>132</v>
      </c>
    </row>
    <row r="66" spans="2:10" s="123" customFormat="1" x14ac:dyDescent="0.25">
      <c r="B66" s="130" t="s">
        <v>177</v>
      </c>
      <c r="C66" s="160" t="s">
        <v>178</v>
      </c>
      <c r="E66" s="160"/>
      <c r="F66" s="161">
        <f>VLOOKUP(C66,'CMD Timing and Current'!$A$2:$I$96,9,FALSE)</f>
        <v>1.1259999999999999E-2</v>
      </c>
      <c r="G66" s="157">
        <f>VLOOKUP(C66,'CMD Timing and Current'!$A$2:$I$96,6,FALSE)</f>
        <v>4.0800000000000002E-5</v>
      </c>
      <c r="H66" s="162">
        <f>F66*G66</f>
        <v>4.5940800000000001E-7</v>
      </c>
      <c r="I66" s="163" t="s">
        <v>179</v>
      </c>
      <c r="J66" s="163">
        <v>0</v>
      </c>
    </row>
    <row r="67" spans="2:10" s="123" customFormat="1" x14ac:dyDescent="0.25">
      <c r="B67" s="143" t="s">
        <v>173</v>
      </c>
      <c r="C67" s="123" t="s">
        <v>166</v>
      </c>
      <c r="F67" s="163"/>
      <c r="G67" s="163">
        <f>C1-SUM(G54:G61)-SUM(G151:G153)-G66</f>
        <v>9.2607999999999996E-3</v>
      </c>
      <c r="H67" s="162"/>
      <c r="I67" s="171" t="s">
        <v>174</v>
      </c>
      <c r="J67" s="163">
        <f>G67</f>
        <v>9.2607999999999996E-3</v>
      </c>
    </row>
    <row r="68" spans="2:10" x14ac:dyDescent="0.25">
      <c r="B68" s="137"/>
      <c r="C68" s="72" t="s">
        <v>149</v>
      </c>
      <c r="D68" s="169"/>
      <c r="E68" s="72"/>
      <c r="F68" s="157">
        <f>VLOOKUP(C68,'CMD Timing and Current'!$A$2:$I$96,9,FALSE)</f>
        <v>8.2500000000000004E-3</v>
      </c>
      <c r="G68" s="157">
        <f>VLOOKUP(C68,'CMD Timing and Current'!$A$2:$I$96,6,FALSE)</f>
        <v>4.0800000000000002E-5</v>
      </c>
      <c r="H68" s="158">
        <f t="shared" ref="H68:H75" si="5">F68*G68</f>
        <v>3.3660000000000004E-7</v>
      </c>
      <c r="I68" s="159" t="s">
        <v>150</v>
      </c>
      <c r="J68" s="163">
        <f t="shared" ref="J68:J87" si="6">G68</f>
        <v>4.0800000000000002E-5</v>
      </c>
    </row>
    <row r="69" spans="2:10" x14ac:dyDescent="0.25">
      <c r="B69" s="142" t="s">
        <v>180</v>
      </c>
      <c r="C69" s="72" t="s">
        <v>153</v>
      </c>
      <c r="E69" s="72" t="s">
        <v>43</v>
      </c>
      <c r="F69" s="157">
        <f>VLOOKUP(C69,'CMD Timing and Current'!$A$2:$I$96,9,FALSE)</f>
        <v>8.2500000000000004E-3</v>
      </c>
      <c r="G69" s="157">
        <f>VLOOKUP(C69,'CMD Timing and Current'!$A$2:$I$96,6,FALSE)</f>
        <v>8.2399999999999997E-5</v>
      </c>
      <c r="H69" s="158">
        <f t="shared" si="5"/>
        <v>6.7980000000000004E-7</v>
      </c>
      <c r="I69" s="159" t="s">
        <v>154</v>
      </c>
      <c r="J69" s="163">
        <f t="shared" si="6"/>
        <v>8.2399999999999997E-5</v>
      </c>
    </row>
    <row r="70" spans="2:10" x14ac:dyDescent="0.25">
      <c r="B70" s="142" t="s">
        <v>180</v>
      </c>
      <c r="C70" s="72" t="s">
        <v>155</v>
      </c>
      <c r="E70" s="72"/>
      <c r="F70" s="157">
        <f>VLOOKUP(C70,'CMD Timing and Current'!$A$2:$I$96,9,FALSE)</f>
        <v>8.2500000000000004E-3</v>
      </c>
      <c r="G70" s="157">
        <f>VLOOKUP(C70,'CMD Timing and Current'!$A$2:$I$96,6,FALSE)</f>
        <v>8.2399999999999997E-5</v>
      </c>
      <c r="H70" s="158">
        <f t="shared" si="5"/>
        <v>6.7980000000000004E-7</v>
      </c>
      <c r="I70" s="159" t="s">
        <v>154</v>
      </c>
      <c r="J70" s="163">
        <f t="shared" si="6"/>
        <v>8.2399999999999997E-5</v>
      </c>
    </row>
    <row r="71" spans="2:10" x14ac:dyDescent="0.25">
      <c r="B71" s="142" t="s">
        <v>180</v>
      </c>
      <c r="C71" s="72" t="s">
        <v>156</v>
      </c>
      <c r="E71" s="72"/>
      <c r="F71" s="157">
        <f>VLOOKUP(C71,'CMD Timing and Current'!$A$2:$I$96,9,FALSE)</f>
        <v>8.2500000000000004E-3</v>
      </c>
      <c r="G71" s="157">
        <f>VLOOKUP(C71,'CMD Timing and Current'!$A$2:$I$96,6,FALSE)</f>
        <v>8.2399999999999997E-5</v>
      </c>
      <c r="H71" s="158">
        <f t="shared" si="5"/>
        <v>6.7980000000000004E-7</v>
      </c>
      <c r="I71" s="159" t="s">
        <v>154</v>
      </c>
      <c r="J71" s="163">
        <f t="shared" si="6"/>
        <v>8.2399999999999997E-5</v>
      </c>
    </row>
    <row r="72" spans="2:10" x14ac:dyDescent="0.25">
      <c r="B72" s="142" t="s">
        <v>180</v>
      </c>
      <c r="C72" s="72" t="s">
        <v>157</v>
      </c>
      <c r="E72" s="72"/>
      <c r="F72" s="157">
        <f>VLOOKUP(C72,'CMD Timing and Current'!$A$2:$I$96,9,FALSE)</f>
        <v>8.2500000000000004E-3</v>
      </c>
      <c r="G72" s="157">
        <f>VLOOKUP(C72,'CMD Timing and Current'!$A$2:$I$96,6,FALSE)</f>
        <v>8.2399999999999997E-5</v>
      </c>
      <c r="H72" s="158">
        <f t="shared" si="5"/>
        <v>6.7980000000000004E-7</v>
      </c>
      <c r="I72" s="159" t="s">
        <v>154</v>
      </c>
      <c r="J72" s="163">
        <f t="shared" si="6"/>
        <v>8.2399999999999997E-5</v>
      </c>
    </row>
    <row r="73" spans="2:10" x14ac:dyDescent="0.25">
      <c r="B73" s="142" t="s">
        <v>180</v>
      </c>
      <c r="C73" s="72" t="s">
        <v>158</v>
      </c>
      <c r="E73" s="72"/>
      <c r="F73" s="157">
        <f>VLOOKUP(C73,'CMD Timing and Current'!$A$2:$I$96,9,FALSE)</f>
        <v>8.2500000000000004E-3</v>
      </c>
      <c r="G73" s="157">
        <f>VLOOKUP(C73,'CMD Timing and Current'!$A$2:$I$96,6,FALSE)</f>
        <v>8.2399999999999997E-5</v>
      </c>
      <c r="H73" s="158">
        <f t="shared" si="5"/>
        <v>6.7980000000000004E-7</v>
      </c>
      <c r="I73" s="159" t="s">
        <v>154</v>
      </c>
      <c r="J73" s="163">
        <f t="shared" si="6"/>
        <v>8.2399999999999997E-5</v>
      </c>
    </row>
    <row r="74" spans="2:10" x14ac:dyDescent="0.25">
      <c r="B74" s="142" t="s">
        <v>180</v>
      </c>
      <c r="C74" s="72" t="s">
        <v>159</v>
      </c>
      <c r="E74" s="72"/>
      <c r="F74" s="157">
        <f>VLOOKUP(C74,'CMD Timing and Current'!$A$2:$I$96,9,FALSE)</f>
        <v>8.2500000000000004E-3</v>
      </c>
      <c r="G74" s="157">
        <f>VLOOKUP(C74,'CMD Timing and Current'!$A$2:$I$96,6,FALSE)</f>
        <v>8.2399999999999997E-5</v>
      </c>
      <c r="H74" s="158">
        <f t="shared" si="5"/>
        <v>6.7980000000000004E-7</v>
      </c>
      <c r="I74" s="159" t="s">
        <v>154</v>
      </c>
      <c r="J74" s="163">
        <f t="shared" si="6"/>
        <v>8.2399999999999997E-5</v>
      </c>
    </row>
    <row r="75" spans="2:10" x14ac:dyDescent="0.25">
      <c r="B75" s="138"/>
      <c r="C75" s="72" t="s">
        <v>160</v>
      </c>
      <c r="D75" s="169"/>
      <c r="E75" s="72"/>
      <c r="F75" s="157">
        <f>VLOOKUP(C75,'CMD Timing and Current'!$A$2:$I$96,9,FALSE)</f>
        <v>8.2500000000000004E-3</v>
      </c>
      <c r="G75" s="157">
        <f>VLOOKUP(C75,'CMD Timing and Current'!$A$2:$I$96,6,FALSE)</f>
        <v>4.0800000000000002E-5</v>
      </c>
      <c r="H75" s="158">
        <f t="shared" si="5"/>
        <v>3.3660000000000004E-7</v>
      </c>
      <c r="I75" s="159" t="s">
        <v>161</v>
      </c>
      <c r="J75" s="163">
        <f t="shared" si="6"/>
        <v>4.0800000000000002E-5</v>
      </c>
    </row>
    <row r="76" spans="2:10" s="123" customFormat="1" x14ac:dyDescent="0.25">
      <c r="B76" s="143" t="s">
        <v>173</v>
      </c>
      <c r="C76" s="123" t="s">
        <v>166</v>
      </c>
      <c r="F76" s="163"/>
      <c r="G76" s="163">
        <f>C1-SUM(G68:G75)</f>
        <v>9.4240000000000001E-3</v>
      </c>
      <c r="H76" s="162"/>
      <c r="I76" s="171" t="s">
        <v>174</v>
      </c>
      <c r="J76" s="163">
        <f t="shared" si="6"/>
        <v>9.4240000000000001E-3</v>
      </c>
    </row>
    <row r="77" spans="2:10" x14ac:dyDescent="0.25">
      <c r="B77" s="128"/>
      <c r="C77" s="72" t="s">
        <v>149</v>
      </c>
      <c r="D77" s="169"/>
      <c r="E77" s="72"/>
      <c r="F77" s="157">
        <f>VLOOKUP(C77,'CMD Timing and Current'!$A$2:$I$96,9,FALSE)</f>
        <v>8.2500000000000004E-3</v>
      </c>
      <c r="G77" s="157">
        <f>VLOOKUP(C77,'CMD Timing and Current'!$A$2:$I$96,6,FALSE)</f>
        <v>4.0800000000000002E-5</v>
      </c>
      <c r="H77" s="158">
        <f t="shared" ref="H77:H84" si="7">F77*G77</f>
        <v>3.3660000000000004E-7</v>
      </c>
      <c r="I77" s="159" t="s">
        <v>150</v>
      </c>
      <c r="J77" s="163">
        <f t="shared" si="6"/>
        <v>4.0800000000000002E-5</v>
      </c>
    </row>
    <row r="78" spans="2:10" x14ac:dyDescent="0.25">
      <c r="B78" s="142" t="s">
        <v>181</v>
      </c>
      <c r="C78" s="72" t="s">
        <v>153</v>
      </c>
      <c r="E78" s="72"/>
      <c r="F78" s="157">
        <f>VLOOKUP(C78,'CMD Timing and Current'!$A$2:$I$96,9,FALSE)</f>
        <v>8.2500000000000004E-3</v>
      </c>
      <c r="G78" s="157">
        <f>VLOOKUP(C78,'CMD Timing and Current'!$A$2:$I$96,6,FALSE)</f>
        <v>8.2399999999999997E-5</v>
      </c>
      <c r="H78" s="158">
        <f t="shared" si="7"/>
        <v>6.7980000000000004E-7</v>
      </c>
      <c r="I78" s="159" t="s">
        <v>154</v>
      </c>
      <c r="J78" s="163">
        <f t="shared" si="6"/>
        <v>8.2399999999999997E-5</v>
      </c>
    </row>
    <row r="79" spans="2:10" x14ac:dyDescent="0.25">
      <c r="B79" s="142" t="s">
        <v>181</v>
      </c>
      <c r="C79" s="72" t="s">
        <v>155</v>
      </c>
      <c r="E79" s="72"/>
      <c r="F79" s="157">
        <f>VLOOKUP(C79,'CMD Timing and Current'!$A$2:$I$96,9,FALSE)</f>
        <v>8.2500000000000004E-3</v>
      </c>
      <c r="G79" s="157">
        <f>VLOOKUP(C79,'CMD Timing and Current'!$A$2:$I$96,6,FALSE)</f>
        <v>8.2399999999999997E-5</v>
      </c>
      <c r="H79" s="158">
        <f t="shared" si="7"/>
        <v>6.7980000000000004E-7</v>
      </c>
      <c r="I79" s="159" t="s">
        <v>154</v>
      </c>
      <c r="J79" s="163">
        <f t="shared" si="6"/>
        <v>8.2399999999999997E-5</v>
      </c>
    </row>
    <row r="80" spans="2:10" x14ac:dyDescent="0.25">
      <c r="B80" s="142" t="s">
        <v>181</v>
      </c>
      <c r="C80" s="72" t="s">
        <v>156</v>
      </c>
      <c r="E80" s="72"/>
      <c r="F80" s="157">
        <f>VLOOKUP(C80,'CMD Timing and Current'!$A$2:$I$96,9,FALSE)</f>
        <v>8.2500000000000004E-3</v>
      </c>
      <c r="G80" s="157">
        <f>VLOOKUP(C80,'CMD Timing and Current'!$A$2:$I$96,6,FALSE)</f>
        <v>8.2399999999999997E-5</v>
      </c>
      <c r="H80" s="158">
        <f t="shared" si="7"/>
        <v>6.7980000000000004E-7</v>
      </c>
      <c r="I80" s="159" t="s">
        <v>154</v>
      </c>
      <c r="J80" s="163">
        <f t="shared" si="6"/>
        <v>8.2399999999999997E-5</v>
      </c>
    </row>
    <row r="81" spans="2:10" x14ac:dyDescent="0.25">
      <c r="B81" s="142" t="s">
        <v>181</v>
      </c>
      <c r="C81" s="72" t="s">
        <v>157</v>
      </c>
      <c r="E81" s="72"/>
      <c r="F81" s="157">
        <f>VLOOKUP(C81,'CMD Timing and Current'!$A$2:$I$96,9,FALSE)</f>
        <v>8.2500000000000004E-3</v>
      </c>
      <c r="G81" s="157">
        <f>VLOOKUP(C81,'CMD Timing and Current'!$A$2:$I$96,6,FALSE)</f>
        <v>8.2399999999999997E-5</v>
      </c>
      <c r="H81" s="158">
        <f t="shared" si="7"/>
        <v>6.7980000000000004E-7</v>
      </c>
      <c r="I81" s="159" t="s">
        <v>154</v>
      </c>
      <c r="J81" s="163">
        <f t="shared" si="6"/>
        <v>8.2399999999999997E-5</v>
      </c>
    </row>
    <row r="82" spans="2:10" x14ac:dyDescent="0.25">
      <c r="B82" s="142" t="s">
        <v>181</v>
      </c>
      <c r="C82" s="72" t="s">
        <v>158</v>
      </c>
      <c r="E82" s="72"/>
      <c r="F82" s="157">
        <f>VLOOKUP(C82,'CMD Timing and Current'!$A$2:$I$96,9,FALSE)</f>
        <v>8.2500000000000004E-3</v>
      </c>
      <c r="G82" s="157">
        <f>VLOOKUP(C82,'CMD Timing and Current'!$A$2:$I$96,6,FALSE)</f>
        <v>8.2399999999999997E-5</v>
      </c>
      <c r="H82" s="158">
        <f t="shared" si="7"/>
        <v>6.7980000000000004E-7</v>
      </c>
      <c r="I82" s="159" t="s">
        <v>154</v>
      </c>
      <c r="J82" s="163">
        <f t="shared" si="6"/>
        <v>8.2399999999999997E-5</v>
      </c>
    </row>
    <row r="83" spans="2:10" x14ac:dyDescent="0.25">
      <c r="B83" s="142" t="s">
        <v>181</v>
      </c>
      <c r="C83" s="72" t="s">
        <v>159</v>
      </c>
      <c r="E83" s="72"/>
      <c r="F83" s="157">
        <f>VLOOKUP(C83,'CMD Timing and Current'!$A$2:$I$96,9,FALSE)</f>
        <v>8.2500000000000004E-3</v>
      </c>
      <c r="G83" s="157">
        <f>VLOOKUP(C83,'CMD Timing and Current'!$A$2:$I$96,6,FALSE)</f>
        <v>8.2399999999999997E-5</v>
      </c>
      <c r="H83" s="158">
        <f t="shared" si="7"/>
        <v>6.7980000000000004E-7</v>
      </c>
      <c r="I83" s="159" t="s">
        <v>154</v>
      </c>
      <c r="J83" s="163">
        <f t="shared" si="6"/>
        <v>8.2399999999999997E-5</v>
      </c>
    </row>
    <row r="84" spans="2:10" x14ac:dyDescent="0.25">
      <c r="B84" s="138"/>
      <c r="C84" s="72" t="s">
        <v>160</v>
      </c>
      <c r="D84" s="169"/>
      <c r="E84" s="72"/>
      <c r="F84" s="157">
        <f>VLOOKUP(C84,'CMD Timing and Current'!$A$2:$I$96,9,FALSE)</f>
        <v>8.2500000000000004E-3</v>
      </c>
      <c r="G84" s="157">
        <f>VLOOKUP(C84,'CMD Timing and Current'!$A$2:$I$96,6,FALSE)</f>
        <v>4.0800000000000002E-5</v>
      </c>
      <c r="H84" s="158">
        <f t="shared" si="7"/>
        <v>3.3660000000000004E-7</v>
      </c>
      <c r="I84" s="159" t="s">
        <v>161</v>
      </c>
      <c r="J84" s="163">
        <f t="shared" si="6"/>
        <v>4.0800000000000002E-5</v>
      </c>
    </row>
    <row r="85" spans="2:10" s="129" customFormat="1" x14ac:dyDescent="0.25">
      <c r="B85" s="128" t="s">
        <v>182</v>
      </c>
      <c r="C85" s="129" t="s">
        <v>166</v>
      </c>
      <c r="D85" s="123"/>
      <c r="F85" s="171"/>
      <c r="G85" s="129">
        <f>IF((0.016*1.1-SUM(G67:G84)) &gt; 0,0.016*1.1-SUM(G67:G84),0)</f>
        <v>0</v>
      </c>
      <c r="H85" s="170"/>
      <c r="I85" s="171" t="s">
        <v>183</v>
      </c>
      <c r="J85" s="163">
        <f t="shared" si="6"/>
        <v>0</v>
      </c>
    </row>
    <row r="86" spans="2:10" x14ac:dyDescent="0.25">
      <c r="B86" s="128"/>
      <c r="C86" s="72" t="s">
        <v>149</v>
      </c>
      <c r="D86" s="169"/>
      <c r="E86" s="72"/>
      <c r="F86" s="157">
        <f>VLOOKUP(C86,'CMD Timing and Current'!$A$2:$I$96,9,FALSE)</f>
        <v>8.2500000000000004E-3</v>
      </c>
      <c r="G86" s="157">
        <f>VLOOKUP(C86,'CMD Timing and Current'!$A$2:$I$96,6,FALSE)</f>
        <v>4.0800000000000002E-5</v>
      </c>
      <c r="H86" s="158">
        <f t="shared" ref="H86:H95" si="8">F86*G86</f>
        <v>3.3660000000000004E-7</v>
      </c>
      <c r="I86" s="159" t="s">
        <v>150</v>
      </c>
      <c r="J86" s="163">
        <f>G86</f>
        <v>4.0800000000000002E-5</v>
      </c>
    </row>
    <row r="87" spans="2:10" x14ac:dyDescent="0.25">
      <c r="B87" s="130" t="s">
        <v>184</v>
      </c>
      <c r="C87" s="167" t="s">
        <v>178</v>
      </c>
      <c r="E87" s="72" t="s">
        <v>42</v>
      </c>
      <c r="F87" s="157">
        <f>VLOOKUP(C87,'CMD Timing and Current'!$A$2:$I$96,9,FALSE)</f>
        <v>1.1259999999999999E-2</v>
      </c>
      <c r="G87" s="157">
        <f>VLOOKUP(C87,'CMD Timing and Current'!$A$2:$I$96,6,FALSE)</f>
        <v>4.0800000000000002E-5</v>
      </c>
      <c r="H87" s="158">
        <f t="shared" si="8"/>
        <v>4.5940800000000001E-7</v>
      </c>
      <c r="I87" s="159" t="s">
        <v>185</v>
      </c>
      <c r="J87" s="163">
        <f t="shared" si="6"/>
        <v>4.0800000000000002E-5</v>
      </c>
    </row>
    <row r="88" spans="2:10" x14ac:dyDescent="0.25">
      <c r="B88" s="130" t="s">
        <v>186</v>
      </c>
      <c r="C88" s="72" t="s">
        <v>187</v>
      </c>
      <c r="F88" s="157">
        <f>VLOOKUP(C88,'CMD Timing and Current'!$A$2:$I$96,9,FALSE)</f>
        <v>8.2500000000000004E-3</v>
      </c>
      <c r="G88" s="157">
        <f>VLOOKUP(C88,'CMD Timing and Current'!$A$2:$I$96,6,FALSE)</f>
        <v>8.2399999999999997E-5</v>
      </c>
      <c r="H88" s="158">
        <f t="shared" si="8"/>
        <v>6.7980000000000004E-7</v>
      </c>
      <c r="I88" s="159" t="s">
        <v>188</v>
      </c>
      <c r="J88" s="163">
        <f>G88</f>
        <v>8.2399999999999997E-5</v>
      </c>
    </row>
    <row r="89" spans="2:10" x14ac:dyDescent="0.25">
      <c r="B89" s="130" t="s">
        <v>186</v>
      </c>
      <c r="C89" s="72" t="s">
        <v>189</v>
      </c>
      <c r="E89" s="72"/>
      <c r="F89" s="157">
        <f>VLOOKUP(C89,'CMD Timing and Current'!$A$2:$I$96,9,FALSE)</f>
        <v>8.2500000000000004E-3</v>
      </c>
      <c r="G89" s="157">
        <f>VLOOKUP(C89,'CMD Timing and Current'!$A$2:$I$96,6,FALSE)</f>
        <v>8.2399999999999997E-5</v>
      </c>
      <c r="H89" s="158">
        <f t="shared" si="8"/>
        <v>6.7980000000000004E-7</v>
      </c>
      <c r="I89" s="159" t="s">
        <v>188</v>
      </c>
      <c r="J89" s="163">
        <f>IF(SUM($G88:$G$88) &gt; 0.0088,0,IF(SUM($G$88:G89)&gt;0.0088,(0.0088-SUM($G88:G$88)),G89))</f>
        <v>8.2399999999999997E-5</v>
      </c>
    </row>
    <row r="90" spans="2:10" x14ac:dyDescent="0.25">
      <c r="B90" s="130" t="s">
        <v>186</v>
      </c>
      <c r="C90" s="72" t="s">
        <v>190</v>
      </c>
      <c r="E90" s="72"/>
      <c r="F90" s="157">
        <f>VLOOKUP(C90,'CMD Timing and Current'!$A$2:$I$96,9,FALSE)</f>
        <v>8.2500000000000004E-3</v>
      </c>
      <c r="G90" s="157">
        <f>VLOOKUP(C90,'CMD Timing and Current'!$A$2:$I$96,6,FALSE)</f>
        <v>8.2399999999999997E-5</v>
      </c>
      <c r="H90" s="158">
        <f t="shared" si="8"/>
        <v>6.7980000000000004E-7</v>
      </c>
      <c r="I90" s="159" t="s">
        <v>188</v>
      </c>
      <c r="J90" s="163">
        <f>IF(SUM($G$88:$G89) &gt; 0.0088,0,IF(SUM($G$88:G90)&gt;0.0088,(0.0088-SUM($G$88:G89)),G90))</f>
        <v>8.2399999999999997E-5</v>
      </c>
    </row>
    <row r="91" spans="2:10" x14ac:dyDescent="0.25">
      <c r="B91" s="130" t="s">
        <v>186</v>
      </c>
      <c r="C91" s="72" t="s">
        <v>191</v>
      </c>
      <c r="E91" s="72"/>
      <c r="F91" s="157">
        <f>VLOOKUP(C91,'CMD Timing and Current'!$A$2:$I$96,9,FALSE)</f>
        <v>8.2500000000000004E-3</v>
      </c>
      <c r="G91" s="157">
        <f>VLOOKUP(C91,'CMD Timing and Current'!$A$2:$I$96,6,FALSE)</f>
        <v>8.2399999999999997E-5</v>
      </c>
      <c r="H91" s="158">
        <f t="shared" si="8"/>
        <v>6.7980000000000004E-7</v>
      </c>
      <c r="I91" s="159" t="s">
        <v>188</v>
      </c>
      <c r="J91" s="163">
        <f>IF(SUM($G$88:$G90) &gt; 0.0088,0,IF(SUM($G$88:G91)&gt;0.0088,(0.0088-SUM($G$88:G90)),G91))</f>
        <v>8.2399999999999997E-5</v>
      </c>
    </row>
    <row r="92" spans="2:10" x14ac:dyDescent="0.25">
      <c r="B92" s="130" t="s">
        <v>186</v>
      </c>
      <c r="C92" s="72" t="s">
        <v>192</v>
      </c>
      <c r="E92" s="72"/>
      <c r="F92" s="157">
        <f>VLOOKUP(C92,'CMD Timing and Current'!$A$2:$I$96,9,FALSE)</f>
        <v>8.2500000000000004E-3</v>
      </c>
      <c r="G92" s="157">
        <f>VLOOKUP(C92,'CMD Timing and Current'!$A$2:$I$96,6,FALSE)</f>
        <v>8.2399999999999997E-5</v>
      </c>
      <c r="H92" s="158">
        <f t="shared" si="8"/>
        <v>6.7980000000000004E-7</v>
      </c>
      <c r="I92" s="159" t="s">
        <v>188</v>
      </c>
      <c r="J92" s="163">
        <f>IF(SUM($G$88:$G91) &gt; 0.0088,0,IF(SUM($G$88:G92)&gt;0.0088,(0.0088-SUM($G$88:G91)),G92))</f>
        <v>8.2399999999999997E-5</v>
      </c>
    </row>
    <row r="93" spans="2:10" x14ac:dyDescent="0.25">
      <c r="B93" s="130" t="s">
        <v>186</v>
      </c>
      <c r="C93" s="72" t="s">
        <v>193</v>
      </c>
      <c r="D93" s="169"/>
      <c r="E93" s="72"/>
      <c r="F93" s="157">
        <f>VLOOKUP(C93,'CMD Timing and Current'!$A$2:$I$96,9,FALSE)</f>
        <v>8.2500000000000004E-3</v>
      </c>
      <c r="G93" s="157">
        <f>VLOOKUP(C93,'CMD Timing and Current'!$A$2:$I$96,6,FALSE)</f>
        <v>8.2399999999999997E-5</v>
      </c>
      <c r="H93" s="158">
        <f t="shared" si="8"/>
        <v>6.7980000000000004E-7</v>
      </c>
      <c r="I93" s="159" t="s">
        <v>188</v>
      </c>
      <c r="J93" s="163">
        <f>IF(SUM($G$88:$G92) &gt; 0.0088,0,IF(SUM($G$88:G93)&gt;0.0088,(0.0088-SUM($G$88:G92)),G93))</f>
        <v>8.2399999999999997E-5</v>
      </c>
    </row>
    <row r="94" spans="2:10" x14ac:dyDescent="0.25">
      <c r="B94" s="130" t="s">
        <v>194</v>
      </c>
      <c r="C94" s="168" t="s">
        <v>195</v>
      </c>
      <c r="D94" s="169"/>
      <c r="E94" s="72"/>
      <c r="F94" s="157">
        <f>VLOOKUP(C94,'CMD Timing and Current'!$A$2:$I$96,9,FALSE)</f>
        <v>8.2500000000000004E-3</v>
      </c>
      <c r="G94" s="157">
        <f>VLOOKUP(C94,'CMD Timing and Current'!$A$2:$I$96,6,FALSE)</f>
        <v>4.0800000000000002E-5</v>
      </c>
      <c r="H94" s="158">
        <f>F94*G94</f>
        <v>3.3660000000000004E-7</v>
      </c>
      <c r="I94" s="159" t="s">
        <v>196</v>
      </c>
      <c r="J94" s="163">
        <f>IF(SUM($G$88:$G93) &gt; 0.0088,0,IF(SUM($G$88:G94)&gt;0.0088,(0.0088-SUM($G$88:G93)),G94))</f>
        <v>4.0800000000000002E-5</v>
      </c>
    </row>
    <row r="95" spans="2:10" x14ac:dyDescent="0.25">
      <c r="B95" s="138"/>
      <c r="C95" s="72" t="s">
        <v>160</v>
      </c>
      <c r="D95" s="169"/>
      <c r="E95" s="72"/>
      <c r="F95" s="157">
        <f>VLOOKUP(C95,'CMD Timing and Current'!$A$2:$I$96,9,FALSE)</f>
        <v>8.2500000000000004E-3</v>
      </c>
      <c r="G95" s="157">
        <f>VLOOKUP(C95,'CMD Timing and Current'!$A$2:$I$96,6,FALSE)</f>
        <v>4.0800000000000002E-5</v>
      </c>
      <c r="H95" s="158">
        <f t="shared" si="8"/>
        <v>3.3660000000000004E-7</v>
      </c>
      <c r="I95" s="159" t="s">
        <v>161</v>
      </c>
      <c r="J95" s="163">
        <f>IF(SUM($G$88:$G94) &gt; 0.0088,0,IF(SUM($G$88:G95)&gt;0.0088,(0.0088-SUM($G$88:G94)),G95))</f>
        <v>4.0800000000000002E-5</v>
      </c>
    </row>
    <row r="96" spans="2:10" s="129" customFormat="1" x14ac:dyDescent="0.25">
      <c r="B96" s="143" t="s">
        <v>173</v>
      </c>
      <c r="C96" s="129" t="s">
        <v>166</v>
      </c>
      <c r="D96" s="123"/>
      <c r="F96" s="171"/>
      <c r="G96" s="171">
        <f>C1-SUM(G77:G95)</f>
        <v>8.7664000000000006E-3</v>
      </c>
      <c r="H96" s="170"/>
      <c r="I96" s="171" t="s">
        <v>174</v>
      </c>
      <c r="J96" s="163">
        <f>IF(SUM($G$88:$G95) &gt; 0.0088,0,IF(SUM($G$88:G96)&gt;0.0088,(0.0088-SUM($G$88:G95)),G96))</f>
        <v>8.2240000000000004E-3</v>
      </c>
    </row>
    <row r="97" spans="2:10" x14ac:dyDescent="0.25">
      <c r="B97" s="128"/>
      <c r="C97" s="72" t="s">
        <v>149</v>
      </c>
      <c r="D97" s="169"/>
      <c r="E97" s="72"/>
      <c r="F97" s="157">
        <f>VLOOKUP(C97,'CMD Timing and Current'!$A$2:$I$96,9,FALSE)</f>
        <v>8.2500000000000004E-3</v>
      </c>
      <c r="G97" s="157">
        <f>VLOOKUP(C97,'CMD Timing and Current'!$A$2:$I$96,6,FALSE)</f>
        <v>4.0800000000000002E-5</v>
      </c>
      <c r="H97" s="158">
        <f t="shared" ref="H97:H104" si="9">F97*G97</f>
        <v>3.3660000000000004E-7</v>
      </c>
      <c r="I97" s="159" t="s">
        <v>150</v>
      </c>
      <c r="J97" s="163">
        <f>IF(SUM($G$88:$G96) &gt; 0.0088,0,IF(SUM($G$88:G97)&gt;0.0088,(0.0088-SUM($G$88:G96)),G97))</f>
        <v>0</v>
      </c>
    </row>
    <row r="98" spans="2:10" ht="15.75" customHeight="1" x14ac:dyDescent="0.25">
      <c r="B98" s="142" t="s">
        <v>197</v>
      </c>
      <c r="C98" s="72" t="s">
        <v>153</v>
      </c>
      <c r="E98" s="72"/>
      <c r="F98" s="157">
        <f>VLOOKUP(C98,'CMD Timing and Current'!$A$2:$I$96,9,FALSE)</f>
        <v>8.2500000000000004E-3</v>
      </c>
      <c r="G98" s="157">
        <f>VLOOKUP(C98,'CMD Timing and Current'!$A$2:$I$96,6,FALSE)</f>
        <v>8.2399999999999997E-5</v>
      </c>
      <c r="H98" s="158">
        <f t="shared" si="9"/>
        <v>6.7980000000000004E-7</v>
      </c>
      <c r="I98" s="159" t="s">
        <v>154</v>
      </c>
      <c r="J98" s="163">
        <f>IF(SUM($G$88:$G97) &gt; 0.0088,0,IF(SUM($G$88:G98)&gt;0.0088,(0.0088-SUM($G$88:G97)),G98))</f>
        <v>0</v>
      </c>
    </row>
    <row r="99" spans="2:10" x14ac:dyDescent="0.25">
      <c r="B99" s="142" t="s">
        <v>197</v>
      </c>
      <c r="C99" s="72" t="s">
        <v>155</v>
      </c>
      <c r="E99" s="72"/>
      <c r="F99" s="157">
        <f>VLOOKUP(C99,'CMD Timing and Current'!$A$2:$I$96,9,FALSE)</f>
        <v>8.2500000000000004E-3</v>
      </c>
      <c r="G99" s="157">
        <f>VLOOKUP(C99,'CMD Timing and Current'!$A$2:$I$96,6,FALSE)</f>
        <v>8.2399999999999997E-5</v>
      </c>
      <c r="H99" s="158">
        <f t="shared" si="9"/>
        <v>6.7980000000000004E-7</v>
      </c>
      <c r="I99" s="159" t="s">
        <v>154</v>
      </c>
      <c r="J99" s="163">
        <f>IF(SUM($G$88:$G98) &gt; 0.0088,0,IF(SUM($G$88:G99)&gt;0.0088,(0.0088-SUM($G$88:G98)),G99))</f>
        <v>0</v>
      </c>
    </row>
    <row r="100" spans="2:10" x14ac:dyDescent="0.25">
      <c r="B100" s="142" t="s">
        <v>197</v>
      </c>
      <c r="C100" s="72" t="s">
        <v>156</v>
      </c>
      <c r="E100" s="72"/>
      <c r="F100" s="157">
        <f>VLOOKUP(C100,'CMD Timing and Current'!$A$2:$I$96,9,FALSE)</f>
        <v>8.2500000000000004E-3</v>
      </c>
      <c r="G100" s="157">
        <f>VLOOKUP(C100,'CMD Timing and Current'!$A$2:$I$96,6,FALSE)</f>
        <v>8.2399999999999997E-5</v>
      </c>
      <c r="H100" s="158">
        <f t="shared" si="9"/>
        <v>6.7980000000000004E-7</v>
      </c>
      <c r="I100" s="159" t="s">
        <v>154</v>
      </c>
      <c r="J100" s="163">
        <f>IF(SUM($G$88:$G99) &gt; 0.0088,0,IF(SUM($G$88:G100)&gt;0.0088,(0.0088-SUM($G$88:G99)),G100))</f>
        <v>0</v>
      </c>
    </row>
    <row r="101" spans="2:10" x14ac:dyDescent="0.25">
      <c r="B101" s="142" t="s">
        <v>197</v>
      </c>
      <c r="C101" s="72" t="s">
        <v>157</v>
      </c>
      <c r="E101" s="72"/>
      <c r="F101" s="157">
        <f>VLOOKUP(C101,'CMD Timing and Current'!$A$2:$I$96,9,FALSE)</f>
        <v>8.2500000000000004E-3</v>
      </c>
      <c r="G101" s="157">
        <f>VLOOKUP(C101,'CMD Timing and Current'!$A$2:$I$96,6,FALSE)</f>
        <v>8.2399999999999997E-5</v>
      </c>
      <c r="H101" s="158">
        <f t="shared" si="9"/>
        <v>6.7980000000000004E-7</v>
      </c>
      <c r="I101" s="159" t="s">
        <v>154</v>
      </c>
      <c r="J101" s="163">
        <f>IF(SUM($G$88:$G100) &gt; 0.0088,0,IF(SUM($G$88:G101)&gt;0.0088,(0.0088-SUM($G$88:G100)),G101))</f>
        <v>0</v>
      </c>
    </row>
    <row r="102" spans="2:10" x14ac:dyDescent="0.25">
      <c r="B102" s="142" t="s">
        <v>197</v>
      </c>
      <c r="C102" s="72" t="s">
        <v>158</v>
      </c>
      <c r="E102" s="72"/>
      <c r="F102" s="157">
        <f>VLOOKUP(C102,'CMD Timing and Current'!$A$2:$I$96,9,FALSE)</f>
        <v>8.2500000000000004E-3</v>
      </c>
      <c r="G102" s="157">
        <f>VLOOKUP(C102,'CMD Timing and Current'!$A$2:$I$96,6,FALSE)</f>
        <v>8.2399999999999997E-5</v>
      </c>
      <c r="H102" s="158">
        <f t="shared" si="9"/>
        <v>6.7980000000000004E-7</v>
      </c>
      <c r="I102" s="159" t="s">
        <v>154</v>
      </c>
      <c r="J102" s="163">
        <f>IF(SUM($G$88:$G101) &gt; 0.0088,0,IF(SUM($G$88:G102)&gt;0.0088,(0.0088-SUM($G$88:G101)),G102))</f>
        <v>0</v>
      </c>
    </row>
    <row r="103" spans="2:10" x14ac:dyDescent="0.25">
      <c r="B103" s="142" t="s">
        <v>197</v>
      </c>
      <c r="C103" s="72" t="s">
        <v>159</v>
      </c>
      <c r="E103" s="72"/>
      <c r="F103" s="157">
        <f>VLOOKUP(C103,'CMD Timing and Current'!$A$2:$I$96,9,FALSE)</f>
        <v>8.2500000000000004E-3</v>
      </c>
      <c r="G103" s="157">
        <f>VLOOKUP(C103,'CMD Timing and Current'!$A$2:$I$96,6,FALSE)</f>
        <v>8.2399999999999997E-5</v>
      </c>
      <c r="H103" s="158">
        <f t="shared" si="9"/>
        <v>6.7980000000000004E-7</v>
      </c>
      <c r="I103" s="159" t="s">
        <v>154</v>
      </c>
      <c r="J103" s="163">
        <f>IF(SUM($G$88:$G102) &gt; 0.0088,0,IF(SUM($G$88:G103)&gt;0.0088,(0.0088-SUM($G$88:G102)),G103))</f>
        <v>0</v>
      </c>
    </row>
    <row r="104" spans="2:10" x14ac:dyDescent="0.25">
      <c r="B104" s="138"/>
      <c r="C104" s="72" t="s">
        <v>160</v>
      </c>
      <c r="D104" s="169"/>
      <c r="E104" s="72"/>
      <c r="F104" s="157">
        <f>VLOOKUP(C104,'CMD Timing and Current'!$A$2:$I$96,9,FALSE)</f>
        <v>8.2500000000000004E-3</v>
      </c>
      <c r="G104" s="157">
        <f>VLOOKUP(C104,'CMD Timing and Current'!$A$2:$I$96,6,FALSE)</f>
        <v>4.0800000000000002E-5</v>
      </c>
      <c r="H104" s="158">
        <f t="shared" si="9"/>
        <v>3.3660000000000004E-7</v>
      </c>
      <c r="I104" s="159" t="s">
        <v>161</v>
      </c>
      <c r="J104" s="163">
        <f>IF(SUM($G$88:$G103) &gt; 0.0088,0,IF(SUM($G$88:G104)&gt;0.0088,(0.0088-SUM($G$88:G103)),G104))</f>
        <v>0</v>
      </c>
    </row>
    <row r="105" spans="2:10" s="129" customFormat="1" x14ac:dyDescent="0.25">
      <c r="B105" s="143" t="s">
        <v>173</v>
      </c>
      <c r="C105" s="129" t="s">
        <v>166</v>
      </c>
      <c r="D105" s="123"/>
      <c r="F105" s="171"/>
      <c r="G105" s="171">
        <f>C1-SUM(G97:G104)</f>
        <v>9.4240000000000001E-3</v>
      </c>
      <c r="H105" s="170"/>
      <c r="I105" s="171" t="s">
        <v>174</v>
      </c>
      <c r="J105" s="163">
        <f>IF(SUM($G$88:$G104) &gt; 0.0088,0,IF(SUM($G$88:G105)&gt;0.0088,(0.0088-SUM($G$88:G104)),G105))</f>
        <v>0</v>
      </c>
    </row>
    <row r="106" spans="2:10" x14ac:dyDescent="0.25">
      <c r="B106" s="128"/>
      <c r="C106" s="72" t="s">
        <v>149</v>
      </c>
      <c r="D106" s="169"/>
      <c r="E106" s="72"/>
      <c r="F106" s="157">
        <f>VLOOKUP(C106,'CMD Timing and Current'!$A$2:$I$96,9,FALSE)</f>
        <v>8.2500000000000004E-3</v>
      </c>
      <c r="G106" s="157">
        <f>VLOOKUP(C106,'CMD Timing and Current'!$A$2:$I$96,6,FALSE)</f>
        <v>4.0800000000000002E-5</v>
      </c>
      <c r="H106" s="158">
        <f t="shared" ref="H106:H121" si="10">F106*G106</f>
        <v>3.3660000000000004E-7</v>
      </c>
      <c r="I106" s="159" t="s">
        <v>150</v>
      </c>
      <c r="J106" s="163">
        <f>IF(SUM($G$88:$G105) &gt; 0.0088,0,IF(SUM($G$88:G106)&gt;0.0088,(0.0088-SUM($G$88:G105)),G106))</f>
        <v>0</v>
      </c>
    </row>
    <row r="107" spans="2:10" x14ac:dyDescent="0.25">
      <c r="B107" s="130" t="s">
        <v>198</v>
      </c>
      <c r="C107" s="72" t="s">
        <v>187</v>
      </c>
      <c r="F107" s="157">
        <f>VLOOKUP(C107,'CMD Timing and Current'!$A$2:$I$96,9,FALSE)</f>
        <v>8.2500000000000004E-3</v>
      </c>
      <c r="G107" s="157">
        <f>VLOOKUP(C107,'CMD Timing and Current'!$A$2:$I$96,6,FALSE)</f>
        <v>8.2399999999999997E-5</v>
      </c>
      <c r="H107" s="158">
        <f t="shared" si="10"/>
        <v>6.7980000000000004E-7</v>
      </c>
      <c r="I107" s="159" t="s">
        <v>188</v>
      </c>
      <c r="J107" s="163">
        <f>IF(SUM($G$88:$G106) &gt; 0.0088,0,IF(SUM($G$88:G107)&gt;0.0088,(0.0088-SUM($G$88:G106)),G107))</f>
        <v>0</v>
      </c>
    </row>
    <row r="108" spans="2:10" x14ac:dyDescent="0.25">
      <c r="B108" s="130" t="s">
        <v>198</v>
      </c>
      <c r="C108" s="72" t="s">
        <v>189</v>
      </c>
      <c r="E108" s="72"/>
      <c r="F108" s="157">
        <f>VLOOKUP(C108,'CMD Timing and Current'!$A$2:$I$96,9,FALSE)</f>
        <v>8.2500000000000004E-3</v>
      </c>
      <c r="G108" s="157">
        <f>VLOOKUP(C108,'CMD Timing and Current'!$A$2:$I$96,6,FALSE)</f>
        <v>8.2399999999999997E-5</v>
      </c>
      <c r="H108" s="158">
        <f t="shared" si="10"/>
        <v>6.7980000000000004E-7</v>
      </c>
      <c r="I108" s="159" t="s">
        <v>188</v>
      </c>
      <c r="J108" s="163">
        <f>IF(SUM($G$88:$G107) &gt; 0.0088,0,IF(SUM($G$88:G108)&gt;0.0088,(0.0088-SUM($G$88:G107)),G108))</f>
        <v>0</v>
      </c>
    </row>
    <row r="109" spans="2:10" x14ac:dyDescent="0.25">
      <c r="B109" s="130" t="s">
        <v>198</v>
      </c>
      <c r="C109" s="72" t="s">
        <v>190</v>
      </c>
      <c r="E109" s="72"/>
      <c r="F109" s="157">
        <f>VLOOKUP(C109,'CMD Timing and Current'!$A$2:$I$96,9,FALSE)</f>
        <v>8.2500000000000004E-3</v>
      </c>
      <c r="G109" s="157">
        <f>VLOOKUP(C109,'CMD Timing and Current'!$A$2:$I$96,6,FALSE)</f>
        <v>8.2399999999999997E-5</v>
      </c>
      <c r="H109" s="158">
        <f t="shared" si="10"/>
        <v>6.7980000000000004E-7</v>
      </c>
      <c r="I109" s="159" t="s">
        <v>188</v>
      </c>
      <c r="J109" s="163">
        <f>IF(SUM($G$88:$G108) &gt; 0.0088,0,IF(SUM($G$88:G109)&gt;0.0088,(0.0088-SUM($G$88:G108)),G109))</f>
        <v>0</v>
      </c>
    </row>
    <row r="110" spans="2:10" x14ac:dyDescent="0.25">
      <c r="B110" s="130" t="s">
        <v>198</v>
      </c>
      <c r="C110" s="72" t="s">
        <v>191</v>
      </c>
      <c r="E110" s="72"/>
      <c r="F110" s="157">
        <f>VLOOKUP(C110,'CMD Timing and Current'!$A$2:$I$96,9,FALSE)</f>
        <v>8.2500000000000004E-3</v>
      </c>
      <c r="G110" s="157">
        <f>VLOOKUP(C110,'CMD Timing and Current'!$A$2:$I$96,6,FALSE)</f>
        <v>8.2399999999999997E-5</v>
      </c>
      <c r="H110" s="158">
        <f t="shared" si="10"/>
        <v>6.7980000000000004E-7</v>
      </c>
      <c r="I110" s="159" t="s">
        <v>188</v>
      </c>
      <c r="J110" s="163">
        <f>IF(SUM($G$88:$G109) &gt; 0.0088,0,IF(SUM($G$88:G110)&gt;0.0088,(0.0088-SUM($G$88:G109)),G110))</f>
        <v>0</v>
      </c>
    </row>
    <row r="111" spans="2:10" x14ac:dyDescent="0.25">
      <c r="B111" s="130" t="s">
        <v>198</v>
      </c>
      <c r="C111" s="72" t="s">
        <v>192</v>
      </c>
      <c r="E111" s="72"/>
      <c r="F111" s="157">
        <f>VLOOKUP(C111,'CMD Timing and Current'!$A$2:$I$96,9,FALSE)</f>
        <v>8.2500000000000004E-3</v>
      </c>
      <c r="G111" s="157">
        <f>VLOOKUP(C111,'CMD Timing and Current'!$A$2:$I$96,6,FALSE)</f>
        <v>8.2399999999999997E-5</v>
      </c>
      <c r="H111" s="158">
        <f t="shared" si="10"/>
        <v>6.7980000000000004E-7</v>
      </c>
      <c r="I111" s="159" t="s">
        <v>188</v>
      </c>
      <c r="J111" s="163">
        <f>IF(SUM($G$88:$G110) &gt; 0.0088,0,IF(SUM($G$88:G111)&gt;0.0088,(0.0088-SUM($G$88:G110)),G111))</f>
        <v>0</v>
      </c>
    </row>
    <row r="112" spans="2:10" x14ac:dyDescent="0.25">
      <c r="B112" s="130" t="s">
        <v>198</v>
      </c>
      <c r="C112" s="72" t="s">
        <v>193</v>
      </c>
      <c r="D112" s="169"/>
      <c r="E112" s="72"/>
      <c r="F112" s="157">
        <f>VLOOKUP(C112,'CMD Timing and Current'!$A$2:$I$96,9,FALSE)</f>
        <v>8.2500000000000004E-3</v>
      </c>
      <c r="G112" s="157">
        <f>VLOOKUP(C112,'CMD Timing and Current'!$A$2:$I$96,6,FALSE)</f>
        <v>8.2399999999999997E-5</v>
      </c>
      <c r="H112" s="158">
        <f t="shared" si="10"/>
        <v>6.7980000000000004E-7</v>
      </c>
      <c r="I112" s="159" t="s">
        <v>188</v>
      </c>
      <c r="J112" s="163">
        <f>IF(SUM($G$88:$G111) &gt; 0.0088,0,IF(SUM($G$88:G112)&gt;0.0088,(0.0088-SUM($G$88:G111)),G112))</f>
        <v>0</v>
      </c>
    </row>
    <row r="113" spans="2:10" x14ac:dyDescent="0.25">
      <c r="B113" s="130" t="s">
        <v>194</v>
      </c>
      <c r="C113" s="168" t="s">
        <v>195</v>
      </c>
      <c r="D113" s="169"/>
      <c r="E113" s="72"/>
      <c r="F113" s="157">
        <f>VLOOKUP(C113,'CMD Timing and Current'!$A$2:$I$96,9,FALSE)</f>
        <v>8.2500000000000004E-3</v>
      </c>
      <c r="G113" s="157">
        <f>VLOOKUP(C113,'CMD Timing and Current'!$A$2:$I$96,6,FALSE)</f>
        <v>4.0800000000000002E-5</v>
      </c>
      <c r="H113" s="158">
        <f t="shared" si="10"/>
        <v>3.3660000000000004E-7</v>
      </c>
      <c r="I113" s="159" t="s">
        <v>196</v>
      </c>
      <c r="J113" s="163">
        <f>IF(SUM($G$88:$G112) &gt; 0.0088,0,IF(SUM($G$88:G113)&gt;0.0088,(0.0088-SUM($G$88:G112)),G113))</f>
        <v>0</v>
      </c>
    </row>
    <row r="114" spans="2:10" x14ac:dyDescent="0.25">
      <c r="B114" s="130" t="s">
        <v>199</v>
      </c>
      <c r="C114" s="167" t="s">
        <v>178</v>
      </c>
      <c r="E114" s="72"/>
      <c r="F114" s="157">
        <f>VLOOKUP(C114,'CMD Timing and Current'!$A$2:$I$96,9,FALSE)</f>
        <v>1.1259999999999999E-2</v>
      </c>
      <c r="G114" s="157">
        <f>VLOOKUP(C114,'CMD Timing and Current'!$A$2:$I$96,6,FALSE)</f>
        <v>4.0800000000000002E-5</v>
      </c>
      <c r="H114" s="158">
        <f t="shared" si="10"/>
        <v>4.5940800000000001E-7</v>
      </c>
      <c r="I114" s="159" t="s">
        <v>200</v>
      </c>
      <c r="J114" s="163">
        <f t="shared" ref="J114:J115" si="11">G114</f>
        <v>4.0800000000000002E-5</v>
      </c>
    </row>
    <row r="115" spans="2:10" x14ac:dyDescent="0.25">
      <c r="B115" s="142" t="s">
        <v>201</v>
      </c>
      <c r="C115" s="72" t="s">
        <v>153</v>
      </c>
      <c r="E115" s="72"/>
      <c r="F115" s="157">
        <f>VLOOKUP(C115,'CMD Timing and Current'!$A$2:$I$96,9,FALSE)</f>
        <v>8.2500000000000004E-3</v>
      </c>
      <c r="G115" s="157">
        <f>VLOOKUP(C115,'CMD Timing and Current'!$A$2:$I$96,6,FALSE)</f>
        <v>8.2399999999999997E-5</v>
      </c>
      <c r="H115" s="158">
        <f t="shared" si="10"/>
        <v>6.7980000000000004E-7</v>
      </c>
      <c r="I115" s="159" t="s">
        <v>154</v>
      </c>
      <c r="J115" s="163">
        <f t="shared" si="11"/>
        <v>8.2399999999999997E-5</v>
      </c>
    </row>
    <row r="116" spans="2:10" x14ac:dyDescent="0.25">
      <c r="B116" s="142" t="s">
        <v>201</v>
      </c>
      <c r="C116" s="72" t="s">
        <v>155</v>
      </c>
      <c r="E116" s="72"/>
      <c r="F116" s="157">
        <f>VLOOKUP(C116,'CMD Timing and Current'!$A$2:$I$96,9,FALSE)</f>
        <v>8.2500000000000004E-3</v>
      </c>
      <c r="G116" s="157">
        <f>VLOOKUP(C116,'CMD Timing and Current'!$A$2:$I$96,6,FALSE)</f>
        <v>8.2399999999999997E-5</v>
      </c>
      <c r="H116" s="158">
        <f t="shared" si="10"/>
        <v>6.7980000000000004E-7</v>
      </c>
      <c r="I116" s="159" t="s">
        <v>154</v>
      </c>
      <c r="J116" s="163">
        <f>IF(SUM($G$115:G115) &gt; 0.0088,0,IF(SUM($G$115:G116)&gt;0.0088,(0.0088-SUM($G$115:G115)),G116))</f>
        <v>8.2399999999999997E-5</v>
      </c>
    </row>
    <row r="117" spans="2:10" x14ac:dyDescent="0.25">
      <c r="B117" s="142" t="s">
        <v>201</v>
      </c>
      <c r="C117" s="72" t="s">
        <v>156</v>
      </c>
      <c r="E117" s="72"/>
      <c r="F117" s="157">
        <f>VLOOKUP(C117,'CMD Timing and Current'!$A$2:$I$96,9,FALSE)</f>
        <v>8.2500000000000004E-3</v>
      </c>
      <c r="G117" s="157">
        <f>VLOOKUP(C117,'CMD Timing and Current'!$A$2:$I$96,6,FALSE)</f>
        <v>8.2399999999999997E-5</v>
      </c>
      <c r="H117" s="158">
        <f t="shared" si="10"/>
        <v>6.7980000000000004E-7</v>
      </c>
      <c r="I117" s="159" t="s">
        <v>154</v>
      </c>
      <c r="J117" s="163">
        <f>IF(SUM($G$115:G116) &gt; 0.0088,0,IF(SUM($G$115:G117)&gt;0.0088,(0.0088-SUM($G$115:G116)),G117))</f>
        <v>8.2399999999999997E-5</v>
      </c>
    </row>
    <row r="118" spans="2:10" x14ac:dyDescent="0.25">
      <c r="B118" s="142" t="s">
        <v>201</v>
      </c>
      <c r="C118" s="72" t="s">
        <v>157</v>
      </c>
      <c r="E118" s="72"/>
      <c r="F118" s="157">
        <f>VLOOKUP(C118,'CMD Timing and Current'!$A$2:$I$96,9,FALSE)</f>
        <v>8.2500000000000004E-3</v>
      </c>
      <c r="G118" s="157">
        <f>VLOOKUP(C118,'CMD Timing and Current'!$A$2:$I$96,6,FALSE)</f>
        <v>8.2399999999999997E-5</v>
      </c>
      <c r="H118" s="158">
        <f t="shared" si="10"/>
        <v>6.7980000000000004E-7</v>
      </c>
      <c r="I118" s="159" t="s">
        <v>154</v>
      </c>
      <c r="J118" s="163">
        <f>IF(SUM($G$115:G117) &gt; 0.0088,0,IF(SUM($G$115:G118)&gt;0.0088,(0.0088-SUM($G$115:G117)),G118))</f>
        <v>8.2399999999999997E-5</v>
      </c>
    </row>
    <row r="119" spans="2:10" x14ac:dyDescent="0.25">
      <c r="B119" s="142" t="s">
        <v>201</v>
      </c>
      <c r="C119" s="72" t="s">
        <v>158</v>
      </c>
      <c r="E119" s="72"/>
      <c r="F119" s="157">
        <f>VLOOKUP(C119,'CMD Timing and Current'!$A$2:$I$96,9,FALSE)</f>
        <v>8.2500000000000004E-3</v>
      </c>
      <c r="G119" s="157">
        <f>VLOOKUP(C119,'CMD Timing and Current'!$A$2:$I$96,6,FALSE)</f>
        <v>8.2399999999999997E-5</v>
      </c>
      <c r="H119" s="158">
        <f t="shared" si="10"/>
        <v>6.7980000000000004E-7</v>
      </c>
      <c r="I119" s="159" t="s">
        <v>154</v>
      </c>
      <c r="J119" s="163">
        <f>IF(SUM($G$115:G118) &gt; 0.0088,0,IF(SUM($G$115:G119)&gt;0.0088,(0.0088-SUM($G$115:G118)),G119))</f>
        <v>8.2399999999999997E-5</v>
      </c>
    </row>
    <row r="120" spans="2:10" x14ac:dyDescent="0.25">
      <c r="B120" s="142" t="s">
        <v>201</v>
      </c>
      <c r="C120" s="72" t="s">
        <v>159</v>
      </c>
      <c r="E120" s="72"/>
      <c r="F120" s="157">
        <f>VLOOKUP(C120,'CMD Timing and Current'!$A$2:$I$96,9,FALSE)</f>
        <v>8.2500000000000004E-3</v>
      </c>
      <c r="G120" s="157">
        <f>VLOOKUP(C120,'CMD Timing and Current'!$A$2:$I$96,6,FALSE)</f>
        <v>8.2399999999999997E-5</v>
      </c>
      <c r="H120" s="158">
        <f t="shared" si="10"/>
        <v>6.7980000000000004E-7</v>
      </c>
      <c r="I120" s="159" t="s">
        <v>154</v>
      </c>
      <c r="J120" s="163">
        <f>IF(SUM($G$115:G119) &gt; 0.0088,0,IF(SUM($G$115:G120)&gt;0.0088,(0.0088-SUM($G$115:G119)),G120))</f>
        <v>8.2399999999999997E-5</v>
      </c>
    </row>
    <row r="121" spans="2:10" ht="30" x14ac:dyDescent="0.25">
      <c r="B121" s="138"/>
      <c r="C121" s="72" t="s">
        <v>160</v>
      </c>
      <c r="D121" s="169"/>
      <c r="E121" s="72"/>
      <c r="F121" s="157">
        <f>VLOOKUP(C121,'CMD Timing and Current'!$A$2:$I$96,9,FALSE)</f>
        <v>8.2500000000000004E-3</v>
      </c>
      <c r="G121" s="157">
        <f>VLOOKUP(C121,'CMD Timing and Current'!$A$2:$I$96,6,FALSE)</f>
        <v>4.0800000000000002E-5</v>
      </c>
      <c r="H121" s="158">
        <f t="shared" si="10"/>
        <v>3.3660000000000004E-7</v>
      </c>
      <c r="I121" s="159" t="s">
        <v>202</v>
      </c>
      <c r="J121" s="163">
        <f>IF(SUM($G$115:G120) &gt; 0.0088,0,IF(SUM($G$115:G121)&gt;0.0088,(0.0088-SUM($G$115:G120)),G121))</f>
        <v>4.0800000000000002E-5</v>
      </c>
    </row>
    <row r="122" spans="2:10" s="129" customFormat="1" x14ac:dyDescent="0.25">
      <c r="B122" s="143" t="s">
        <v>173</v>
      </c>
      <c r="C122" s="129" t="s">
        <v>166</v>
      </c>
      <c r="D122" s="123"/>
      <c r="F122" s="171"/>
      <c r="G122" s="171">
        <f>C1-SUM(G106:G121)</f>
        <v>8.848E-3</v>
      </c>
      <c r="H122" s="170"/>
      <c r="I122" s="171" t="s">
        <v>174</v>
      </c>
      <c r="J122" s="163">
        <f>IF(SUM($G$115:G121) &gt; 0.0088,0,IF(SUM($G$115:G122)&gt;0.0088,(0.0088-SUM($G$115:G121)),G122))</f>
        <v>8.264800000000001E-3</v>
      </c>
    </row>
    <row r="123" spans="2:10" x14ac:dyDescent="0.25">
      <c r="B123" s="128"/>
      <c r="C123" s="72" t="s">
        <v>149</v>
      </c>
      <c r="D123" s="169"/>
      <c r="E123" s="72"/>
      <c r="F123" s="157">
        <f>VLOOKUP(C123,'CMD Timing and Current'!$A$2:$I$96,9,FALSE)</f>
        <v>8.2500000000000004E-3</v>
      </c>
      <c r="G123" s="157">
        <f>VLOOKUP(C123,'CMD Timing and Current'!$A$2:$I$96,6,FALSE)</f>
        <v>4.0800000000000002E-5</v>
      </c>
      <c r="H123" s="158">
        <f t="shared" ref="H123:H130" si="12">F123*G123</f>
        <v>3.3660000000000004E-7</v>
      </c>
      <c r="I123" s="159" t="s">
        <v>150</v>
      </c>
      <c r="J123" s="163">
        <f>IF(SUM($G$115:G122) &gt; 0.0088,0,IF(SUM($G$115:G123)&gt;0.0088,(0.0088-SUM($G$115:G122)),G123))</f>
        <v>0</v>
      </c>
    </row>
    <row r="124" spans="2:10" x14ac:dyDescent="0.25">
      <c r="B124" s="142" t="s">
        <v>203</v>
      </c>
      <c r="C124" s="72" t="s">
        <v>153</v>
      </c>
      <c r="E124" s="72"/>
      <c r="F124" s="157">
        <f>VLOOKUP(C124,'CMD Timing and Current'!$A$2:$I$96,9,FALSE)</f>
        <v>8.2500000000000004E-3</v>
      </c>
      <c r="G124" s="157">
        <f>VLOOKUP(C124,'CMD Timing and Current'!$A$2:$I$96,6,FALSE)</f>
        <v>8.2399999999999997E-5</v>
      </c>
      <c r="H124" s="158">
        <f t="shared" si="12"/>
        <v>6.7980000000000004E-7</v>
      </c>
      <c r="I124" s="159" t="s">
        <v>154</v>
      </c>
      <c r="J124" s="163">
        <f>IF(SUM($G$115:G123) &gt; 0.0088,0,IF(SUM($G$115:G124)&gt;0.0088,(0.0088-SUM($G$115:G123)),G124))</f>
        <v>0</v>
      </c>
    </row>
    <row r="125" spans="2:10" x14ac:dyDescent="0.25">
      <c r="B125" s="142" t="s">
        <v>203</v>
      </c>
      <c r="C125" s="72" t="s">
        <v>155</v>
      </c>
      <c r="E125" s="72"/>
      <c r="F125" s="157">
        <f>VLOOKUP(C125,'CMD Timing and Current'!$A$2:$I$96,9,FALSE)</f>
        <v>8.2500000000000004E-3</v>
      </c>
      <c r="G125" s="157">
        <f>VLOOKUP(C125,'CMD Timing and Current'!$A$2:$I$96,6,FALSE)</f>
        <v>8.2399999999999997E-5</v>
      </c>
      <c r="H125" s="158">
        <f t="shared" si="12"/>
        <v>6.7980000000000004E-7</v>
      </c>
      <c r="I125" s="159" t="s">
        <v>154</v>
      </c>
      <c r="J125" s="163">
        <f>IF(SUM($G$115:G124) &gt; 0.0088,0,IF(SUM($G$115:G125)&gt;0.0088,(0.0088-SUM($G$115:G124)),G125))</f>
        <v>0</v>
      </c>
    </row>
    <row r="126" spans="2:10" x14ac:dyDescent="0.25">
      <c r="B126" s="142" t="s">
        <v>203</v>
      </c>
      <c r="C126" s="72" t="s">
        <v>156</v>
      </c>
      <c r="E126" s="72"/>
      <c r="F126" s="157">
        <f>VLOOKUP(C126,'CMD Timing and Current'!$A$2:$I$96,9,FALSE)</f>
        <v>8.2500000000000004E-3</v>
      </c>
      <c r="G126" s="157">
        <f>VLOOKUP(C126,'CMD Timing and Current'!$A$2:$I$96,6,FALSE)</f>
        <v>8.2399999999999997E-5</v>
      </c>
      <c r="H126" s="158">
        <f t="shared" si="12"/>
        <v>6.7980000000000004E-7</v>
      </c>
      <c r="I126" s="159" t="s">
        <v>154</v>
      </c>
      <c r="J126" s="163">
        <f>IF(SUM($G$115:G125) &gt; 0.0088,0,IF(SUM($G$115:G126)&gt;0.0088,(0.0088-SUM($G$115:G125)),G126))</f>
        <v>0</v>
      </c>
    </row>
    <row r="127" spans="2:10" x14ac:dyDescent="0.25">
      <c r="B127" s="142" t="s">
        <v>203</v>
      </c>
      <c r="C127" s="72" t="s">
        <v>157</v>
      </c>
      <c r="E127" s="72"/>
      <c r="F127" s="157">
        <f>VLOOKUP(C127,'CMD Timing and Current'!$A$2:$I$96,9,FALSE)</f>
        <v>8.2500000000000004E-3</v>
      </c>
      <c r="G127" s="157">
        <f>VLOOKUP(C127,'CMD Timing and Current'!$A$2:$I$96,6,FALSE)</f>
        <v>8.2399999999999997E-5</v>
      </c>
      <c r="H127" s="158">
        <f t="shared" si="12"/>
        <v>6.7980000000000004E-7</v>
      </c>
      <c r="I127" s="159" t="s">
        <v>154</v>
      </c>
      <c r="J127" s="163">
        <f>IF(SUM($G$115:G126) &gt; 0.0088,0,IF(SUM($G$115:G127)&gt;0.0088,(0.0088-SUM($G$115:G126)),G127))</f>
        <v>0</v>
      </c>
    </row>
    <row r="128" spans="2:10" x14ac:dyDescent="0.25">
      <c r="B128" s="142" t="s">
        <v>203</v>
      </c>
      <c r="C128" s="72" t="s">
        <v>158</v>
      </c>
      <c r="E128" s="72"/>
      <c r="F128" s="157">
        <f>VLOOKUP(C128,'CMD Timing and Current'!$A$2:$I$96,9,FALSE)</f>
        <v>8.2500000000000004E-3</v>
      </c>
      <c r="G128" s="157">
        <f>VLOOKUP(C128,'CMD Timing and Current'!$A$2:$I$96,6,FALSE)</f>
        <v>8.2399999999999997E-5</v>
      </c>
      <c r="H128" s="158">
        <f t="shared" si="12"/>
        <v>6.7980000000000004E-7</v>
      </c>
      <c r="I128" s="159" t="s">
        <v>154</v>
      </c>
      <c r="J128" s="163">
        <f>IF(SUM($G$115:G127) &gt; 0.0088,0,IF(SUM($G$115:G128)&gt;0.0088,(0.0088-SUM($G$115:G127)),G128))</f>
        <v>0</v>
      </c>
    </row>
    <row r="129" spans="2:10" x14ac:dyDescent="0.25">
      <c r="B129" s="142" t="s">
        <v>203</v>
      </c>
      <c r="C129" s="72" t="s">
        <v>159</v>
      </c>
      <c r="E129" s="72"/>
      <c r="F129" s="157">
        <f>VLOOKUP(C129,'CMD Timing and Current'!$A$2:$I$96,9,FALSE)</f>
        <v>8.2500000000000004E-3</v>
      </c>
      <c r="G129" s="157">
        <f>VLOOKUP(C129,'CMD Timing and Current'!$A$2:$I$96,6,FALSE)</f>
        <v>8.2399999999999997E-5</v>
      </c>
      <c r="H129" s="158">
        <f t="shared" si="12"/>
        <v>6.7980000000000004E-7</v>
      </c>
      <c r="I129" s="159" t="s">
        <v>154</v>
      </c>
      <c r="J129" s="163">
        <f>IF(SUM($G$115:G128) &gt; 0.0088,0,IF(SUM($G$115:G129)&gt;0.0088,(0.0088-SUM($G$115:G128)),G129))</f>
        <v>0</v>
      </c>
    </row>
    <row r="130" spans="2:10" x14ac:dyDescent="0.25">
      <c r="B130" s="138"/>
      <c r="C130" s="72" t="s">
        <v>160</v>
      </c>
      <c r="D130" s="169"/>
      <c r="E130" s="72"/>
      <c r="F130" s="157">
        <f>VLOOKUP(C130,'CMD Timing and Current'!$A$2:$I$96,9,FALSE)</f>
        <v>8.2500000000000004E-3</v>
      </c>
      <c r="G130" s="157">
        <f>VLOOKUP(C130,'CMD Timing and Current'!$A$2:$I$96,6,FALSE)</f>
        <v>4.0800000000000002E-5</v>
      </c>
      <c r="H130" s="158">
        <f t="shared" si="12"/>
        <v>3.3660000000000004E-7</v>
      </c>
      <c r="I130" s="159" t="s">
        <v>161</v>
      </c>
      <c r="J130" s="163">
        <f>IF(SUM($G$115:G129) &gt; 0.0088,0,IF(SUM($G$115:G130)&gt;0.0088,(0.0088-SUM($G$115:G129)),G130))</f>
        <v>0</v>
      </c>
    </row>
    <row r="131" spans="2:10" s="129" customFormat="1" x14ac:dyDescent="0.25">
      <c r="B131" s="143" t="s">
        <v>173</v>
      </c>
      <c r="C131" s="129" t="s">
        <v>166</v>
      </c>
      <c r="D131" s="123"/>
      <c r="F131" s="171"/>
      <c r="G131" s="171">
        <f>C1-SUM(G123:G130)</f>
        <v>9.4240000000000001E-3</v>
      </c>
      <c r="H131" s="170"/>
      <c r="I131" s="171" t="s">
        <v>174</v>
      </c>
      <c r="J131" s="163">
        <f>IF(SUM($G$115:G130) &gt; 0.0088,0,IF(SUM($G$115:G131)&gt;0.0088,(0.0088-SUM($G$115:G130)),G131))</f>
        <v>0</v>
      </c>
    </row>
    <row r="132" spans="2:10" x14ac:dyDescent="0.25">
      <c r="B132" s="128"/>
      <c r="C132" s="72" t="s">
        <v>149</v>
      </c>
      <c r="D132" s="169"/>
      <c r="E132" s="72"/>
      <c r="F132" s="157">
        <f>VLOOKUP(C132,'CMD Timing and Current'!$A$2:$I$96,9,FALSE)</f>
        <v>8.2500000000000004E-3</v>
      </c>
      <c r="G132" s="157">
        <f>VLOOKUP(C132,'CMD Timing and Current'!$A$2:$I$96,6,FALSE)</f>
        <v>4.0800000000000002E-5</v>
      </c>
      <c r="H132" s="158">
        <f t="shared" ref="H132:H146" si="13">F132*G132</f>
        <v>3.3660000000000004E-7</v>
      </c>
      <c r="I132" s="159" t="s">
        <v>150</v>
      </c>
      <c r="J132" s="163">
        <f>IF(SUM($G$115:G131) &gt; 0.0088,0,IF(SUM($G$115:G132)&gt;0.0088,(0.0088-SUM($G$115:G131)),G132))</f>
        <v>0</v>
      </c>
    </row>
    <row r="133" spans="2:10" x14ac:dyDescent="0.25">
      <c r="B133" s="130" t="s">
        <v>204</v>
      </c>
      <c r="C133" s="72" t="s">
        <v>187</v>
      </c>
      <c r="F133" s="157">
        <f>VLOOKUP(C133,'CMD Timing and Current'!$A$2:$I$96,9,FALSE)</f>
        <v>8.2500000000000004E-3</v>
      </c>
      <c r="G133" s="157">
        <f>VLOOKUP(C133,'CMD Timing and Current'!$A$2:$I$96,6,FALSE)</f>
        <v>8.2399999999999997E-5</v>
      </c>
      <c r="H133" s="158">
        <f t="shared" si="13"/>
        <v>6.7980000000000004E-7</v>
      </c>
      <c r="I133" s="159" t="s">
        <v>188</v>
      </c>
      <c r="J133" s="163">
        <f>IF(SUM($G$115:G132) &gt; 0.0088,0,IF(SUM($G$115:G133)&gt;0.0088,(0.0088-SUM($G$115:G132)),G133))</f>
        <v>0</v>
      </c>
    </row>
    <row r="134" spans="2:10" x14ac:dyDescent="0.25">
      <c r="B134" s="130" t="s">
        <v>204</v>
      </c>
      <c r="C134" s="72" t="s">
        <v>189</v>
      </c>
      <c r="E134" s="72"/>
      <c r="F134" s="157">
        <f>VLOOKUP(C134,'CMD Timing and Current'!$A$2:$I$96,9,FALSE)</f>
        <v>8.2500000000000004E-3</v>
      </c>
      <c r="G134" s="157">
        <f>VLOOKUP(C134,'CMD Timing and Current'!$A$2:$I$96,6,FALSE)</f>
        <v>8.2399999999999997E-5</v>
      </c>
      <c r="H134" s="158">
        <f t="shared" si="13"/>
        <v>6.7980000000000004E-7</v>
      </c>
      <c r="I134" s="159" t="s">
        <v>188</v>
      </c>
      <c r="J134" s="163">
        <f>IF(SUM($G$115:G133) &gt; 0.0088,0,IF(SUM($G$115:G134)&gt;0.0088,(0.0088-SUM($G$115:G133)),G134))</f>
        <v>0</v>
      </c>
    </row>
    <row r="135" spans="2:10" x14ac:dyDescent="0.25">
      <c r="B135" s="130" t="s">
        <v>204</v>
      </c>
      <c r="C135" s="72" t="s">
        <v>190</v>
      </c>
      <c r="E135" s="72"/>
      <c r="F135" s="157">
        <f>VLOOKUP(C135,'CMD Timing and Current'!$A$2:$I$96,9,FALSE)</f>
        <v>8.2500000000000004E-3</v>
      </c>
      <c r="G135" s="157">
        <f>VLOOKUP(C135,'CMD Timing and Current'!$A$2:$I$96,6,FALSE)</f>
        <v>8.2399999999999997E-5</v>
      </c>
      <c r="H135" s="158">
        <f t="shared" si="13"/>
        <v>6.7980000000000004E-7</v>
      </c>
      <c r="I135" s="159" t="s">
        <v>188</v>
      </c>
      <c r="J135" s="163">
        <f>IF(SUM($G$115:G134) &gt; 0.0088,0,IF(SUM($G$115:G135)&gt;0.0088,(0.0088-SUM($G$115:G134)),G135))</f>
        <v>0</v>
      </c>
    </row>
    <row r="136" spans="2:10" x14ac:dyDescent="0.25">
      <c r="B136" s="130" t="s">
        <v>204</v>
      </c>
      <c r="C136" s="72" t="s">
        <v>191</v>
      </c>
      <c r="E136" s="72"/>
      <c r="F136" s="157">
        <f>VLOOKUP(C136,'CMD Timing and Current'!$A$2:$I$96,9,FALSE)</f>
        <v>8.2500000000000004E-3</v>
      </c>
      <c r="G136" s="157">
        <f>VLOOKUP(C136,'CMD Timing and Current'!$A$2:$I$96,6,FALSE)</f>
        <v>8.2399999999999997E-5</v>
      </c>
      <c r="H136" s="158">
        <f t="shared" si="13"/>
        <v>6.7980000000000004E-7</v>
      </c>
      <c r="I136" s="159" t="s">
        <v>188</v>
      </c>
      <c r="J136" s="163">
        <f>IF(SUM($G$115:G135) &gt; 0.0088,0,IF(SUM($G$115:G136)&gt;0.0088,(0.0088-SUM($G$115:G135)),G136))</f>
        <v>0</v>
      </c>
    </row>
    <row r="137" spans="2:10" x14ac:dyDescent="0.25">
      <c r="B137" s="130" t="s">
        <v>204</v>
      </c>
      <c r="C137" s="72" t="s">
        <v>192</v>
      </c>
      <c r="E137" s="72"/>
      <c r="F137" s="157">
        <f>VLOOKUP(C137,'CMD Timing and Current'!$A$2:$I$96,9,FALSE)</f>
        <v>8.2500000000000004E-3</v>
      </c>
      <c r="G137" s="157">
        <f>VLOOKUP(C137,'CMD Timing and Current'!$A$2:$I$96,6,FALSE)</f>
        <v>8.2399999999999997E-5</v>
      </c>
      <c r="H137" s="158">
        <f t="shared" si="13"/>
        <v>6.7980000000000004E-7</v>
      </c>
      <c r="I137" s="159" t="s">
        <v>188</v>
      </c>
      <c r="J137" s="163">
        <f>IF(SUM($G$115:G136) &gt; 0.0088,0,IF(SUM($G$115:G137)&gt;0.0088,(0.0088-SUM($G$115:G136)),G137))</f>
        <v>0</v>
      </c>
    </row>
    <row r="138" spans="2:10" x14ac:dyDescent="0.25">
      <c r="B138" s="130" t="s">
        <v>204</v>
      </c>
      <c r="C138" s="72" t="s">
        <v>193</v>
      </c>
      <c r="D138" s="169"/>
      <c r="E138" s="72"/>
      <c r="F138" s="157">
        <f>VLOOKUP(C138,'CMD Timing and Current'!$A$2:$I$96,9,FALSE)</f>
        <v>8.2500000000000004E-3</v>
      </c>
      <c r="G138" s="157">
        <f>VLOOKUP(C138,'CMD Timing and Current'!$A$2:$I$96,6,FALSE)</f>
        <v>8.2399999999999997E-5</v>
      </c>
      <c r="H138" s="158">
        <f t="shared" si="13"/>
        <v>6.7980000000000004E-7</v>
      </c>
      <c r="I138" s="159" t="s">
        <v>188</v>
      </c>
      <c r="J138" s="163">
        <f>IF(SUM($G$115:G137) &gt; 0.0088,0,IF(SUM($G$115:G138)&gt;0.0088,(0.0088-SUM($G$115:G137)),G138))</f>
        <v>0</v>
      </c>
    </row>
    <row r="139" spans="2:10" x14ac:dyDescent="0.25">
      <c r="B139" s="130" t="s">
        <v>194</v>
      </c>
      <c r="C139" s="168" t="s">
        <v>195</v>
      </c>
      <c r="D139" s="169"/>
      <c r="E139" s="72"/>
      <c r="F139" s="157">
        <f>VLOOKUP(C139,'CMD Timing and Current'!$A$2:$I$96,9,FALSE)</f>
        <v>8.2500000000000004E-3</v>
      </c>
      <c r="G139" s="157">
        <f>VLOOKUP(C139,'CMD Timing and Current'!$A$2:$I$96,6,FALSE)</f>
        <v>4.0800000000000002E-5</v>
      </c>
      <c r="H139" s="158">
        <f t="shared" si="13"/>
        <v>3.3660000000000004E-7</v>
      </c>
      <c r="I139" s="159" t="s">
        <v>196</v>
      </c>
      <c r="J139" s="163">
        <f>IF(SUM($G$115:G138) &gt; 0.0088,0,IF(SUM($G$115:G139)&gt;0.0088,(0.0088-SUM($G$115:G138)),G139))</f>
        <v>0</v>
      </c>
    </row>
    <row r="140" spans="2:10" x14ac:dyDescent="0.25">
      <c r="B140" s="142" t="s">
        <v>205</v>
      </c>
      <c r="C140" s="72" t="s">
        <v>153</v>
      </c>
      <c r="E140" s="72"/>
      <c r="F140" s="157">
        <f>VLOOKUP(C140,'CMD Timing and Current'!$A$2:$I$96,9,FALSE)</f>
        <v>8.2500000000000004E-3</v>
      </c>
      <c r="G140" s="157">
        <f>VLOOKUP(C140,'CMD Timing and Current'!$A$2:$I$96,6,FALSE)</f>
        <v>8.2399999999999997E-5</v>
      </c>
      <c r="H140" s="158">
        <f t="shared" si="13"/>
        <v>6.7980000000000004E-7</v>
      </c>
      <c r="I140" s="159" t="s">
        <v>154</v>
      </c>
      <c r="J140" s="163">
        <f>IF(SUM($G$115:G139) &gt; 0.0088,0,IF(SUM($G$115:G140)&gt;0.0088,(0.0088-SUM($G$115:G139)),G140))</f>
        <v>0</v>
      </c>
    </row>
    <row r="141" spans="2:10" x14ac:dyDescent="0.25">
      <c r="B141" s="142" t="s">
        <v>205</v>
      </c>
      <c r="C141" s="72" t="s">
        <v>155</v>
      </c>
      <c r="E141" s="72"/>
      <c r="F141" s="157">
        <f>VLOOKUP(C141,'CMD Timing and Current'!$A$2:$I$96,9,FALSE)</f>
        <v>8.2500000000000004E-3</v>
      </c>
      <c r="G141" s="157">
        <f>VLOOKUP(C141,'CMD Timing and Current'!$A$2:$I$96,6,FALSE)</f>
        <v>8.2399999999999997E-5</v>
      </c>
      <c r="H141" s="158">
        <f t="shared" si="13"/>
        <v>6.7980000000000004E-7</v>
      </c>
      <c r="I141" s="159" t="s">
        <v>154</v>
      </c>
      <c r="J141" s="163">
        <f>IF(SUM($G$115:G140) &gt; 0.0088,0,IF(SUM($G$115:G141)&gt;0.0088,(0.0088-SUM($G$115:G140)),G141))</f>
        <v>0</v>
      </c>
    </row>
    <row r="142" spans="2:10" x14ac:dyDescent="0.25">
      <c r="B142" s="142" t="s">
        <v>205</v>
      </c>
      <c r="C142" s="72" t="s">
        <v>156</v>
      </c>
      <c r="E142" s="72"/>
      <c r="F142" s="157">
        <f>VLOOKUP(C142,'CMD Timing and Current'!$A$2:$I$96,9,FALSE)</f>
        <v>8.2500000000000004E-3</v>
      </c>
      <c r="G142" s="157">
        <f>VLOOKUP(C142,'CMD Timing and Current'!$A$2:$I$96,6,FALSE)</f>
        <v>8.2399999999999997E-5</v>
      </c>
      <c r="H142" s="158">
        <f t="shared" si="13"/>
        <v>6.7980000000000004E-7</v>
      </c>
      <c r="I142" s="159" t="s">
        <v>154</v>
      </c>
      <c r="J142" s="163">
        <f>IF(SUM($G$115:G141) &gt; 0.0088,0,IF(SUM($G$115:G142)&gt;0.0088,(0.0088-SUM($G$115:G141)),G142))</f>
        <v>0</v>
      </c>
    </row>
    <row r="143" spans="2:10" x14ac:dyDescent="0.25">
      <c r="B143" s="142" t="s">
        <v>205</v>
      </c>
      <c r="C143" s="72" t="s">
        <v>157</v>
      </c>
      <c r="E143" s="72"/>
      <c r="F143" s="157">
        <f>VLOOKUP(C143,'CMD Timing and Current'!$A$2:$I$96,9,FALSE)</f>
        <v>8.2500000000000004E-3</v>
      </c>
      <c r="G143" s="157">
        <f>VLOOKUP(C143,'CMD Timing and Current'!$A$2:$I$96,6,FALSE)</f>
        <v>8.2399999999999997E-5</v>
      </c>
      <c r="H143" s="158">
        <f t="shared" si="13"/>
        <v>6.7980000000000004E-7</v>
      </c>
      <c r="I143" s="159" t="s">
        <v>154</v>
      </c>
      <c r="J143" s="163">
        <f>IF(SUM($G$115:G142) &gt; 0.0088,0,IF(SUM($G$115:G143)&gt;0.0088,(0.0088-SUM($G$115:G142)),G143))</f>
        <v>0</v>
      </c>
    </row>
    <row r="144" spans="2:10" x14ac:dyDescent="0.25">
      <c r="B144" s="142" t="s">
        <v>205</v>
      </c>
      <c r="C144" s="72" t="s">
        <v>158</v>
      </c>
      <c r="E144" s="72"/>
      <c r="F144" s="157">
        <f>VLOOKUP(C144,'CMD Timing and Current'!$A$2:$I$96,9,FALSE)</f>
        <v>8.2500000000000004E-3</v>
      </c>
      <c r="G144" s="157">
        <f>VLOOKUP(C144,'CMD Timing and Current'!$A$2:$I$96,6,FALSE)</f>
        <v>8.2399999999999997E-5</v>
      </c>
      <c r="H144" s="158">
        <f t="shared" si="13"/>
        <v>6.7980000000000004E-7</v>
      </c>
      <c r="I144" s="159" t="s">
        <v>154</v>
      </c>
      <c r="J144" s="163">
        <f>IF(SUM($G$115:G143) &gt; 0.0088,0,IF(SUM($G$115:G144)&gt;0.0088,(0.0088-SUM($G$115:G143)),G144))</f>
        <v>0</v>
      </c>
    </row>
    <row r="145" spans="2:10" x14ac:dyDescent="0.25">
      <c r="B145" s="142" t="s">
        <v>205</v>
      </c>
      <c r="C145" s="72" t="s">
        <v>159</v>
      </c>
      <c r="E145" s="72"/>
      <c r="F145" s="157">
        <f>VLOOKUP(C145,'CMD Timing and Current'!$A$2:$I$96,9,FALSE)</f>
        <v>8.2500000000000004E-3</v>
      </c>
      <c r="G145" s="157">
        <f>VLOOKUP(C145,'CMD Timing and Current'!$A$2:$I$96,6,FALSE)</f>
        <v>8.2399999999999997E-5</v>
      </c>
      <c r="H145" s="158">
        <f t="shared" si="13"/>
        <v>6.7980000000000004E-7</v>
      </c>
      <c r="I145" s="159" t="s">
        <v>154</v>
      </c>
      <c r="J145" s="163">
        <f>IF(SUM($G$115:G144) &gt; 0.0088,0,IF(SUM($G$115:G145)&gt;0.0088,(0.0088-SUM($G$115:G144)),G145))</f>
        <v>0</v>
      </c>
    </row>
    <row r="146" spans="2:10" ht="30" x14ac:dyDescent="0.25">
      <c r="B146" s="138"/>
      <c r="C146" s="72" t="s">
        <v>160</v>
      </c>
      <c r="D146" s="169"/>
      <c r="E146" s="72"/>
      <c r="F146" s="157">
        <f>VLOOKUP(C146,'CMD Timing and Current'!$A$2:$I$96,9,FALSE)</f>
        <v>8.2500000000000004E-3</v>
      </c>
      <c r="G146" s="157">
        <f>VLOOKUP(C146,'CMD Timing and Current'!$A$2:$I$96,6,FALSE)</f>
        <v>4.0800000000000002E-5</v>
      </c>
      <c r="H146" s="158">
        <f t="shared" si="13"/>
        <v>3.3660000000000004E-7</v>
      </c>
      <c r="I146" s="159" t="s">
        <v>202</v>
      </c>
      <c r="J146" s="163">
        <f>IF(SUM($G$115:G145) &gt; 0.0088,0,IF(SUM($G$115:G146)&gt;0.0088,(0.0088-SUM($G$115:G145)),G146))</f>
        <v>0</v>
      </c>
    </row>
    <row r="147" spans="2:10" ht="15.75" thickBot="1" x14ac:dyDescent="0.3">
      <c r="B147" s="139" t="str">
        <f>_xlfn.CONCAT(E66:E146)</f>
        <v>SM12-SM9-</v>
      </c>
      <c r="C147" s="164"/>
      <c r="D147" s="164"/>
      <c r="E147" s="164" t="s">
        <v>146</v>
      </c>
      <c r="F147" s="165"/>
      <c r="G147" s="151">
        <f>SUM(G66:G146)</f>
        <v>6.0412800000000114E-2</v>
      </c>
      <c r="H147" s="166">
        <f>SUM(H66:H146)/G147</f>
        <v>7.251712219926887E-4</v>
      </c>
      <c r="I147" s="159"/>
      <c r="J147" s="159">
        <f>SUM(J66:J146)</f>
        <v>3.7559200000000008E-2</v>
      </c>
    </row>
    <row r="148" spans="2:10" ht="15.75" thickBot="1" x14ac:dyDescent="0.3">
      <c r="B148" s="72"/>
      <c r="C148" s="127"/>
      <c r="D148" s="72"/>
      <c r="E148" s="72"/>
      <c r="F148" s="72"/>
      <c r="G148" s="72">
        <f>G248+G253+G265+G270+G282+G287+G301+G306+G318+G323+G343+G348+G360+G365+G383</f>
        <v>6.0372000000000009E-2</v>
      </c>
      <c r="H148" s="72"/>
    </row>
    <row r="149" spans="2:10" ht="30" x14ac:dyDescent="0.25">
      <c r="B149" s="135" t="s">
        <v>206</v>
      </c>
      <c r="C149" s="153"/>
      <c r="D149" s="90" t="s">
        <v>148</v>
      </c>
      <c r="E149" s="154"/>
      <c r="F149" s="154"/>
      <c r="G149" s="154"/>
      <c r="H149" s="155"/>
    </row>
    <row r="150" spans="2:10" x14ac:dyDescent="0.25">
      <c r="B150" s="136" t="s">
        <v>126</v>
      </c>
      <c r="C150" s="72" t="s">
        <v>127</v>
      </c>
      <c r="D150" s="8" t="s">
        <v>128</v>
      </c>
      <c r="E150" s="72" t="s">
        <v>129</v>
      </c>
      <c r="F150" s="72" t="s">
        <v>130</v>
      </c>
      <c r="G150" s="72" t="s">
        <v>131</v>
      </c>
      <c r="H150" s="156" t="s">
        <v>68</v>
      </c>
      <c r="J150" s="8" t="s">
        <v>132</v>
      </c>
    </row>
    <row r="151" spans="2:10" s="124" customFormat="1" x14ac:dyDescent="0.25">
      <c r="B151" s="137"/>
      <c r="C151" s="187" t="s">
        <v>207</v>
      </c>
      <c r="E151" s="175"/>
      <c r="F151" s="188">
        <f>VLOOKUP(C151,'CMD Timing and Current'!$A$2:$I$96,9,FALSE)</f>
        <v>8.2500000000000004E-3</v>
      </c>
      <c r="G151" s="188">
        <f>VLOOKUP(C151,'CMD Timing and Current'!$A$2:$I$96,6,FALSE)</f>
        <v>4.0800000000000002E-5</v>
      </c>
      <c r="H151" s="189">
        <f>F151*G151</f>
        <v>3.3660000000000004E-7</v>
      </c>
      <c r="I151" s="190" t="s">
        <v>208</v>
      </c>
      <c r="J151" s="190">
        <v>0</v>
      </c>
    </row>
    <row r="152" spans="2:10" s="124" customFormat="1" x14ac:dyDescent="0.25">
      <c r="B152" s="137"/>
      <c r="C152" s="175" t="s">
        <v>209</v>
      </c>
      <c r="E152" s="175"/>
      <c r="F152" s="188">
        <f>VLOOKUP(C152,'CMD Timing and Current'!$A$2:$I$96,9,FALSE)</f>
        <v>1.1259999999999999E-2</v>
      </c>
      <c r="G152" s="188">
        <f>VLOOKUP(C152,'CMD Timing and Current'!$A$2:$I$96,6,FALSE)</f>
        <v>4.0800000000000002E-5</v>
      </c>
      <c r="H152" s="189">
        <f>F152*G152</f>
        <v>4.5940800000000001E-7</v>
      </c>
      <c r="I152" s="190" t="s">
        <v>210</v>
      </c>
      <c r="J152" s="190">
        <v>0</v>
      </c>
    </row>
    <row r="153" spans="2:10" s="124" customFormat="1" x14ac:dyDescent="0.25">
      <c r="B153" s="137"/>
      <c r="C153" s="175" t="s">
        <v>211</v>
      </c>
      <c r="D153" s="126"/>
      <c r="E153" s="175"/>
      <c r="F153" s="188">
        <f>VLOOKUP(C153,'CMD Timing and Current'!$A$2:$I$96,9,FALSE)</f>
        <v>1.1259999999999999E-2</v>
      </c>
      <c r="G153" s="188">
        <f>VLOOKUP(C153,'CMD Timing and Current'!$A$2:$I$96,6,FALSE)</f>
        <v>4.0800000000000002E-5</v>
      </c>
      <c r="H153" s="189">
        <f>F153*G153</f>
        <v>4.5940800000000001E-7</v>
      </c>
      <c r="I153" s="190" t="s">
        <v>212</v>
      </c>
      <c r="J153" s="190">
        <v>0</v>
      </c>
    </row>
    <row r="154" spans="2:10" s="129" customFormat="1" x14ac:dyDescent="0.25">
      <c r="B154" s="143" t="s">
        <v>173</v>
      </c>
      <c r="C154" s="129" t="s">
        <v>166</v>
      </c>
      <c r="D154" s="123"/>
      <c r="F154" s="171"/>
      <c r="G154" s="171">
        <f>C1-SUM(G132:G146)</f>
        <v>8.8888000000000005E-3</v>
      </c>
      <c r="H154" s="170"/>
      <c r="I154" s="171" t="s">
        <v>174</v>
      </c>
      <c r="J154" s="190">
        <v>0</v>
      </c>
    </row>
    <row r="155" spans="2:10" x14ac:dyDescent="0.25">
      <c r="B155" s="142"/>
      <c r="C155" s="72" t="s">
        <v>149</v>
      </c>
      <c r="D155" s="169"/>
      <c r="E155" s="72"/>
      <c r="F155" s="161">
        <f>VLOOKUP(C155,'CMD Timing and Current'!$A$2:$I$96,9,FALSE)</f>
        <v>8.2500000000000004E-3</v>
      </c>
      <c r="G155" s="157">
        <f>VLOOKUP(C155,'CMD Timing and Current'!$A$2:$I$96,6,FALSE)</f>
        <v>4.0800000000000002E-5</v>
      </c>
      <c r="H155" s="162">
        <f t="shared" ref="H155" si="14">F155*G155</f>
        <v>3.3660000000000004E-7</v>
      </c>
      <c r="I155" s="8" t="s">
        <v>150</v>
      </c>
      <c r="J155" s="190">
        <v>0</v>
      </c>
    </row>
    <row r="156" spans="2:10" x14ac:dyDescent="0.25">
      <c r="B156" s="142" t="s">
        <v>213</v>
      </c>
      <c r="C156" s="72" t="s">
        <v>153</v>
      </c>
      <c r="E156" s="72" t="s">
        <v>43</v>
      </c>
      <c r="F156" s="161">
        <f>VLOOKUP(C156,'CMD Timing and Current'!$A$2:$I$96,9,FALSE)</f>
        <v>8.2500000000000004E-3</v>
      </c>
      <c r="G156" s="157">
        <f>VLOOKUP(C156,'CMD Timing and Current'!$A$2:$I$96,6,FALSE)</f>
        <v>8.2399999999999997E-5</v>
      </c>
      <c r="H156" s="162">
        <f t="shared" ref="H156:H161" si="15">F156*G156</f>
        <v>6.7980000000000004E-7</v>
      </c>
      <c r="I156" s="8" t="s">
        <v>154</v>
      </c>
      <c r="J156" s="190">
        <v>0</v>
      </c>
    </row>
    <row r="157" spans="2:10" x14ac:dyDescent="0.25">
      <c r="B157" s="142" t="s">
        <v>213</v>
      </c>
      <c r="C157" s="72" t="s">
        <v>155</v>
      </c>
      <c r="E157" s="72"/>
      <c r="F157" s="161">
        <f>VLOOKUP(C157,'CMD Timing and Current'!$A$2:$I$96,9,FALSE)</f>
        <v>8.2500000000000004E-3</v>
      </c>
      <c r="G157" s="157">
        <f>VLOOKUP(C157,'CMD Timing and Current'!$A$2:$I$96,6,FALSE)</f>
        <v>8.2399999999999997E-5</v>
      </c>
      <c r="H157" s="162">
        <f t="shared" si="15"/>
        <v>6.7980000000000004E-7</v>
      </c>
      <c r="I157" s="8" t="s">
        <v>154</v>
      </c>
      <c r="J157" s="190">
        <v>0</v>
      </c>
    </row>
    <row r="158" spans="2:10" x14ac:dyDescent="0.25">
      <c r="B158" s="142" t="s">
        <v>213</v>
      </c>
      <c r="C158" s="72" t="s">
        <v>156</v>
      </c>
      <c r="E158" s="72"/>
      <c r="F158" s="161">
        <f>VLOOKUP(C158,'CMD Timing and Current'!$A$2:$I$96,9,FALSE)</f>
        <v>8.2500000000000004E-3</v>
      </c>
      <c r="G158" s="157">
        <f>VLOOKUP(C158,'CMD Timing and Current'!$A$2:$I$96,6,FALSE)</f>
        <v>8.2399999999999997E-5</v>
      </c>
      <c r="H158" s="162">
        <f t="shared" si="15"/>
        <v>6.7980000000000004E-7</v>
      </c>
      <c r="I158" s="8" t="s">
        <v>154</v>
      </c>
      <c r="J158" s="190">
        <v>0</v>
      </c>
    </row>
    <row r="159" spans="2:10" x14ac:dyDescent="0.25">
      <c r="B159" s="142" t="s">
        <v>213</v>
      </c>
      <c r="C159" s="72" t="s">
        <v>157</v>
      </c>
      <c r="E159" s="72"/>
      <c r="F159" s="161">
        <f>VLOOKUP(C159,'CMD Timing and Current'!$A$2:$I$96,9,FALSE)</f>
        <v>8.2500000000000004E-3</v>
      </c>
      <c r="G159" s="157">
        <f>VLOOKUP(C159,'CMD Timing and Current'!$A$2:$I$96,6,FALSE)</f>
        <v>8.2399999999999997E-5</v>
      </c>
      <c r="H159" s="162">
        <f t="shared" si="15"/>
        <v>6.7980000000000004E-7</v>
      </c>
      <c r="I159" s="8" t="s">
        <v>154</v>
      </c>
      <c r="J159" s="190">
        <v>0</v>
      </c>
    </row>
    <row r="160" spans="2:10" x14ac:dyDescent="0.25">
      <c r="B160" s="142" t="s">
        <v>213</v>
      </c>
      <c r="C160" s="72" t="s">
        <v>158</v>
      </c>
      <c r="E160" s="72"/>
      <c r="F160" s="161">
        <f>VLOOKUP(C160,'CMD Timing and Current'!$A$2:$I$96,9,FALSE)</f>
        <v>8.2500000000000004E-3</v>
      </c>
      <c r="G160" s="157">
        <f>VLOOKUP(C160,'CMD Timing and Current'!$A$2:$I$96,6,FALSE)</f>
        <v>8.2399999999999997E-5</v>
      </c>
      <c r="H160" s="162">
        <f t="shared" si="15"/>
        <v>6.7980000000000004E-7</v>
      </c>
      <c r="I160" s="8" t="s">
        <v>154</v>
      </c>
      <c r="J160" s="190">
        <v>0</v>
      </c>
    </row>
    <row r="161" spans="2:10" x14ac:dyDescent="0.25">
      <c r="B161" s="142" t="s">
        <v>213</v>
      </c>
      <c r="C161" s="72" t="s">
        <v>159</v>
      </c>
      <c r="E161" s="72"/>
      <c r="F161" s="161">
        <f>VLOOKUP(C161,'CMD Timing and Current'!$A$2:$I$96,9,FALSE)</f>
        <v>8.2500000000000004E-3</v>
      </c>
      <c r="G161" s="157">
        <f>VLOOKUP(C161,'CMD Timing and Current'!$A$2:$I$96,6,FALSE)</f>
        <v>8.2399999999999997E-5</v>
      </c>
      <c r="H161" s="162">
        <f t="shared" si="15"/>
        <v>6.7980000000000004E-7</v>
      </c>
      <c r="I161" s="8" t="s">
        <v>154</v>
      </c>
      <c r="J161" s="190">
        <v>0</v>
      </c>
    </row>
    <row r="162" spans="2:10" s="124" customFormat="1" x14ac:dyDescent="0.25">
      <c r="B162" s="137"/>
      <c r="C162" s="175" t="s">
        <v>214</v>
      </c>
      <c r="E162" s="175" t="s">
        <v>45</v>
      </c>
      <c r="F162" s="188">
        <f>VLOOKUP(C162,'CMD Timing and Current'!$A$2:$I$96,9,FALSE)</f>
        <v>8.2500000000000004E-3</v>
      </c>
      <c r="G162" s="188">
        <f>VLOOKUP(C162,'CMD Timing and Current'!$A$2:$I$96,6,FALSE)</f>
        <v>8.2399999999999997E-5</v>
      </c>
      <c r="H162" s="189">
        <f t="shared" ref="H162:H183" si="16">F162*G162</f>
        <v>6.7980000000000004E-7</v>
      </c>
      <c r="I162" s="190" t="s">
        <v>215</v>
      </c>
      <c r="J162" s="190">
        <v>0</v>
      </c>
    </row>
    <row r="163" spans="2:10" s="124" customFormat="1" x14ac:dyDescent="0.25">
      <c r="B163" s="137"/>
      <c r="C163" s="175" t="s">
        <v>216</v>
      </c>
      <c r="E163" s="175"/>
      <c r="F163" s="188">
        <f>VLOOKUP(C163,'CMD Timing and Current'!$A$2:$I$96,9,FALSE)</f>
        <v>8.2500000000000004E-3</v>
      </c>
      <c r="G163" s="188">
        <f>VLOOKUP(C163,'CMD Timing and Current'!$A$2:$I$96,6,FALSE)</f>
        <v>8.2399999999999997E-5</v>
      </c>
      <c r="H163" s="189">
        <f t="shared" si="16"/>
        <v>6.7980000000000004E-7</v>
      </c>
      <c r="I163" s="190" t="s">
        <v>217</v>
      </c>
      <c r="J163" s="190">
        <v>0</v>
      </c>
    </row>
    <row r="164" spans="2:10" s="124" customFormat="1" x14ac:dyDescent="0.25">
      <c r="B164" s="137"/>
      <c r="C164" s="175" t="s">
        <v>218</v>
      </c>
      <c r="E164" s="175"/>
      <c r="F164" s="188">
        <f>VLOOKUP(C164,'CMD Timing and Current'!$A$2:$I$96,9,FALSE)</f>
        <v>8.2500000000000004E-3</v>
      </c>
      <c r="G164" s="188">
        <f>VLOOKUP(C164,'CMD Timing and Current'!$A$2:$I$96,6,FALSE)</f>
        <v>8.2399999999999997E-5</v>
      </c>
      <c r="H164" s="189">
        <f t="shared" si="16"/>
        <v>6.7980000000000004E-7</v>
      </c>
      <c r="I164" s="190" t="s">
        <v>219</v>
      </c>
      <c r="J164" s="190">
        <v>0</v>
      </c>
    </row>
    <row r="165" spans="2:10" s="124" customFormat="1" x14ac:dyDescent="0.25">
      <c r="B165" s="137"/>
      <c r="C165" s="175" t="s">
        <v>220</v>
      </c>
      <c r="E165" s="175"/>
      <c r="F165" s="188">
        <f>VLOOKUP(C165,'CMD Timing and Current'!$A$2:$I$96,9,FALSE)</f>
        <v>8.2500000000000004E-3</v>
      </c>
      <c r="G165" s="188">
        <f>VLOOKUP(C165,'CMD Timing and Current'!$A$2:$I$96,6,FALSE)</f>
        <v>8.2399999999999997E-5</v>
      </c>
      <c r="H165" s="189">
        <f t="shared" si="16"/>
        <v>6.7980000000000004E-7</v>
      </c>
      <c r="I165" s="190" t="s">
        <v>221</v>
      </c>
      <c r="J165" s="190">
        <v>0</v>
      </c>
    </row>
    <row r="166" spans="2:10" s="124" customFormat="1" x14ac:dyDescent="0.25">
      <c r="B166" s="130" t="s">
        <v>222</v>
      </c>
      <c r="C166" s="175" t="s">
        <v>223</v>
      </c>
      <c r="E166" s="175"/>
      <c r="F166" s="188">
        <f>VLOOKUP(C166,'CMD Timing and Current'!$A$2:$I$96,9,FALSE)</f>
        <v>8.2500000000000004E-3</v>
      </c>
      <c r="G166" s="188">
        <f>VLOOKUP(C166,'CMD Timing and Current'!$A$2:$I$96,6,FALSE)</f>
        <v>8.2399999999999997E-5</v>
      </c>
      <c r="H166" s="189">
        <f t="shared" ref="H166" si="17">F166*G166</f>
        <v>6.7980000000000004E-7</v>
      </c>
      <c r="I166" s="190" t="s">
        <v>221</v>
      </c>
      <c r="J166" s="190">
        <v>0</v>
      </c>
    </row>
    <row r="167" spans="2:10" s="124" customFormat="1" ht="30" x14ac:dyDescent="0.25">
      <c r="B167" s="137"/>
      <c r="C167" s="175" t="s">
        <v>224</v>
      </c>
      <c r="E167" s="175" t="s">
        <v>41</v>
      </c>
      <c r="F167" s="188">
        <f>VLOOKUP(C167,'CMD Timing and Current'!$A$2:$I$96,9,FALSE)</f>
        <v>8.2500000000000004E-3</v>
      </c>
      <c r="G167" s="188">
        <f>VLOOKUP(C167,'CMD Timing and Current'!$A$2:$I$96,6,FALSE)</f>
        <v>8.2399999999999997E-5</v>
      </c>
      <c r="H167" s="189">
        <f t="shared" si="16"/>
        <v>6.7980000000000004E-7</v>
      </c>
      <c r="I167" s="190" t="s">
        <v>225</v>
      </c>
      <c r="J167" s="190">
        <v>0</v>
      </c>
    </row>
    <row r="168" spans="2:10" x14ac:dyDescent="0.25">
      <c r="B168" s="138"/>
      <c r="C168" s="72" t="s">
        <v>160</v>
      </c>
      <c r="D168" s="169"/>
      <c r="E168" s="72"/>
      <c r="F168" s="161">
        <f>VLOOKUP(C168,'CMD Timing and Current'!$A$2:$I$96,9,FALSE)</f>
        <v>8.2500000000000004E-3</v>
      </c>
      <c r="G168" s="157">
        <f>VLOOKUP(C168,'CMD Timing and Current'!$A$2:$I$96,6,FALSE)</f>
        <v>4.0800000000000002E-5</v>
      </c>
      <c r="H168" s="162">
        <f t="shared" si="16"/>
        <v>3.3660000000000004E-7</v>
      </c>
      <c r="I168" s="8" t="s">
        <v>161</v>
      </c>
      <c r="J168" s="190">
        <v>0</v>
      </c>
    </row>
    <row r="169" spans="2:10" s="129" customFormat="1" x14ac:dyDescent="0.25">
      <c r="B169" s="143" t="s">
        <v>173</v>
      </c>
      <c r="C169" s="129" t="s">
        <v>166</v>
      </c>
      <c r="D169" s="123"/>
      <c r="F169" s="171"/>
      <c r="G169" s="171">
        <f>C1-SUM(G155:G168)</f>
        <v>8.9295999999999993E-3</v>
      </c>
      <c r="H169" s="170"/>
      <c r="I169" s="171" t="s">
        <v>174</v>
      </c>
      <c r="J169" s="190">
        <v>0</v>
      </c>
    </row>
    <row r="170" spans="2:10" x14ac:dyDescent="0.25">
      <c r="B170" s="142"/>
      <c r="C170" s="72" t="s">
        <v>149</v>
      </c>
      <c r="D170" s="169"/>
      <c r="E170" s="72"/>
      <c r="F170" s="161">
        <f>VLOOKUP(C170,'CMD Timing and Current'!$A$2:$I$96,9,FALSE)</f>
        <v>8.2500000000000004E-3</v>
      </c>
      <c r="G170" s="157">
        <f>VLOOKUP(C170,'CMD Timing and Current'!$A$2:$I$96,6,FALSE)</f>
        <v>4.0800000000000002E-5</v>
      </c>
      <c r="H170" s="162">
        <f t="shared" ref="H170" si="18">F170*G170</f>
        <v>3.3660000000000004E-7</v>
      </c>
      <c r="I170" s="8" t="s">
        <v>150</v>
      </c>
      <c r="J170" s="190">
        <v>0</v>
      </c>
    </row>
    <row r="171" spans="2:10" s="123" customFormat="1" ht="30" x14ac:dyDescent="0.25">
      <c r="B171" s="138" t="s">
        <v>226</v>
      </c>
      <c r="C171" s="160" t="s">
        <v>141</v>
      </c>
      <c r="D171" s="169"/>
      <c r="E171" s="160"/>
      <c r="F171" s="161">
        <f>VLOOKUP(C171,'CMD Timing and Current'!$A$2:$I$96,9,FALSE)</f>
        <v>8.2500000000000004E-3</v>
      </c>
      <c r="G171" s="157">
        <f>VLOOKUP(C171,'CMD Timing and Current'!$A$2:$I$96,6,FALSE)</f>
        <v>8.2399999999999997E-5</v>
      </c>
      <c r="H171" s="162">
        <f>F171*G171</f>
        <v>6.7980000000000004E-7</v>
      </c>
      <c r="I171" s="171" t="s">
        <v>151</v>
      </c>
      <c r="J171" s="190">
        <v>0</v>
      </c>
    </row>
    <row r="172" spans="2:10" s="123" customFormat="1" x14ac:dyDescent="0.25">
      <c r="B172" s="138"/>
      <c r="C172" s="160" t="s">
        <v>139</v>
      </c>
      <c r="D172" s="169"/>
      <c r="E172" s="160"/>
      <c r="F172" s="161">
        <f>VLOOKUP(C172,'CMD Timing and Current'!$A$2:$I$96,9,FALSE)</f>
        <v>8.2500000000000004E-3</v>
      </c>
      <c r="G172" s="157">
        <f>VLOOKUP(C172,'CMD Timing and Current'!$A$2:$I$96,6,FALSE)</f>
        <v>8.2399999999999997E-5</v>
      </c>
      <c r="H172" s="162">
        <f>F172*G172</f>
        <v>6.7980000000000004E-7</v>
      </c>
      <c r="I172" s="163" t="s">
        <v>140</v>
      </c>
      <c r="J172" s="190">
        <v>0</v>
      </c>
    </row>
    <row r="173" spans="2:10" x14ac:dyDescent="0.25">
      <c r="B173" s="142" t="s">
        <v>227</v>
      </c>
      <c r="C173" s="72" t="s">
        <v>153</v>
      </c>
      <c r="E173" s="72" t="s">
        <v>43</v>
      </c>
      <c r="F173" s="161">
        <f>VLOOKUP(C173,'CMD Timing and Current'!$A$2:$I$96,9,FALSE)</f>
        <v>8.2500000000000004E-3</v>
      </c>
      <c r="G173" s="157">
        <f>VLOOKUP(C173,'CMD Timing and Current'!$A$2:$I$96,6,FALSE)</f>
        <v>8.2399999999999997E-5</v>
      </c>
      <c r="H173" s="162">
        <f t="shared" ref="H173:H178" si="19">F173*G173</f>
        <v>6.7980000000000004E-7</v>
      </c>
      <c r="I173" s="8" t="s">
        <v>154</v>
      </c>
      <c r="J173" s="190">
        <v>0</v>
      </c>
    </row>
    <row r="174" spans="2:10" x14ac:dyDescent="0.25">
      <c r="B174" s="142" t="s">
        <v>227</v>
      </c>
      <c r="C174" s="72" t="s">
        <v>155</v>
      </c>
      <c r="E174" s="72"/>
      <c r="F174" s="161">
        <f>VLOOKUP(C174,'CMD Timing and Current'!$A$2:$I$96,9,FALSE)</f>
        <v>8.2500000000000004E-3</v>
      </c>
      <c r="G174" s="157">
        <f>VLOOKUP(C174,'CMD Timing and Current'!$A$2:$I$96,6,FALSE)</f>
        <v>8.2399999999999997E-5</v>
      </c>
      <c r="H174" s="162">
        <f t="shared" si="19"/>
        <v>6.7980000000000004E-7</v>
      </c>
      <c r="I174" s="8" t="s">
        <v>154</v>
      </c>
      <c r="J174" s="190">
        <v>0</v>
      </c>
    </row>
    <row r="175" spans="2:10" x14ac:dyDescent="0.25">
      <c r="B175" s="142" t="s">
        <v>227</v>
      </c>
      <c r="C175" s="72" t="s">
        <v>156</v>
      </c>
      <c r="E175" s="72"/>
      <c r="F175" s="161">
        <f>VLOOKUP(C175,'CMD Timing and Current'!$A$2:$I$96,9,FALSE)</f>
        <v>8.2500000000000004E-3</v>
      </c>
      <c r="G175" s="157">
        <f>VLOOKUP(C175,'CMD Timing and Current'!$A$2:$I$96,6,FALSE)</f>
        <v>8.2399999999999997E-5</v>
      </c>
      <c r="H175" s="162">
        <f t="shared" si="19"/>
        <v>6.7980000000000004E-7</v>
      </c>
      <c r="I175" s="8" t="s">
        <v>154</v>
      </c>
      <c r="J175" s="190">
        <v>0</v>
      </c>
    </row>
    <row r="176" spans="2:10" x14ac:dyDescent="0.25">
      <c r="B176" s="142" t="s">
        <v>227</v>
      </c>
      <c r="C176" s="72" t="s">
        <v>157</v>
      </c>
      <c r="E176" s="72"/>
      <c r="F176" s="161">
        <f>VLOOKUP(C176,'CMD Timing and Current'!$A$2:$I$96,9,FALSE)</f>
        <v>8.2500000000000004E-3</v>
      </c>
      <c r="G176" s="157">
        <f>VLOOKUP(C176,'CMD Timing and Current'!$A$2:$I$96,6,FALSE)</f>
        <v>8.2399999999999997E-5</v>
      </c>
      <c r="H176" s="162">
        <f t="shared" si="19"/>
        <v>6.7980000000000004E-7</v>
      </c>
      <c r="I176" s="8" t="s">
        <v>154</v>
      </c>
      <c r="J176" s="190">
        <v>0</v>
      </c>
    </row>
    <row r="177" spans="2:10" x14ac:dyDescent="0.25">
      <c r="B177" s="142" t="s">
        <v>227</v>
      </c>
      <c r="C177" s="72" t="s">
        <v>158</v>
      </c>
      <c r="E177" s="72"/>
      <c r="F177" s="161">
        <f>VLOOKUP(C177,'CMD Timing and Current'!$A$2:$I$96,9,FALSE)</f>
        <v>8.2500000000000004E-3</v>
      </c>
      <c r="G177" s="157">
        <f>VLOOKUP(C177,'CMD Timing and Current'!$A$2:$I$96,6,FALSE)</f>
        <v>8.2399999999999997E-5</v>
      </c>
      <c r="H177" s="162">
        <f t="shared" si="19"/>
        <v>6.7980000000000004E-7</v>
      </c>
      <c r="I177" s="8" t="s">
        <v>154</v>
      </c>
      <c r="J177" s="190">
        <v>0</v>
      </c>
    </row>
    <row r="178" spans="2:10" x14ac:dyDescent="0.25">
      <c r="B178" s="142" t="s">
        <v>227</v>
      </c>
      <c r="C178" s="72" t="s">
        <v>159</v>
      </c>
      <c r="E178" s="72"/>
      <c r="F178" s="161">
        <f>VLOOKUP(C178,'CMD Timing and Current'!$A$2:$I$96,9,FALSE)</f>
        <v>8.2500000000000004E-3</v>
      </c>
      <c r="G178" s="157">
        <f>VLOOKUP(C178,'CMD Timing and Current'!$A$2:$I$96,6,FALSE)</f>
        <v>8.2399999999999997E-5</v>
      </c>
      <c r="H178" s="162">
        <f t="shared" si="19"/>
        <v>6.7980000000000004E-7</v>
      </c>
      <c r="I178" s="8" t="s">
        <v>154</v>
      </c>
      <c r="J178" s="190">
        <v>0</v>
      </c>
    </row>
    <row r="179" spans="2:10" s="124" customFormat="1" ht="45" x14ac:dyDescent="0.25">
      <c r="B179" s="137"/>
      <c r="C179" s="175" t="s">
        <v>228</v>
      </c>
      <c r="E179" s="175" t="s">
        <v>229</v>
      </c>
      <c r="F179" s="188">
        <f>VLOOKUP(C179,'CMD Timing and Current'!$A$2:$I$96,9,FALSE)</f>
        <v>8.2500000000000004E-3</v>
      </c>
      <c r="G179" s="188">
        <f>VLOOKUP(C179,'CMD Timing and Current'!$A$2:$I$96,6,FALSE)</f>
        <v>8.2399999999999997E-5</v>
      </c>
      <c r="H179" s="189">
        <f t="shared" si="16"/>
        <v>6.7980000000000004E-7</v>
      </c>
      <c r="I179" s="190" t="s">
        <v>230</v>
      </c>
      <c r="J179" s="190">
        <v>0</v>
      </c>
    </row>
    <row r="180" spans="2:10" s="124" customFormat="1" x14ac:dyDescent="0.25">
      <c r="B180" s="137"/>
      <c r="C180" s="175" t="s">
        <v>231</v>
      </c>
      <c r="E180" s="175" t="s">
        <v>44</v>
      </c>
      <c r="F180" s="188">
        <f>VLOOKUP(C180,'CMD Timing and Current'!$A$2:$I$96,9,FALSE)</f>
        <v>8.2500000000000004E-3</v>
      </c>
      <c r="G180" s="188">
        <f>VLOOKUP(C180,'CMD Timing and Current'!$A$2:$I$96,6,FALSE)</f>
        <v>8.2399999999999997E-5</v>
      </c>
      <c r="H180" s="189">
        <f t="shared" si="16"/>
        <v>6.7980000000000004E-7</v>
      </c>
      <c r="I180" s="190" t="s">
        <v>232</v>
      </c>
      <c r="J180" s="190">
        <v>0</v>
      </c>
    </row>
    <row r="181" spans="2:10" s="124" customFormat="1" x14ac:dyDescent="0.25">
      <c r="B181" s="137"/>
      <c r="C181" s="175" t="s">
        <v>233</v>
      </c>
      <c r="E181" s="175"/>
      <c r="F181" s="188">
        <f>VLOOKUP(C181,'CMD Timing and Current'!$A$2:$I$96,9,FALSE)</f>
        <v>8.2500000000000004E-3</v>
      </c>
      <c r="G181" s="188">
        <f>VLOOKUP(C181,'CMD Timing and Current'!$A$2:$I$96,6,FALSE)</f>
        <v>8.2399999999999997E-5</v>
      </c>
      <c r="H181" s="189">
        <f t="shared" si="16"/>
        <v>6.7980000000000004E-7</v>
      </c>
      <c r="I181" s="190" t="s">
        <v>234</v>
      </c>
      <c r="J181" s="190">
        <v>0</v>
      </c>
    </row>
    <row r="182" spans="2:10" s="124" customFormat="1" x14ac:dyDescent="0.25">
      <c r="B182" s="137"/>
      <c r="C182" s="175" t="s">
        <v>235</v>
      </c>
      <c r="E182" s="175"/>
      <c r="F182" s="188">
        <f>VLOOKUP(C182,'CMD Timing and Current'!$A$2:$I$96,9,FALSE)</f>
        <v>8.2500000000000004E-3</v>
      </c>
      <c r="G182" s="188">
        <f>VLOOKUP(C182,'CMD Timing and Current'!$A$2:$I$96,6,FALSE)</f>
        <v>8.2399999999999997E-5</v>
      </c>
      <c r="H182" s="189">
        <f t="shared" si="16"/>
        <v>6.7980000000000004E-7</v>
      </c>
      <c r="I182" s="190" t="s">
        <v>236</v>
      </c>
      <c r="J182" s="190">
        <v>0</v>
      </c>
    </row>
    <row r="183" spans="2:10" s="124" customFormat="1" x14ac:dyDescent="0.25">
      <c r="B183" s="137"/>
      <c r="C183" s="175" t="s">
        <v>237</v>
      </c>
      <c r="D183" s="126"/>
      <c r="E183" s="175"/>
      <c r="F183" s="188">
        <f>VLOOKUP(C183,'CMD Timing and Current'!$A$2:$I$96,9,FALSE)</f>
        <v>8.2500000000000004E-3</v>
      </c>
      <c r="G183" s="188">
        <f>VLOOKUP(C183,'CMD Timing and Current'!$A$2:$I$96,6,FALSE)</f>
        <v>8.2399999999999997E-5</v>
      </c>
      <c r="H183" s="189">
        <f t="shared" si="16"/>
        <v>6.7980000000000004E-7</v>
      </c>
      <c r="I183" s="190" t="s">
        <v>238</v>
      </c>
      <c r="J183" s="190">
        <v>0</v>
      </c>
    </row>
    <row r="184" spans="2:10" x14ac:dyDescent="0.25">
      <c r="B184" s="138"/>
      <c r="C184" s="72" t="s">
        <v>160</v>
      </c>
      <c r="D184" s="169"/>
      <c r="E184" s="72"/>
      <c r="F184" s="161">
        <f>VLOOKUP(C184,'CMD Timing and Current'!$A$2:$I$96,9,FALSE)</f>
        <v>8.2500000000000004E-3</v>
      </c>
      <c r="G184" s="157">
        <f>VLOOKUP(C184,'CMD Timing and Current'!$A$2:$I$96,6,FALSE)</f>
        <v>4.0800000000000002E-5</v>
      </c>
      <c r="H184" s="162">
        <f t="shared" ref="H184" si="20">F184*G184</f>
        <v>3.3660000000000004E-7</v>
      </c>
      <c r="I184" s="8" t="s">
        <v>161</v>
      </c>
      <c r="J184" s="190">
        <v>0</v>
      </c>
    </row>
    <row r="185" spans="2:10" ht="15.75" thickBot="1" x14ac:dyDescent="0.3">
      <c r="B185" s="139" t="str">
        <f>_xlfn.CONCAT(E151:E184)</f>
        <v>SM12-SM15-SM8-SM12-SM18-SM20-SM14-</v>
      </c>
      <c r="C185" s="164"/>
      <c r="D185" s="164"/>
      <c r="E185" s="164" t="s">
        <v>146</v>
      </c>
      <c r="F185" s="165"/>
      <c r="G185" s="151">
        <f>SUM(G151:G184)</f>
        <v>2.0163999999999998E-2</v>
      </c>
      <c r="H185" s="166">
        <f>SUM(H151:H184)/G185</f>
        <v>9.7187145407657194E-4</v>
      </c>
      <c r="I185" s="159"/>
      <c r="J185" s="159">
        <f>SUM(J151:J184)</f>
        <v>0</v>
      </c>
    </row>
    <row r="186" spans="2:10" ht="15.75" thickBot="1" x14ac:dyDescent="0.3">
      <c r="B186" s="72"/>
      <c r="C186" s="127"/>
      <c r="D186" s="72"/>
      <c r="E186" s="72"/>
      <c r="F186" s="72"/>
      <c r="G186" s="72"/>
      <c r="H186" s="72"/>
    </row>
    <row r="187" spans="2:10" ht="30" x14ac:dyDescent="0.25">
      <c r="B187" s="237" t="s">
        <v>239</v>
      </c>
      <c r="C187" s="153"/>
      <c r="D187" s="90" t="s">
        <v>148</v>
      </c>
      <c r="E187" s="154"/>
      <c r="F187" s="154"/>
      <c r="G187" s="154"/>
      <c r="H187" s="155"/>
    </row>
    <row r="188" spans="2:10" x14ac:dyDescent="0.25">
      <c r="B188" s="136" t="s">
        <v>126</v>
      </c>
      <c r="C188" s="72" t="s">
        <v>127</v>
      </c>
      <c r="D188" s="8" t="s">
        <v>128</v>
      </c>
      <c r="E188" s="72" t="s">
        <v>129</v>
      </c>
      <c r="F188" s="72" t="s">
        <v>130</v>
      </c>
      <c r="G188" s="72" t="s">
        <v>131</v>
      </c>
      <c r="H188" s="156" t="s">
        <v>68</v>
      </c>
      <c r="J188" s="8" t="s">
        <v>132</v>
      </c>
    </row>
    <row r="189" spans="2:10" x14ac:dyDescent="0.25">
      <c r="B189" s="140"/>
      <c r="C189" s="8" t="s">
        <v>149</v>
      </c>
      <c r="D189" s="169"/>
      <c r="F189" s="157">
        <f>VLOOKUP(C189,'CMD Timing and Current'!$A$2:$I$96,9,FALSE)</f>
        <v>8.2500000000000004E-3</v>
      </c>
      <c r="G189" s="157">
        <f>VLOOKUP(C189,'CMD Timing and Current'!$A$2:$I$96,6,FALSE)</f>
        <v>4.0800000000000002E-5</v>
      </c>
      <c r="H189" s="158">
        <f t="shared" ref="H189:H196" si="21">F189*G189</f>
        <v>3.3660000000000004E-7</v>
      </c>
      <c r="I189" s="159" t="s">
        <v>150</v>
      </c>
      <c r="J189" s="159">
        <f>J14</f>
        <v>0</v>
      </c>
    </row>
    <row r="190" spans="2:10" x14ac:dyDescent="0.25">
      <c r="B190" s="142" t="s">
        <v>152</v>
      </c>
      <c r="C190" s="72" t="s">
        <v>153</v>
      </c>
      <c r="E190" s="72" t="s">
        <v>43</v>
      </c>
      <c r="F190" s="157">
        <f>VLOOKUP(C190,'CMD Timing and Current'!$A$2:$I$96,9,FALSE)</f>
        <v>8.2500000000000004E-3</v>
      </c>
      <c r="G190" s="157">
        <f>VLOOKUP(C190,'CMD Timing and Current'!$A$2:$I$96,6,FALSE)</f>
        <v>8.2399999999999997E-5</v>
      </c>
      <c r="H190" s="158">
        <f t="shared" si="21"/>
        <v>6.7980000000000004E-7</v>
      </c>
      <c r="I190" s="159" t="s">
        <v>154</v>
      </c>
      <c r="J190" s="159">
        <f>J15</f>
        <v>0</v>
      </c>
    </row>
    <row r="191" spans="2:10" x14ac:dyDescent="0.25">
      <c r="B191" s="142" t="s">
        <v>152</v>
      </c>
      <c r="C191" s="72" t="s">
        <v>155</v>
      </c>
      <c r="E191" s="72"/>
      <c r="F191" s="157">
        <f>VLOOKUP(C191,'CMD Timing and Current'!$A$2:$I$96,9,FALSE)</f>
        <v>8.2500000000000004E-3</v>
      </c>
      <c r="G191" s="157">
        <f>VLOOKUP(C191,'CMD Timing and Current'!$A$2:$I$96,6,FALSE)</f>
        <v>8.2399999999999997E-5</v>
      </c>
      <c r="H191" s="158">
        <f t="shared" si="21"/>
        <v>6.7980000000000004E-7</v>
      </c>
      <c r="I191" s="159" t="s">
        <v>154</v>
      </c>
      <c r="J191" s="159">
        <f>J16</f>
        <v>0</v>
      </c>
    </row>
    <row r="192" spans="2:10" x14ac:dyDescent="0.25">
      <c r="B192" s="142" t="s">
        <v>152</v>
      </c>
      <c r="C192" s="72" t="s">
        <v>156</v>
      </c>
      <c r="E192" s="72"/>
      <c r="F192" s="157">
        <f>VLOOKUP(C192,'CMD Timing and Current'!$A$2:$I$96,9,FALSE)</f>
        <v>8.2500000000000004E-3</v>
      </c>
      <c r="G192" s="157">
        <f>VLOOKUP(C192,'CMD Timing and Current'!$A$2:$I$96,6,FALSE)</f>
        <v>8.2399999999999997E-5</v>
      </c>
      <c r="H192" s="158">
        <f t="shared" si="21"/>
        <v>6.7980000000000004E-7</v>
      </c>
      <c r="I192" s="159" t="s">
        <v>154</v>
      </c>
      <c r="J192" s="159">
        <f>J17</f>
        <v>0</v>
      </c>
    </row>
    <row r="193" spans="2:10" x14ac:dyDescent="0.25">
      <c r="B193" s="142" t="s">
        <v>152</v>
      </c>
      <c r="C193" s="72" t="s">
        <v>157</v>
      </c>
      <c r="E193" s="72"/>
      <c r="F193" s="157">
        <f>VLOOKUP(C193,'CMD Timing and Current'!$A$2:$I$96,9,FALSE)</f>
        <v>8.2500000000000004E-3</v>
      </c>
      <c r="G193" s="157">
        <f>VLOOKUP(C193,'CMD Timing and Current'!$A$2:$I$96,6,FALSE)</f>
        <v>8.2399999999999997E-5</v>
      </c>
      <c r="H193" s="158">
        <f t="shared" si="21"/>
        <v>6.7980000000000004E-7</v>
      </c>
      <c r="I193" s="159" t="s">
        <v>154</v>
      </c>
      <c r="J193" s="159">
        <f t="shared" ref="J193:J196" si="22">J19</f>
        <v>0</v>
      </c>
    </row>
    <row r="194" spans="2:10" x14ac:dyDescent="0.25">
      <c r="B194" s="142" t="s">
        <v>152</v>
      </c>
      <c r="C194" s="72" t="s">
        <v>158</v>
      </c>
      <c r="E194" s="72"/>
      <c r="F194" s="157">
        <f>VLOOKUP(C194,'CMD Timing and Current'!$A$2:$I$96,9,FALSE)</f>
        <v>8.2500000000000004E-3</v>
      </c>
      <c r="G194" s="157">
        <f>VLOOKUP(C194,'CMD Timing and Current'!$A$2:$I$96,6,FALSE)</f>
        <v>8.2399999999999997E-5</v>
      </c>
      <c r="H194" s="158">
        <f t="shared" si="21"/>
        <v>6.7980000000000004E-7</v>
      </c>
      <c r="I194" s="159" t="s">
        <v>154</v>
      </c>
      <c r="J194" s="159">
        <f t="shared" si="22"/>
        <v>0</v>
      </c>
    </row>
    <row r="195" spans="2:10" x14ac:dyDescent="0.25">
      <c r="B195" s="142" t="s">
        <v>152</v>
      </c>
      <c r="C195" s="72" t="s">
        <v>159</v>
      </c>
      <c r="E195" s="72"/>
      <c r="F195" s="157">
        <f>VLOOKUP(C195,'CMD Timing and Current'!$A$2:$I$96,9,FALSE)</f>
        <v>8.2500000000000004E-3</v>
      </c>
      <c r="G195" s="157">
        <f>VLOOKUP(C195,'CMD Timing and Current'!$A$2:$I$96,6,FALSE)</f>
        <v>8.2399999999999997E-5</v>
      </c>
      <c r="H195" s="158">
        <f t="shared" si="21"/>
        <v>6.7980000000000004E-7</v>
      </c>
      <c r="I195" s="159" t="s">
        <v>154</v>
      </c>
      <c r="J195" s="159">
        <f t="shared" si="22"/>
        <v>0</v>
      </c>
    </row>
    <row r="196" spans="2:10" x14ac:dyDescent="0.25">
      <c r="B196" s="138"/>
      <c r="C196" s="127" t="s">
        <v>160</v>
      </c>
      <c r="D196" s="169"/>
      <c r="E196" s="72"/>
      <c r="F196" s="157">
        <f>VLOOKUP(C196,'CMD Timing and Current'!$A$2:$I$96,9,FALSE)</f>
        <v>8.2500000000000004E-3</v>
      </c>
      <c r="G196" s="157">
        <f>VLOOKUP(C196,'CMD Timing and Current'!$A$2:$I$96,6,FALSE)</f>
        <v>4.0800000000000002E-5</v>
      </c>
      <c r="H196" s="158">
        <f t="shared" si="21"/>
        <v>3.3660000000000004E-7</v>
      </c>
      <c r="I196" s="159" t="s">
        <v>161</v>
      </c>
      <c r="J196" s="159">
        <f t="shared" si="22"/>
        <v>0</v>
      </c>
    </row>
    <row r="197" spans="2:10" ht="15.75" thickBot="1" x14ac:dyDescent="0.3">
      <c r="B197" s="139" t="str">
        <f>_xlfn.CONCAT(E189:E196)</f>
        <v>SM12-</v>
      </c>
      <c r="C197" s="164"/>
      <c r="D197" s="164"/>
      <c r="E197" s="164" t="s">
        <v>146</v>
      </c>
      <c r="F197" s="165"/>
      <c r="G197" s="151">
        <f>SUM(G189:G196)</f>
        <v>5.7600000000000001E-4</v>
      </c>
      <c r="H197" s="166">
        <f>SUM(H189:H196)/G197</f>
        <v>8.2500000000000004E-3</v>
      </c>
      <c r="I197" s="159"/>
      <c r="J197" s="159">
        <f>SUM(_xlfn.ANCHORARRAY(J189))</f>
        <v>0</v>
      </c>
    </row>
    <row r="198" spans="2:10" ht="15.75" thickBot="1" x14ac:dyDescent="0.3">
      <c r="B198" s="72"/>
      <c r="C198" s="127"/>
      <c r="D198" s="72"/>
      <c r="E198" s="72"/>
      <c r="F198" s="72"/>
      <c r="G198" s="72">
        <f>G243+G388+G408</f>
        <v>1.0246400000000001E-2</v>
      </c>
      <c r="H198" s="72"/>
    </row>
    <row r="199" spans="2:10" ht="30" x14ac:dyDescent="0.25">
      <c r="B199" s="237" t="s">
        <v>240</v>
      </c>
      <c r="C199" s="153"/>
      <c r="D199" s="90" t="s">
        <v>148</v>
      </c>
      <c r="E199" s="154"/>
      <c r="F199" s="154"/>
      <c r="G199" s="154"/>
      <c r="H199" s="155"/>
    </row>
    <row r="200" spans="2:10" x14ac:dyDescent="0.25">
      <c r="B200" s="136" t="s">
        <v>126</v>
      </c>
      <c r="C200" s="72" t="s">
        <v>127</v>
      </c>
      <c r="D200" s="8" t="s">
        <v>128</v>
      </c>
      <c r="E200" s="72" t="s">
        <v>129</v>
      </c>
      <c r="F200" s="72" t="s">
        <v>130</v>
      </c>
      <c r="G200" s="72" t="s">
        <v>131</v>
      </c>
      <c r="H200" s="156" t="s">
        <v>68</v>
      </c>
      <c r="J200" s="8" t="s">
        <v>132</v>
      </c>
    </row>
    <row r="201" spans="2:10" x14ac:dyDescent="0.25">
      <c r="B201" s="137"/>
      <c r="C201" s="167" t="s">
        <v>149</v>
      </c>
      <c r="E201" s="72"/>
      <c r="F201" s="157">
        <f>VLOOKUP(C201,'CMD Timing and Current'!$A$2:$I$96,9,FALSE)</f>
        <v>8.2500000000000004E-3</v>
      </c>
      <c r="G201" s="157">
        <f>VLOOKUP(C201,'CMD Timing and Current'!$A$2:$I$96,6,FALSE)</f>
        <v>4.0800000000000002E-5</v>
      </c>
      <c r="H201" s="158">
        <f>F201*G201</f>
        <v>3.3660000000000004E-7</v>
      </c>
      <c r="I201" s="159" t="s">
        <v>150</v>
      </c>
      <c r="J201" s="159" cm="1">
        <f t="array" ref="J201:J202">J47:J48</f>
        <v>0</v>
      </c>
    </row>
    <row r="202" spans="2:10" x14ac:dyDescent="0.25">
      <c r="B202" s="137"/>
      <c r="C202" s="168" t="s">
        <v>163</v>
      </c>
      <c r="F202" s="157">
        <f>VLOOKUP(C202,'CMD Timing and Current'!$A$2:$I$96,9,FALSE)</f>
        <v>8.2500000000000004E-3</v>
      </c>
      <c r="G202" s="157">
        <f>VLOOKUP(C202,'CMD Timing and Current'!$A$2:$I$96,6,FALSE)</f>
        <v>4.0800000000000002E-5</v>
      </c>
      <c r="H202" s="158">
        <f>F202*G202</f>
        <v>3.3660000000000004E-7</v>
      </c>
      <c r="I202" s="159" t="s">
        <v>164</v>
      </c>
      <c r="J202" s="159">
        <v>0</v>
      </c>
    </row>
    <row r="203" spans="2:10" ht="15.75" thickBot="1" x14ac:dyDescent="0.3">
      <c r="B203" s="139" t="str">
        <f>_xlfn.CONCAT(E201:E202)</f>
        <v/>
      </c>
      <c r="C203" s="164"/>
      <c r="D203" s="164"/>
      <c r="E203" s="164" t="s">
        <v>146</v>
      </c>
      <c r="F203" s="165"/>
      <c r="G203" s="151">
        <f>SUM(G201:G202)</f>
        <v>8.1600000000000005E-5</v>
      </c>
      <c r="H203" s="166">
        <f>SUM(H201:H202)/G203</f>
        <v>8.2500000000000004E-3</v>
      </c>
      <c r="I203" s="159"/>
      <c r="J203" s="159">
        <f>SUM(_xlfn.ANCHORARRAY(J201))</f>
        <v>0</v>
      </c>
    </row>
    <row r="204" spans="2:10" ht="15.75" thickBot="1" x14ac:dyDescent="0.3">
      <c r="B204" s="72"/>
      <c r="C204" s="127"/>
      <c r="D204" s="72"/>
      <c r="E204" s="72"/>
      <c r="F204" s="72"/>
      <c r="G204" s="72"/>
      <c r="H204" s="72"/>
    </row>
    <row r="205" spans="2:10" ht="30" x14ac:dyDescent="0.25">
      <c r="B205" s="237" t="s">
        <v>241</v>
      </c>
      <c r="C205" s="153"/>
      <c r="D205" s="90" t="s">
        <v>148</v>
      </c>
      <c r="E205" s="154"/>
      <c r="F205" s="154"/>
      <c r="G205" s="154"/>
      <c r="H205" s="155"/>
    </row>
    <row r="206" spans="2:10" x14ac:dyDescent="0.25">
      <c r="B206" s="136" t="s">
        <v>126</v>
      </c>
      <c r="C206" s="72" t="s">
        <v>127</v>
      </c>
      <c r="D206" s="8" t="s">
        <v>128</v>
      </c>
      <c r="E206" s="72" t="s">
        <v>129</v>
      </c>
      <c r="F206" s="72" t="s">
        <v>130</v>
      </c>
      <c r="G206" s="72" t="s">
        <v>131</v>
      </c>
      <c r="H206" s="156" t="s">
        <v>68</v>
      </c>
      <c r="J206" s="8" t="s">
        <v>132</v>
      </c>
    </row>
    <row r="207" spans="2:10" x14ac:dyDescent="0.25">
      <c r="B207" s="138" t="s">
        <v>165</v>
      </c>
      <c r="C207" s="167" t="s">
        <v>166</v>
      </c>
      <c r="E207" s="72"/>
      <c r="F207" s="157"/>
      <c r="G207" s="157">
        <f>G49</f>
        <v>2.2000000000000001E-3</v>
      </c>
      <c r="H207" s="158"/>
      <c r="I207" s="159" t="s">
        <v>167</v>
      </c>
      <c r="J207" s="159">
        <f>J49</f>
        <v>0</v>
      </c>
    </row>
    <row r="208" spans="2:10" ht="15.75" thickBot="1" x14ac:dyDescent="0.3">
      <c r="B208" s="139" t="str">
        <f>_xlfn.CONCAT(E207:E207)</f>
        <v/>
      </c>
      <c r="C208" s="164"/>
      <c r="D208" s="164"/>
      <c r="E208" s="164" t="s">
        <v>146</v>
      </c>
      <c r="F208" s="165"/>
      <c r="G208" s="151">
        <f>SUM(G207:G207)</f>
        <v>2.2000000000000001E-3</v>
      </c>
      <c r="H208" s="166">
        <f>SUM(H207:H207)/IF(G208=0,1,G208)</f>
        <v>0</v>
      </c>
      <c r="I208" s="159"/>
      <c r="J208" s="159">
        <f>SUM(J207)</f>
        <v>0</v>
      </c>
    </row>
    <row r="209" spans="2:10" ht="15.75" thickBot="1" x14ac:dyDescent="0.3">
      <c r="B209" s="72"/>
      <c r="C209" s="127"/>
      <c r="D209" s="72"/>
      <c r="E209" s="72"/>
      <c r="F209" s="72"/>
      <c r="G209" s="72"/>
      <c r="H209" s="72"/>
    </row>
    <row r="210" spans="2:10" ht="30" x14ac:dyDescent="0.25">
      <c r="B210" s="237" t="s">
        <v>242</v>
      </c>
      <c r="C210" s="153"/>
      <c r="D210" s="90" t="s">
        <v>148</v>
      </c>
      <c r="E210" s="154"/>
      <c r="F210" s="154"/>
      <c r="G210" s="154"/>
      <c r="H210" s="155"/>
    </row>
    <row r="211" spans="2:10" x14ac:dyDescent="0.25">
      <c r="B211" s="136"/>
      <c r="C211" s="72" t="s">
        <v>127</v>
      </c>
      <c r="D211" s="8" t="s">
        <v>128</v>
      </c>
      <c r="E211" s="72" t="s">
        <v>129</v>
      </c>
      <c r="F211" s="72" t="s">
        <v>130</v>
      </c>
      <c r="G211" s="72" t="s">
        <v>131</v>
      </c>
      <c r="H211" s="156" t="s">
        <v>68</v>
      </c>
      <c r="J211" s="8" t="s">
        <v>132</v>
      </c>
    </row>
    <row r="212" spans="2:10" x14ac:dyDescent="0.25">
      <c r="B212" s="130" t="s">
        <v>243</v>
      </c>
      <c r="C212" s="129" t="s">
        <v>169</v>
      </c>
      <c r="D212" s="169"/>
      <c r="F212" s="157">
        <f>VLOOKUP(C212,'CMD Timing and Current'!$A$2:$I$96,9,FALSE)</f>
        <v>8.2500000000000004E-3</v>
      </c>
      <c r="G212" s="157">
        <f>VLOOKUP(C212,'CMD Timing and Current'!$A$2:$I$96,6,FALSE)</f>
        <v>8.2399999999999997E-5</v>
      </c>
      <c r="H212" s="158">
        <f t="shared" ref="H212:H213" si="23">F212*G212</f>
        <v>6.7980000000000004E-7</v>
      </c>
      <c r="I212" s="159" t="s">
        <v>170</v>
      </c>
      <c r="J212" s="159" cm="1">
        <f t="array" ref="J212:J213">J50:J51</f>
        <v>0</v>
      </c>
    </row>
    <row r="213" spans="2:10" x14ac:dyDescent="0.25">
      <c r="B213" s="137"/>
      <c r="C213" s="129" t="s">
        <v>160</v>
      </c>
      <c r="F213" s="157">
        <f>VLOOKUP(C213,'CMD Timing and Current'!$A$2:$I$96,9,FALSE)</f>
        <v>8.2500000000000004E-3</v>
      </c>
      <c r="G213" s="157">
        <f>VLOOKUP(C213,'CMD Timing and Current'!$A$2:$I$96,6,FALSE)</f>
        <v>4.0800000000000002E-5</v>
      </c>
      <c r="H213" s="158">
        <f t="shared" si="23"/>
        <v>3.3660000000000004E-7</v>
      </c>
      <c r="I213" s="159" t="s">
        <v>161</v>
      </c>
      <c r="J213" s="159">
        <v>0</v>
      </c>
    </row>
    <row r="214" spans="2:10" ht="15.75" thickBot="1" x14ac:dyDescent="0.3">
      <c r="B214" s="139" t="str">
        <f>_xlfn.CONCAT(E212:E213)</f>
        <v/>
      </c>
      <c r="C214" s="164"/>
      <c r="D214" s="164"/>
      <c r="E214" s="164" t="s">
        <v>146</v>
      </c>
      <c r="F214" s="165"/>
      <c r="G214" s="151">
        <f>SUM(G212:G213)</f>
        <v>1.2320000000000001E-4</v>
      </c>
      <c r="H214" s="166">
        <f>SUM(H212:H213)/G214</f>
        <v>8.2500000000000004E-3</v>
      </c>
      <c r="I214" s="159"/>
      <c r="J214" s="159">
        <f>SUM(_xlfn.ANCHORARRAY(J212))</f>
        <v>0</v>
      </c>
    </row>
    <row r="215" spans="2:10" ht="15.75" thickBot="1" x14ac:dyDescent="0.3">
      <c r="B215" s="72"/>
      <c r="C215" s="127"/>
      <c r="D215" s="72"/>
      <c r="E215" s="72"/>
      <c r="F215" s="72"/>
      <c r="G215" s="72"/>
      <c r="H215" s="72"/>
    </row>
    <row r="216" spans="2:10" ht="30" x14ac:dyDescent="0.25">
      <c r="B216" s="237" t="s">
        <v>244</v>
      </c>
      <c r="C216" s="153"/>
      <c r="D216" s="90" t="s">
        <v>148</v>
      </c>
      <c r="E216" s="154"/>
      <c r="F216" s="154"/>
      <c r="G216" s="154"/>
      <c r="H216" s="155"/>
    </row>
    <row r="217" spans="2:10" x14ac:dyDescent="0.25">
      <c r="B217" s="136"/>
      <c r="C217" s="72" t="s">
        <v>127</v>
      </c>
      <c r="D217" s="8" t="s">
        <v>128</v>
      </c>
      <c r="E217" s="72" t="s">
        <v>129</v>
      </c>
      <c r="F217" s="72" t="s">
        <v>130</v>
      </c>
      <c r="G217" s="72" t="s">
        <v>131</v>
      </c>
      <c r="H217" s="156" t="s">
        <v>68</v>
      </c>
      <c r="J217" s="8" t="s">
        <v>132</v>
      </c>
    </row>
    <row r="218" spans="2:10" ht="45" x14ac:dyDescent="0.25">
      <c r="B218" s="130" t="s">
        <v>245</v>
      </c>
      <c r="C218" s="129" t="s">
        <v>169</v>
      </c>
      <c r="D218" s="169"/>
      <c r="E218" s="169" t="s">
        <v>39</v>
      </c>
      <c r="F218" s="157">
        <f>VLOOKUP(C218,'CMD Timing and Current'!$A$2:$I$96,9,FALSE)</f>
        <v>8.2500000000000004E-3</v>
      </c>
      <c r="G218" s="157">
        <f>VLOOKUP(C218,'CMD Timing and Current'!$A$2:$I$96,6,FALSE)</f>
        <v>8.2399999999999997E-5</v>
      </c>
      <c r="H218" s="158">
        <f t="shared" ref="H218" si="24">F218*G218</f>
        <v>6.7980000000000004E-7</v>
      </c>
      <c r="I218" s="159" t="s">
        <v>170</v>
      </c>
      <c r="J218" s="159">
        <f>$J$52</f>
        <v>0</v>
      </c>
    </row>
    <row r="219" spans="2:10" ht="15.75" thickBot="1" x14ac:dyDescent="0.3">
      <c r="B219" s="139" t="str">
        <f>_xlfn.CONCAT(E218)</f>
        <v>SM6-</v>
      </c>
      <c r="C219" s="164"/>
      <c r="D219" s="164"/>
      <c r="E219" s="164" t="s">
        <v>146</v>
      </c>
      <c r="F219" s="165"/>
      <c r="G219" s="151">
        <f>SUM(G218:G218)</f>
        <v>8.2399999999999997E-5</v>
      </c>
      <c r="H219" s="166">
        <f>SUM(H218:H218)/G219</f>
        <v>8.2500000000000004E-3</v>
      </c>
      <c r="I219" s="159"/>
      <c r="J219" s="159">
        <f>SUM(J218)</f>
        <v>0</v>
      </c>
    </row>
    <row r="220" spans="2:10" ht="15.75" thickBot="1" x14ac:dyDescent="0.3">
      <c r="B220" s="72"/>
      <c r="C220" s="127"/>
      <c r="D220" s="72"/>
      <c r="E220" s="72"/>
      <c r="F220" s="72"/>
      <c r="G220" s="72"/>
      <c r="H220" s="72"/>
    </row>
    <row r="221" spans="2:10" ht="30" x14ac:dyDescent="0.25">
      <c r="B221" s="237" t="s">
        <v>246</v>
      </c>
      <c r="C221" s="153"/>
      <c r="D221" s="90" t="s">
        <v>148</v>
      </c>
      <c r="E221" s="154"/>
      <c r="F221" s="154"/>
      <c r="G221" s="154"/>
      <c r="H221" s="155"/>
    </row>
    <row r="222" spans="2:10" x14ac:dyDescent="0.25">
      <c r="B222" s="136" t="s">
        <v>126</v>
      </c>
      <c r="C222" s="72" t="s">
        <v>127</v>
      </c>
      <c r="D222" s="8" t="s">
        <v>128</v>
      </c>
      <c r="E222" s="72" t="s">
        <v>129</v>
      </c>
      <c r="F222" s="72" t="s">
        <v>130</v>
      </c>
      <c r="G222" s="72" t="s">
        <v>131</v>
      </c>
      <c r="H222" s="156" t="s">
        <v>68</v>
      </c>
      <c r="J222" s="8" t="s">
        <v>132</v>
      </c>
    </row>
    <row r="223" spans="2:10" s="123" customFormat="1" x14ac:dyDescent="0.25">
      <c r="B223" s="143" t="s">
        <v>173</v>
      </c>
      <c r="C223" s="123" t="s">
        <v>166</v>
      </c>
      <c r="D223" s="169"/>
      <c r="F223" s="163"/>
      <c r="G223" s="163">
        <f>G53</f>
        <v>6.9367999999999999E-3</v>
      </c>
      <c r="H223" s="162"/>
      <c r="I223" s="171" t="s">
        <v>174</v>
      </c>
      <c r="J223" s="159">
        <f>J53</f>
        <v>0</v>
      </c>
    </row>
    <row r="224" spans="2:10" ht="15.75" thickBot="1" x14ac:dyDescent="0.3">
      <c r="B224" s="139" t="str">
        <f>_xlfn.CONCAT(E223:E223)</f>
        <v/>
      </c>
      <c r="C224" s="164"/>
      <c r="D224" s="164"/>
      <c r="E224" s="164" t="s">
        <v>146</v>
      </c>
      <c r="F224" s="165"/>
      <c r="G224" s="151">
        <f>SUM(G223:G223)</f>
        <v>6.9367999999999999E-3</v>
      </c>
      <c r="H224" s="166">
        <f>SUM(H223:H223)/IF(G224=0,1,G224)</f>
        <v>0</v>
      </c>
      <c r="I224" s="159"/>
      <c r="J224" s="159">
        <f>SUM(J223)</f>
        <v>0</v>
      </c>
    </row>
    <row r="225" spans="2:10" ht="15.75" thickBot="1" x14ac:dyDescent="0.3">
      <c r="B225" s="72"/>
      <c r="C225" s="127"/>
      <c r="D225" s="72"/>
      <c r="E225" s="72"/>
      <c r="F225" s="72"/>
      <c r="G225" s="72"/>
      <c r="H225" s="72"/>
    </row>
    <row r="226" spans="2:10" ht="30" x14ac:dyDescent="0.25">
      <c r="B226" s="237" t="s">
        <v>247</v>
      </c>
      <c r="C226" s="153"/>
      <c r="D226" s="90" t="s">
        <v>148</v>
      </c>
      <c r="E226" s="154"/>
      <c r="F226" s="154"/>
      <c r="G226" s="154"/>
      <c r="H226" s="155"/>
    </row>
    <row r="227" spans="2:10" x14ac:dyDescent="0.25">
      <c r="B227" s="136" t="s">
        <v>126</v>
      </c>
      <c r="C227" s="72" t="s">
        <v>127</v>
      </c>
      <c r="D227" s="8" t="s">
        <v>128</v>
      </c>
      <c r="E227" s="72" t="s">
        <v>129</v>
      </c>
      <c r="F227" s="72" t="s">
        <v>130</v>
      </c>
      <c r="G227" s="72" t="s">
        <v>131</v>
      </c>
      <c r="H227" s="156" t="s">
        <v>68</v>
      </c>
      <c r="J227" s="8" t="s">
        <v>132</v>
      </c>
    </row>
    <row r="228" spans="2:10" x14ac:dyDescent="0.25">
      <c r="B228" s="140"/>
      <c r="C228" s="8" t="s">
        <v>149</v>
      </c>
      <c r="D228" s="169"/>
      <c r="F228" s="157">
        <f>VLOOKUP(C228,'CMD Timing and Current'!$A$2:$I$96,9,FALSE)</f>
        <v>8.2500000000000004E-3</v>
      </c>
      <c r="G228" s="157">
        <f>VLOOKUP(C228,'CMD Timing and Current'!$A$2:$I$96,6,FALSE)</f>
        <v>4.0800000000000002E-5</v>
      </c>
      <c r="H228" s="158">
        <f t="shared" ref="H228" si="25">F228*G228</f>
        <v>3.3660000000000004E-7</v>
      </c>
      <c r="I228" s="159" t="s">
        <v>150</v>
      </c>
      <c r="J228" s="159">
        <f t="shared" ref="J228:J235" si="26">J54</f>
        <v>0</v>
      </c>
    </row>
    <row r="229" spans="2:10" x14ac:dyDescent="0.25">
      <c r="B229" s="142" t="s">
        <v>175</v>
      </c>
      <c r="C229" s="72" t="s">
        <v>153</v>
      </c>
      <c r="E229" s="72" t="s">
        <v>43</v>
      </c>
      <c r="F229" s="157">
        <f>VLOOKUP(C229,'CMD Timing and Current'!$A$2:$I$96,9,FALSE)</f>
        <v>8.2500000000000004E-3</v>
      </c>
      <c r="G229" s="157">
        <f>VLOOKUP(C229,'CMD Timing and Current'!$A$2:$I$96,6,FALSE)</f>
        <v>8.2399999999999997E-5</v>
      </c>
      <c r="H229" s="158">
        <f t="shared" ref="H229:H235" si="27">F229*G229</f>
        <v>6.7980000000000004E-7</v>
      </c>
      <c r="I229" s="159" t="s">
        <v>154</v>
      </c>
      <c r="J229" s="159">
        <f t="shared" si="26"/>
        <v>0</v>
      </c>
    </row>
    <row r="230" spans="2:10" x14ac:dyDescent="0.25">
      <c r="B230" s="142" t="s">
        <v>175</v>
      </c>
      <c r="C230" s="72" t="s">
        <v>155</v>
      </c>
      <c r="E230" s="72"/>
      <c r="F230" s="157">
        <f>VLOOKUP(C230,'CMD Timing and Current'!$A$2:$I$96,9,FALSE)</f>
        <v>8.2500000000000004E-3</v>
      </c>
      <c r="G230" s="157">
        <f>VLOOKUP(C230,'CMD Timing and Current'!$A$2:$I$96,6,FALSE)</f>
        <v>8.2399999999999997E-5</v>
      </c>
      <c r="H230" s="158">
        <f t="shared" si="27"/>
        <v>6.7980000000000004E-7</v>
      </c>
      <c r="I230" s="159" t="s">
        <v>154</v>
      </c>
      <c r="J230" s="159">
        <f t="shared" si="26"/>
        <v>0</v>
      </c>
    </row>
    <row r="231" spans="2:10" x14ac:dyDescent="0.25">
      <c r="B231" s="142" t="s">
        <v>175</v>
      </c>
      <c r="C231" s="72" t="s">
        <v>156</v>
      </c>
      <c r="E231" s="72"/>
      <c r="F231" s="157">
        <f>VLOOKUP(C231,'CMD Timing and Current'!$A$2:$I$96,9,FALSE)</f>
        <v>8.2500000000000004E-3</v>
      </c>
      <c r="G231" s="157">
        <f>VLOOKUP(C231,'CMD Timing and Current'!$A$2:$I$96,6,FALSE)</f>
        <v>8.2399999999999997E-5</v>
      </c>
      <c r="H231" s="158">
        <f t="shared" si="27"/>
        <v>6.7980000000000004E-7</v>
      </c>
      <c r="I231" s="159" t="s">
        <v>154</v>
      </c>
      <c r="J231" s="159">
        <f t="shared" si="26"/>
        <v>0</v>
      </c>
    </row>
    <row r="232" spans="2:10" x14ac:dyDescent="0.25">
      <c r="B232" s="142" t="s">
        <v>175</v>
      </c>
      <c r="C232" s="72" t="s">
        <v>157</v>
      </c>
      <c r="E232" s="72"/>
      <c r="F232" s="157">
        <f>VLOOKUP(C232,'CMD Timing and Current'!$A$2:$I$96,9,FALSE)</f>
        <v>8.2500000000000004E-3</v>
      </c>
      <c r="G232" s="157">
        <f>VLOOKUP(C232,'CMD Timing and Current'!$A$2:$I$96,6,FALSE)</f>
        <v>8.2399999999999997E-5</v>
      </c>
      <c r="H232" s="158">
        <f t="shared" si="27"/>
        <v>6.7980000000000004E-7</v>
      </c>
      <c r="I232" s="159" t="s">
        <v>154</v>
      </c>
      <c r="J232" s="159">
        <f t="shared" si="26"/>
        <v>0</v>
      </c>
    </row>
    <row r="233" spans="2:10" x14ac:dyDescent="0.25">
      <c r="B233" s="142" t="s">
        <v>175</v>
      </c>
      <c r="C233" s="72" t="s">
        <v>158</v>
      </c>
      <c r="E233" s="72"/>
      <c r="F233" s="157">
        <f>VLOOKUP(C233,'CMD Timing and Current'!$A$2:$I$96,9,FALSE)</f>
        <v>8.2500000000000004E-3</v>
      </c>
      <c r="G233" s="157">
        <f>VLOOKUP(C233,'CMD Timing and Current'!$A$2:$I$96,6,FALSE)</f>
        <v>8.2399999999999997E-5</v>
      </c>
      <c r="H233" s="158">
        <f t="shared" si="27"/>
        <v>6.7980000000000004E-7</v>
      </c>
      <c r="I233" s="159" t="s">
        <v>154</v>
      </c>
      <c r="J233" s="159">
        <f t="shared" si="26"/>
        <v>0</v>
      </c>
    </row>
    <row r="234" spans="2:10" x14ac:dyDescent="0.25">
      <c r="B234" s="142" t="s">
        <v>175</v>
      </c>
      <c r="C234" s="72" t="s">
        <v>159</v>
      </c>
      <c r="E234" s="72"/>
      <c r="F234" s="157">
        <f>VLOOKUP(C234,'CMD Timing and Current'!$A$2:$I$96,9,FALSE)</f>
        <v>8.2500000000000004E-3</v>
      </c>
      <c r="G234" s="157">
        <f>VLOOKUP(C234,'CMD Timing and Current'!$A$2:$I$96,6,FALSE)</f>
        <v>8.2399999999999997E-5</v>
      </c>
      <c r="H234" s="158">
        <f t="shared" si="27"/>
        <v>6.7980000000000004E-7</v>
      </c>
      <c r="I234" s="159" t="s">
        <v>154</v>
      </c>
      <c r="J234" s="159">
        <f t="shared" si="26"/>
        <v>0</v>
      </c>
    </row>
    <row r="235" spans="2:10" x14ac:dyDescent="0.25">
      <c r="B235" s="138"/>
      <c r="C235" s="127" t="s">
        <v>160</v>
      </c>
      <c r="D235" s="169"/>
      <c r="E235" s="72"/>
      <c r="F235" s="157">
        <f>VLOOKUP(C235,'CMD Timing and Current'!$A$2:$I$96,9,FALSE)</f>
        <v>8.2500000000000004E-3</v>
      </c>
      <c r="G235" s="157">
        <f>VLOOKUP(C235,'CMD Timing and Current'!$A$2:$I$96,6,FALSE)</f>
        <v>4.0800000000000002E-5</v>
      </c>
      <c r="H235" s="158">
        <f t="shared" si="27"/>
        <v>3.3660000000000004E-7</v>
      </c>
      <c r="I235" s="159" t="s">
        <v>161</v>
      </c>
      <c r="J235" s="159">
        <f t="shared" si="26"/>
        <v>0</v>
      </c>
    </row>
    <row r="236" spans="2:10" ht="15.75" thickBot="1" x14ac:dyDescent="0.3">
      <c r="B236" s="139" t="str">
        <f>_xlfn.CONCAT(E228:E235)</f>
        <v>SM12-</v>
      </c>
      <c r="C236" s="164"/>
      <c r="D236" s="164"/>
      <c r="E236" s="164" t="s">
        <v>146</v>
      </c>
      <c r="F236" s="165"/>
      <c r="G236" s="151">
        <f>SUM(G228:G235)</f>
        <v>5.7600000000000001E-4</v>
      </c>
      <c r="H236" s="166">
        <f>SUM(H228:H235)/G236</f>
        <v>8.2500000000000004E-3</v>
      </c>
      <c r="I236" s="159"/>
      <c r="J236" s="159">
        <f>SUM(_xlfn.ANCHORARRAY(J228))</f>
        <v>0</v>
      </c>
    </row>
    <row r="237" spans="2:10" ht="15.75" thickBot="1" x14ac:dyDescent="0.3">
      <c r="B237" s="72"/>
      <c r="C237" s="127"/>
      <c r="D237" s="72"/>
      <c r="E237" s="72"/>
      <c r="F237" s="72"/>
      <c r="G237" s="72"/>
      <c r="H237" s="72"/>
    </row>
    <row r="238" spans="2:10" ht="30" x14ac:dyDescent="0.25">
      <c r="B238" s="237" t="s">
        <v>248</v>
      </c>
      <c r="C238" s="153"/>
      <c r="D238" s="90" t="s">
        <v>148</v>
      </c>
      <c r="E238" s="154"/>
      <c r="F238" s="154"/>
      <c r="G238" s="154"/>
      <c r="H238" s="155"/>
    </row>
    <row r="239" spans="2:10" x14ac:dyDescent="0.25">
      <c r="B239" s="136" t="s">
        <v>126</v>
      </c>
      <c r="C239" s="72" t="s">
        <v>127</v>
      </c>
      <c r="D239" s="8" t="s">
        <v>128</v>
      </c>
      <c r="E239" s="72" t="s">
        <v>129</v>
      </c>
      <c r="F239" s="72" t="s">
        <v>130</v>
      </c>
      <c r="G239" s="72" t="s">
        <v>131</v>
      </c>
      <c r="H239" s="156" t="s">
        <v>68</v>
      </c>
      <c r="J239" s="8" t="s">
        <v>132</v>
      </c>
    </row>
    <row r="240" spans="2:10" s="124" customFormat="1" x14ac:dyDescent="0.25">
      <c r="B240" s="137"/>
      <c r="C240" s="187" t="s">
        <v>207</v>
      </c>
      <c r="E240" s="175"/>
      <c r="F240" s="188">
        <f>VLOOKUP(C240,'CMD Timing and Current'!$A$2:$I$96,9,FALSE)</f>
        <v>8.2500000000000004E-3</v>
      </c>
      <c r="G240" s="188">
        <f>VLOOKUP(C240,'CMD Timing and Current'!$A$2:$I$96,6,FALSE)</f>
        <v>4.0800000000000002E-5</v>
      </c>
      <c r="H240" s="189">
        <f>F240*G240</f>
        <v>3.3660000000000004E-7</v>
      </c>
      <c r="I240" s="190" t="s">
        <v>208</v>
      </c>
      <c r="J240" s="190" cm="1">
        <f t="array" ref="J240:J242">J151:J153</f>
        <v>0</v>
      </c>
    </row>
    <row r="241" spans="2:10" s="124" customFormat="1" x14ac:dyDescent="0.25">
      <c r="B241" s="137"/>
      <c r="C241" s="175" t="s">
        <v>209</v>
      </c>
      <c r="E241" s="175"/>
      <c r="F241" s="188">
        <f>VLOOKUP(C241,'CMD Timing and Current'!$A$2:$I$96,9,FALSE)</f>
        <v>1.1259999999999999E-2</v>
      </c>
      <c r="G241" s="188">
        <f>VLOOKUP(C241,'CMD Timing and Current'!$A$2:$I$96,6,FALSE)</f>
        <v>4.0800000000000002E-5</v>
      </c>
      <c r="H241" s="189">
        <f>F241*G241</f>
        <v>4.5940800000000001E-7</v>
      </c>
      <c r="I241" s="190" t="s">
        <v>210</v>
      </c>
      <c r="J241" s="190">
        <v>0</v>
      </c>
    </row>
    <row r="242" spans="2:10" s="124" customFormat="1" x14ac:dyDescent="0.25">
      <c r="B242" s="137"/>
      <c r="C242" s="175" t="s">
        <v>211</v>
      </c>
      <c r="D242" s="126"/>
      <c r="E242" s="175"/>
      <c r="F242" s="188">
        <f>VLOOKUP(C242,'CMD Timing and Current'!$A$2:$I$96,9,FALSE)</f>
        <v>1.1259999999999999E-2</v>
      </c>
      <c r="G242" s="188">
        <f>VLOOKUP(C242,'CMD Timing and Current'!$A$2:$I$96,6,FALSE)</f>
        <v>4.0800000000000002E-5</v>
      </c>
      <c r="H242" s="189">
        <f>F242*G242</f>
        <v>4.5940800000000001E-7</v>
      </c>
      <c r="I242" s="190" t="s">
        <v>212</v>
      </c>
      <c r="J242" s="190">
        <v>0</v>
      </c>
    </row>
    <row r="243" spans="2:10" ht="15.75" thickBot="1" x14ac:dyDescent="0.3">
      <c r="B243" s="139" t="str">
        <f>_xlfn.CONCAT(E240:E242)</f>
        <v/>
      </c>
      <c r="C243" s="164"/>
      <c r="D243" s="164"/>
      <c r="E243" s="164" t="s">
        <v>146</v>
      </c>
      <c r="F243" s="165"/>
      <c r="G243" s="151">
        <f>SUM(G240:G242)</f>
        <v>1.2239999999999999E-4</v>
      </c>
      <c r="H243" s="166">
        <f>SUM(H240:H242)/G243</f>
        <v>1.0256666666666667E-2</v>
      </c>
      <c r="I243" s="159"/>
      <c r="J243" s="159">
        <f>SUM(_xlfn.ANCHORARRAY(J240))</f>
        <v>0</v>
      </c>
    </row>
    <row r="244" spans="2:10" ht="15.75" thickBot="1" x14ac:dyDescent="0.3">
      <c r="B244" s="72"/>
      <c r="C244" s="127"/>
      <c r="D244" s="72"/>
      <c r="E244" s="72"/>
      <c r="F244" s="72"/>
      <c r="G244" s="72"/>
      <c r="H244" s="72"/>
    </row>
    <row r="245" spans="2:10" ht="30" x14ac:dyDescent="0.25">
      <c r="B245" s="237" t="s">
        <v>249</v>
      </c>
      <c r="C245" s="153"/>
      <c r="D245" s="90" t="s">
        <v>148</v>
      </c>
      <c r="E245" s="154"/>
      <c r="F245" s="154"/>
      <c r="G245" s="154"/>
      <c r="H245" s="155"/>
    </row>
    <row r="246" spans="2:10" x14ac:dyDescent="0.25">
      <c r="B246" s="136" t="s">
        <v>126</v>
      </c>
      <c r="C246" s="72" t="s">
        <v>127</v>
      </c>
      <c r="D246" s="8" t="s">
        <v>128</v>
      </c>
      <c r="E246" s="72" t="s">
        <v>129</v>
      </c>
      <c r="F246" s="72" t="s">
        <v>130</v>
      </c>
      <c r="G246" s="72" t="s">
        <v>131</v>
      </c>
      <c r="H246" s="156" t="s">
        <v>68</v>
      </c>
      <c r="J246" s="8" t="s">
        <v>132</v>
      </c>
    </row>
    <row r="247" spans="2:10" s="123" customFormat="1" x14ac:dyDescent="0.25">
      <c r="B247" s="130" t="s">
        <v>177</v>
      </c>
      <c r="C247" s="160" t="s">
        <v>178</v>
      </c>
      <c r="E247" s="160"/>
      <c r="F247" s="161">
        <f>VLOOKUP(C247,'CMD Timing and Current'!$A$2:$I$96,9,FALSE)</f>
        <v>1.1259999999999999E-2</v>
      </c>
      <c r="G247" s="157">
        <f>VLOOKUP(C247,'CMD Timing and Current'!$A$2:$I$96,6,FALSE)</f>
        <v>4.0800000000000002E-5</v>
      </c>
      <c r="H247" s="162">
        <f>F247*G247</f>
        <v>4.5940800000000001E-7</v>
      </c>
      <c r="I247" s="163" t="s">
        <v>179</v>
      </c>
      <c r="J247" s="163">
        <f>J66</f>
        <v>0</v>
      </c>
    </row>
    <row r="248" spans="2:10" ht="15.75" thickBot="1" x14ac:dyDescent="0.3">
      <c r="B248" s="139" t="str">
        <f>_xlfn.CONCAT(E247:E247)</f>
        <v/>
      </c>
      <c r="C248" s="164"/>
      <c r="D248" s="164"/>
      <c r="E248" s="164" t="s">
        <v>146</v>
      </c>
      <c r="F248" s="165"/>
      <c r="G248" s="151">
        <f>SUM(G247:G247)</f>
        <v>4.0800000000000002E-5</v>
      </c>
      <c r="H248" s="166">
        <f>SUM(H247:H247)/G248</f>
        <v>1.1259999999999999E-2</v>
      </c>
      <c r="I248" s="159"/>
      <c r="J248" s="159">
        <f>SUM(J247)</f>
        <v>0</v>
      </c>
    </row>
    <row r="249" spans="2:10" ht="15.75" thickBot="1" x14ac:dyDescent="0.3">
      <c r="B249" s="72"/>
      <c r="C249" s="127"/>
      <c r="D249" s="72"/>
      <c r="E249" s="72"/>
      <c r="F249" s="72"/>
      <c r="G249" s="72"/>
      <c r="H249" s="72"/>
    </row>
    <row r="250" spans="2:10" ht="30" x14ac:dyDescent="0.25">
      <c r="B250" s="237" t="s">
        <v>250</v>
      </c>
      <c r="C250" s="153"/>
      <c r="D250" s="90" t="s">
        <v>148</v>
      </c>
      <c r="E250" s="154"/>
      <c r="F250" s="154"/>
      <c r="G250" s="154"/>
      <c r="H250" s="155"/>
    </row>
    <row r="251" spans="2:10" x14ac:dyDescent="0.25">
      <c r="B251" s="136" t="s">
        <v>126</v>
      </c>
      <c r="C251" s="72" t="s">
        <v>127</v>
      </c>
      <c r="D251" s="8" t="s">
        <v>128</v>
      </c>
      <c r="E251" s="72" t="s">
        <v>129</v>
      </c>
      <c r="F251" s="72" t="s">
        <v>130</v>
      </c>
      <c r="G251" s="72" t="s">
        <v>131</v>
      </c>
      <c r="H251" s="156" t="s">
        <v>68</v>
      </c>
      <c r="J251" s="8" t="s">
        <v>132</v>
      </c>
    </row>
    <row r="252" spans="2:10" s="123" customFormat="1" x14ac:dyDescent="0.25">
      <c r="B252" s="143" t="s">
        <v>173</v>
      </c>
      <c r="C252" s="123" t="s">
        <v>166</v>
      </c>
      <c r="F252" s="163"/>
      <c r="G252" s="163">
        <f>G67</f>
        <v>9.2607999999999996E-3</v>
      </c>
      <c r="H252" s="162"/>
      <c r="I252" s="171" t="s">
        <v>174</v>
      </c>
      <c r="J252" s="163">
        <f>J67</f>
        <v>9.2607999999999996E-3</v>
      </c>
    </row>
    <row r="253" spans="2:10" ht="15.75" thickBot="1" x14ac:dyDescent="0.3">
      <c r="B253" s="139" t="str">
        <f>_xlfn.CONCAT(E252:E252)</f>
        <v/>
      </c>
      <c r="C253" s="164"/>
      <c r="D253" s="164"/>
      <c r="E253" s="164" t="s">
        <v>146</v>
      </c>
      <c r="F253" s="165"/>
      <c r="G253" s="151">
        <f>SUM(G252:G252)</f>
        <v>9.2607999999999996E-3</v>
      </c>
      <c r="H253" s="166">
        <f>SUM(H252:H252)/IF(G253=0,1,G253)</f>
        <v>0</v>
      </c>
      <c r="I253" s="159"/>
      <c r="J253" s="159">
        <f>SUM(J252)</f>
        <v>9.2607999999999996E-3</v>
      </c>
    </row>
    <row r="254" spans="2:10" ht="15.75" thickBot="1" x14ac:dyDescent="0.3">
      <c r="B254" s="72"/>
      <c r="C254" s="127"/>
      <c r="D254" s="72"/>
      <c r="E254" s="72"/>
      <c r="F254" s="72"/>
      <c r="G254" s="72"/>
      <c r="H254" s="72"/>
    </row>
    <row r="255" spans="2:10" ht="30" x14ac:dyDescent="0.25">
      <c r="B255" s="237" t="s">
        <v>251</v>
      </c>
      <c r="C255" s="153"/>
      <c r="D255" s="90" t="s">
        <v>148</v>
      </c>
      <c r="E255" s="154"/>
      <c r="F255" s="154"/>
      <c r="G255" s="154"/>
      <c r="H255" s="155"/>
    </row>
    <row r="256" spans="2:10" x14ac:dyDescent="0.25">
      <c r="B256" s="136" t="s">
        <v>126</v>
      </c>
      <c r="C256" s="72" t="s">
        <v>127</v>
      </c>
      <c r="D256" s="8" t="s">
        <v>128</v>
      </c>
      <c r="E256" s="72" t="s">
        <v>129</v>
      </c>
      <c r="F256" s="72" t="s">
        <v>130</v>
      </c>
      <c r="G256" s="72" t="s">
        <v>131</v>
      </c>
      <c r="H256" s="156" t="s">
        <v>68</v>
      </c>
      <c r="J256" s="8" t="s">
        <v>132</v>
      </c>
    </row>
    <row r="257" spans="2:10" x14ac:dyDescent="0.25">
      <c r="B257" s="137"/>
      <c r="C257" s="72" t="s">
        <v>149</v>
      </c>
      <c r="D257" s="169"/>
      <c r="E257" s="72"/>
      <c r="F257" s="157">
        <f>VLOOKUP(C257,'CMD Timing and Current'!$A$2:$I$96,9,FALSE)</f>
        <v>8.2500000000000004E-3</v>
      </c>
      <c r="G257" s="157">
        <f>VLOOKUP(C257,'CMD Timing and Current'!$A$2:$I$96,6,FALSE)</f>
        <v>4.0800000000000002E-5</v>
      </c>
      <c r="H257" s="158">
        <f t="shared" ref="H257:H264" si="28">F257*G257</f>
        <v>3.3660000000000004E-7</v>
      </c>
      <c r="I257" s="159" t="s">
        <v>150</v>
      </c>
      <c r="J257" s="163" cm="1">
        <f t="array" ref="J257:J264">J68:J75</f>
        <v>4.0800000000000002E-5</v>
      </c>
    </row>
    <row r="258" spans="2:10" x14ac:dyDescent="0.25">
      <c r="B258" s="142" t="s">
        <v>180</v>
      </c>
      <c r="C258" s="72" t="s">
        <v>153</v>
      </c>
      <c r="E258" s="72" t="s">
        <v>43</v>
      </c>
      <c r="F258" s="157">
        <f>VLOOKUP(C258,'CMD Timing and Current'!$A$2:$I$96,9,FALSE)</f>
        <v>8.2500000000000004E-3</v>
      </c>
      <c r="G258" s="157">
        <f>VLOOKUP(C258,'CMD Timing and Current'!$A$2:$I$96,6,FALSE)</f>
        <v>8.2399999999999997E-5</v>
      </c>
      <c r="H258" s="158">
        <f t="shared" si="28"/>
        <v>6.7980000000000004E-7</v>
      </c>
      <c r="I258" s="159" t="s">
        <v>154</v>
      </c>
      <c r="J258" s="163">
        <v>8.2399999999999997E-5</v>
      </c>
    </row>
    <row r="259" spans="2:10" x14ac:dyDescent="0.25">
      <c r="B259" s="142" t="s">
        <v>180</v>
      </c>
      <c r="C259" s="72" t="s">
        <v>155</v>
      </c>
      <c r="E259" s="72"/>
      <c r="F259" s="157">
        <f>VLOOKUP(C259,'CMD Timing and Current'!$A$2:$I$96,9,FALSE)</f>
        <v>8.2500000000000004E-3</v>
      </c>
      <c r="G259" s="157">
        <f>VLOOKUP(C259,'CMD Timing and Current'!$A$2:$I$96,6,FALSE)</f>
        <v>8.2399999999999997E-5</v>
      </c>
      <c r="H259" s="158">
        <f t="shared" si="28"/>
        <v>6.7980000000000004E-7</v>
      </c>
      <c r="I259" s="159" t="s">
        <v>154</v>
      </c>
      <c r="J259" s="163">
        <v>8.2399999999999997E-5</v>
      </c>
    </row>
    <row r="260" spans="2:10" x14ac:dyDescent="0.25">
      <c r="B260" s="142" t="s">
        <v>180</v>
      </c>
      <c r="C260" s="72" t="s">
        <v>156</v>
      </c>
      <c r="E260" s="72"/>
      <c r="F260" s="157">
        <f>VLOOKUP(C260,'CMD Timing and Current'!$A$2:$I$96,9,FALSE)</f>
        <v>8.2500000000000004E-3</v>
      </c>
      <c r="G260" s="157">
        <f>VLOOKUP(C260,'CMD Timing and Current'!$A$2:$I$96,6,FALSE)</f>
        <v>8.2399999999999997E-5</v>
      </c>
      <c r="H260" s="158">
        <f t="shared" si="28"/>
        <v>6.7980000000000004E-7</v>
      </c>
      <c r="I260" s="159" t="s">
        <v>154</v>
      </c>
      <c r="J260" s="163">
        <v>8.2399999999999997E-5</v>
      </c>
    </row>
    <row r="261" spans="2:10" x14ac:dyDescent="0.25">
      <c r="B261" s="142" t="s">
        <v>180</v>
      </c>
      <c r="C261" s="72" t="s">
        <v>157</v>
      </c>
      <c r="E261" s="72"/>
      <c r="F261" s="157">
        <f>VLOOKUP(C261,'CMD Timing and Current'!$A$2:$I$96,9,FALSE)</f>
        <v>8.2500000000000004E-3</v>
      </c>
      <c r="G261" s="157">
        <f>VLOOKUP(C261,'CMD Timing and Current'!$A$2:$I$96,6,FALSE)</f>
        <v>8.2399999999999997E-5</v>
      </c>
      <c r="H261" s="158">
        <f t="shared" si="28"/>
        <v>6.7980000000000004E-7</v>
      </c>
      <c r="I261" s="159" t="s">
        <v>154</v>
      </c>
      <c r="J261" s="163">
        <v>8.2399999999999997E-5</v>
      </c>
    </row>
    <row r="262" spans="2:10" x14ac:dyDescent="0.25">
      <c r="B262" s="142" t="s">
        <v>180</v>
      </c>
      <c r="C262" s="72" t="s">
        <v>158</v>
      </c>
      <c r="E262" s="72"/>
      <c r="F262" s="157">
        <f>VLOOKUP(C262,'CMD Timing and Current'!$A$2:$I$96,9,FALSE)</f>
        <v>8.2500000000000004E-3</v>
      </c>
      <c r="G262" s="157">
        <f>VLOOKUP(C262,'CMD Timing and Current'!$A$2:$I$96,6,FALSE)</f>
        <v>8.2399999999999997E-5</v>
      </c>
      <c r="H262" s="158">
        <f t="shared" si="28"/>
        <v>6.7980000000000004E-7</v>
      </c>
      <c r="I262" s="159" t="s">
        <v>154</v>
      </c>
      <c r="J262" s="163">
        <v>8.2399999999999997E-5</v>
      </c>
    </row>
    <row r="263" spans="2:10" x14ac:dyDescent="0.25">
      <c r="B263" s="142" t="s">
        <v>180</v>
      </c>
      <c r="C263" s="72" t="s">
        <v>159</v>
      </c>
      <c r="E263" s="72"/>
      <c r="F263" s="157">
        <f>VLOOKUP(C263,'CMD Timing and Current'!$A$2:$I$96,9,FALSE)</f>
        <v>8.2500000000000004E-3</v>
      </c>
      <c r="G263" s="157">
        <f>VLOOKUP(C263,'CMD Timing and Current'!$A$2:$I$96,6,FALSE)</f>
        <v>8.2399999999999997E-5</v>
      </c>
      <c r="H263" s="158">
        <f t="shared" si="28"/>
        <v>6.7980000000000004E-7</v>
      </c>
      <c r="I263" s="159" t="s">
        <v>154</v>
      </c>
      <c r="J263" s="163">
        <v>8.2399999999999997E-5</v>
      </c>
    </row>
    <row r="264" spans="2:10" x14ac:dyDescent="0.25">
      <c r="B264" s="138"/>
      <c r="C264" s="72" t="s">
        <v>160</v>
      </c>
      <c r="D264" s="169"/>
      <c r="E264" s="72"/>
      <c r="F264" s="157">
        <f>VLOOKUP(C264,'CMD Timing and Current'!$A$2:$I$96,9,FALSE)</f>
        <v>8.2500000000000004E-3</v>
      </c>
      <c r="G264" s="157">
        <f>VLOOKUP(C264,'CMD Timing and Current'!$A$2:$I$96,6,FALSE)</f>
        <v>4.0800000000000002E-5</v>
      </c>
      <c r="H264" s="158">
        <f t="shared" si="28"/>
        <v>3.3660000000000004E-7</v>
      </c>
      <c r="I264" s="159" t="s">
        <v>161</v>
      </c>
      <c r="J264" s="163">
        <v>4.0800000000000002E-5</v>
      </c>
    </row>
    <row r="265" spans="2:10" ht="15.75" thickBot="1" x14ac:dyDescent="0.3">
      <c r="B265" s="331" t="str">
        <f>_xlfn.CONCAT(E258:E264)</f>
        <v>SM12-</v>
      </c>
      <c r="C265" s="164"/>
      <c r="D265" s="164"/>
      <c r="E265" s="164" t="s">
        <v>146</v>
      </c>
      <c r="F265" s="165"/>
      <c r="G265" s="151">
        <f>SUM(G257:G264)</f>
        <v>5.7600000000000001E-4</v>
      </c>
      <c r="H265" s="166">
        <f>SUM(H257:H264)/G265</f>
        <v>8.2500000000000004E-3</v>
      </c>
      <c r="I265" s="159"/>
      <c r="J265" s="159">
        <f>SUM(_xlfn.ANCHORARRAY(J257))</f>
        <v>5.7600000000000001E-4</v>
      </c>
    </row>
    <row r="266" spans="2:10" ht="15.75" thickBot="1" x14ac:dyDescent="0.3">
      <c r="B266" s="72"/>
      <c r="C266" s="127"/>
      <c r="D266" s="72"/>
      <c r="E266" s="72"/>
      <c r="F266" s="72"/>
      <c r="G266" s="72"/>
      <c r="H266" s="72"/>
    </row>
    <row r="267" spans="2:10" ht="30" x14ac:dyDescent="0.25">
      <c r="B267" s="237" t="s">
        <v>252</v>
      </c>
      <c r="C267" s="153"/>
      <c r="D267" s="90" t="s">
        <v>148</v>
      </c>
      <c r="E267" s="154"/>
      <c r="F267" s="154"/>
      <c r="G267" s="154"/>
      <c r="H267" s="155"/>
    </row>
    <row r="268" spans="2:10" x14ac:dyDescent="0.25">
      <c r="B268" s="136" t="s">
        <v>126</v>
      </c>
      <c r="C268" s="72" t="s">
        <v>127</v>
      </c>
      <c r="D268" s="8" t="s">
        <v>128</v>
      </c>
      <c r="E268" s="72" t="s">
        <v>129</v>
      </c>
      <c r="F268" s="72" t="s">
        <v>130</v>
      </c>
      <c r="G268" s="72" t="s">
        <v>131</v>
      </c>
      <c r="H268" s="156" t="s">
        <v>68</v>
      </c>
      <c r="J268" s="8" t="s">
        <v>132</v>
      </c>
    </row>
    <row r="269" spans="2:10" s="123" customFormat="1" x14ac:dyDescent="0.25">
      <c r="B269" s="143" t="s">
        <v>173</v>
      </c>
      <c r="C269" s="123" t="s">
        <v>166</v>
      </c>
      <c r="F269" s="163"/>
      <c r="G269" s="163">
        <f>G76</f>
        <v>9.4240000000000001E-3</v>
      </c>
      <c r="H269" s="162"/>
      <c r="I269" s="171" t="s">
        <v>174</v>
      </c>
      <c r="J269" s="163">
        <f>J76</f>
        <v>9.4240000000000001E-3</v>
      </c>
    </row>
    <row r="270" spans="2:10" ht="15.75" thickBot="1" x14ac:dyDescent="0.3">
      <c r="B270" s="139" t="str">
        <f>_xlfn.CONCAT(E269:E269)</f>
        <v/>
      </c>
      <c r="C270" s="164"/>
      <c r="D270" s="164"/>
      <c r="E270" s="164" t="s">
        <v>146</v>
      </c>
      <c r="F270" s="165"/>
      <c r="G270" s="151">
        <f>SUM(G269:G269)</f>
        <v>9.4240000000000001E-3</v>
      </c>
      <c r="H270" s="166">
        <f>SUM(H269:H269)/IF(G270=0,1,G270)</f>
        <v>0</v>
      </c>
      <c r="I270" s="159"/>
      <c r="J270" s="159">
        <f>SUM(J269)</f>
        <v>9.4240000000000001E-3</v>
      </c>
    </row>
    <row r="271" spans="2:10" ht="15.75" thickBot="1" x14ac:dyDescent="0.3">
      <c r="B271" s="72"/>
      <c r="C271" s="127"/>
      <c r="D271" s="72"/>
      <c r="E271" s="72"/>
      <c r="F271" s="72"/>
      <c r="G271" s="72"/>
      <c r="H271" s="72"/>
    </row>
    <row r="272" spans="2:10" ht="30" x14ac:dyDescent="0.25">
      <c r="B272" s="237" t="s">
        <v>253</v>
      </c>
      <c r="C272" s="153"/>
      <c r="D272" s="90" t="s">
        <v>148</v>
      </c>
      <c r="E272" s="154"/>
      <c r="F272" s="154"/>
      <c r="G272" s="154"/>
      <c r="H272" s="155"/>
    </row>
    <row r="273" spans="2:10" x14ac:dyDescent="0.25">
      <c r="B273" s="136" t="s">
        <v>126</v>
      </c>
      <c r="C273" s="72" t="s">
        <v>127</v>
      </c>
      <c r="D273" s="8" t="s">
        <v>128</v>
      </c>
      <c r="E273" s="72" t="s">
        <v>129</v>
      </c>
      <c r="F273" s="72" t="s">
        <v>130</v>
      </c>
      <c r="G273" s="72" t="s">
        <v>131</v>
      </c>
      <c r="H273" s="156" t="s">
        <v>68</v>
      </c>
      <c r="J273" s="8" t="s">
        <v>132</v>
      </c>
    </row>
    <row r="274" spans="2:10" x14ac:dyDescent="0.25">
      <c r="B274" s="128"/>
      <c r="C274" s="72" t="s">
        <v>149</v>
      </c>
      <c r="D274" s="169"/>
      <c r="E274" s="72"/>
      <c r="F274" s="157">
        <f>VLOOKUP(C274,'CMD Timing and Current'!$A$2:$I$96,9,FALSE)</f>
        <v>8.2500000000000004E-3</v>
      </c>
      <c r="G274" s="157">
        <f>VLOOKUP(C274,'CMD Timing and Current'!$A$2:$I$96,6,FALSE)</f>
        <v>4.0800000000000002E-5</v>
      </c>
      <c r="H274" s="158">
        <f t="shared" ref="H274:H281" si="29">F274*G274</f>
        <v>3.3660000000000004E-7</v>
      </c>
      <c r="I274" s="159" t="s">
        <v>150</v>
      </c>
      <c r="J274" s="163" cm="1">
        <f t="array" ref="J274:J281">J77:J84</f>
        <v>4.0800000000000002E-5</v>
      </c>
    </row>
    <row r="275" spans="2:10" x14ac:dyDescent="0.25">
      <c r="B275" s="142" t="s">
        <v>181</v>
      </c>
      <c r="C275" s="72" t="s">
        <v>153</v>
      </c>
      <c r="E275" s="72"/>
      <c r="F275" s="157">
        <f>VLOOKUP(C275,'CMD Timing and Current'!$A$2:$I$96,9,FALSE)</f>
        <v>8.2500000000000004E-3</v>
      </c>
      <c r="G275" s="157">
        <f>VLOOKUP(C275,'CMD Timing and Current'!$A$2:$I$96,6,FALSE)</f>
        <v>8.2399999999999997E-5</v>
      </c>
      <c r="H275" s="158">
        <f t="shared" si="29"/>
        <v>6.7980000000000004E-7</v>
      </c>
      <c r="I275" s="159" t="s">
        <v>154</v>
      </c>
      <c r="J275" s="163">
        <v>8.2399999999999997E-5</v>
      </c>
    </row>
    <row r="276" spans="2:10" x14ac:dyDescent="0.25">
      <c r="B276" s="142" t="s">
        <v>181</v>
      </c>
      <c r="C276" s="72" t="s">
        <v>155</v>
      </c>
      <c r="E276" s="72"/>
      <c r="F276" s="157">
        <f>VLOOKUP(C276,'CMD Timing and Current'!$A$2:$I$96,9,FALSE)</f>
        <v>8.2500000000000004E-3</v>
      </c>
      <c r="G276" s="157">
        <f>VLOOKUP(C276,'CMD Timing and Current'!$A$2:$I$96,6,FALSE)</f>
        <v>8.2399999999999997E-5</v>
      </c>
      <c r="H276" s="158">
        <f t="shared" si="29"/>
        <v>6.7980000000000004E-7</v>
      </c>
      <c r="I276" s="159" t="s">
        <v>154</v>
      </c>
      <c r="J276" s="163">
        <v>8.2399999999999997E-5</v>
      </c>
    </row>
    <row r="277" spans="2:10" x14ac:dyDescent="0.25">
      <c r="B277" s="142" t="s">
        <v>181</v>
      </c>
      <c r="C277" s="72" t="s">
        <v>156</v>
      </c>
      <c r="E277" s="72"/>
      <c r="F277" s="157">
        <f>VLOOKUP(C277,'CMD Timing and Current'!$A$2:$I$96,9,FALSE)</f>
        <v>8.2500000000000004E-3</v>
      </c>
      <c r="G277" s="157">
        <f>VLOOKUP(C277,'CMD Timing and Current'!$A$2:$I$96,6,FALSE)</f>
        <v>8.2399999999999997E-5</v>
      </c>
      <c r="H277" s="158">
        <f t="shared" si="29"/>
        <v>6.7980000000000004E-7</v>
      </c>
      <c r="I277" s="159" t="s">
        <v>154</v>
      </c>
      <c r="J277" s="163">
        <v>8.2399999999999997E-5</v>
      </c>
    </row>
    <row r="278" spans="2:10" x14ac:dyDescent="0.25">
      <c r="B278" s="142" t="s">
        <v>181</v>
      </c>
      <c r="C278" s="72" t="s">
        <v>157</v>
      </c>
      <c r="E278" s="72"/>
      <c r="F278" s="157">
        <f>VLOOKUP(C278,'CMD Timing and Current'!$A$2:$I$96,9,FALSE)</f>
        <v>8.2500000000000004E-3</v>
      </c>
      <c r="G278" s="157">
        <f>VLOOKUP(C278,'CMD Timing and Current'!$A$2:$I$96,6,FALSE)</f>
        <v>8.2399999999999997E-5</v>
      </c>
      <c r="H278" s="158">
        <f t="shared" si="29"/>
        <v>6.7980000000000004E-7</v>
      </c>
      <c r="I278" s="159" t="s">
        <v>154</v>
      </c>
      <c r="J278" s="163">
        <v>8.2399999999999997E-5</v>
      </c>
    </row>
    <row r="279" spans="2:10" x14ac:dyDescent="0.25">
      <c r="B279" s="142" t="s">
        <v>181</v>
      </c>
      <c r="C279" s="72" t="s">
        <v>158</v>
      </c>
      <c r="E279" s="72"/>
      <c r="F279" s="157">
        <f>VLOOKUP(C279,'CMD Timing and Current'!$A$2:$I$96,9,FALSE)</f>
        <v>8.2500000000000004E-3</v>
      </c>
      <c r="G279" s="157">
        <f>VLOOKUP(C279,'CMD Timing and Current'!$A$2:$I$96,6,FALSE)</f>
        <v>8.2399999999999997E-5</v>
      </c>
      <c r="H279" s="158">
        <f t="shared" si="29"/>
        <v>6.7980000000000004E-7</v>
      </c>
      <c r="I279" s="159" t="s">
        <v>154</v>
      </c>
      <c r="J279" s="163">
        <v>8.2399999999999997E-5</v>
      </c>
    </row>
    <row r="280" spans="2:10" x14ac:dyDescent="0.25">
      <c r="B280" s="142" t="s">
        <v>181</v>
      </c>
      <c r="C280" s="72" t="s">
        <v>159</v>
      </c>
      <c r="E280" s="72"/>
      <c r="F280" s="157">
        <f>VLOOKUP(C280,'CMD Timing and Current'!$A$2:$I$96,9,FALSE)</f>
        <v>8.2500000000000004E-3</v>
      </c>
      <c r="G280" s="157">
        <f>VLOOKUP(C280,'CMD Timing and Current'!$A$2:$I$96,6,FALSE)</f>
        <v>8.2399999999999997E-5</v>
      </c>
      <c r="H280" s="158">
        <f t="shared" si="29"/>
        <v>6.7980000000000004E-7</v>
      </c>
      <c r="I280" s="159" t="s">
        <v>154</v>
      </c>
      <c r="J280" s="163">
        <v>8.2399999999999997E-5</v>
      </c>
    </row>
    <row r="281" spans="2:10" x14ac:dyDescent="0.25">
      <c r="B281" s="138"/>
      <c r="C281" s="72" t="s">
        <v>160</v>
      </c>
      <c r="D281" s="169"/>
      <c r="E281" s="72"/>
      <c r="F281" s="157">
        <f>VLOOKUP(C281,'CMD Timing and Current'!$A$2:$I$96,9,FALSE)</f>
        <v>8.2500000000000004E-3</v>
      </c>
      <c r="G281" s="157">
        <f>VLOOKUP(C281,'CMD Timing and Current'!$A$2:$I$96,6,FALSE)</f>
        <v>4.0800000000000002E-5</v>
      </c>
      <c r="H281" s="158">
        <f t="shared" si="29"/>
        <v>3.3660000000000004E-7</v>
      </c>
      <c r="I281" s="159" t="s">
        <v>161</v>
      </c>
      <c r="J281" s="163">
        <v>4.0800000000000002E-5</v>
      </c>
    </row>
    <row r="282" spans="2:10" ht="15.75" thickBot="1" x14ac:dyDescent="0.3">
      <c r="B282" s="139" t="str">
        <f>_xlfn.CONCAT(E274:E281)</f>
        <v/>
      </c>
      <c r="C282" s="164"/>
      <c r="D282" s="164"/>
      <c r="E282" s="164" t="s">
        <v>146</v>
      </c>
      <c r="F282" s="165"/>
      <c r="G282" s="151">
        <f>SUM(G274:G281)</f>
        <v>5.7600000000000001E-4</v>
      </c>
      <c r="H282" s="166">
        <f>SUM(H274:H281)/G282</f>
        <v>8.2500000000000004E-3</v>
      </c>
      <c r="I282" s="159"/>
      <c r="J282" s="159">
        <f>SUM(_xlfn.ANCHORARRAY(J274))</f>
        <v>5.7600000000000001E-4</v>
      </c>
    </row>
    <row r="283" spans="2:10" ht="15.75" thickBot="1" x14ac:dyDescent="0.3">
      <c r="B283" s="72"/>
      <c r="C283" s="127"/>
      <c r="D283" s="72"/>
      <c r="E283" s="72"/>
      <c r="F283" s="72"/>
      <c r="G283" s="72"/>
      <c r="H283" s="72"/>
    </row>
    <row r="284" spans="2:10" ht="30" x14ac:dyDescent="0.25">
      <c r="B284" s="237" t="s">
        <v>182</v>
      </c>
      <c r="C284" s="153"/>
      <c r="D284" s="90" t="s">
        <v>148</v>
      </c>
      <c r="E284" s="154"/>
      <c r="F284" s="154"/>
      <c r="G284" s="154"/>
      <c r="H284" s="155"/>
    </row>
    <row r="285" spans="2:10" x14ac:dyDescent="0.25">
      <c r="B285" s="136" t="s">
        <v>126</v>
      </c>
      <c r="C285" s="72" t="s">
        <v>127</v>
      </c>
      <c r="D285" s="8" t="s">
        <v>128</v>
      </c>
      <c r="E285" s="72" t="s">
        <v>129</v>
      </c>
      <c r="F285" s="72" t="s">
        <v>130</v>
      </c>
      <c r="G285" s="72" t="s">
        <v>131</v>
      </c>
      <c r="H285" s="156" t="s">
        <v>68</v>
      </c>
      <c r="J285" s="8" t="s">
        <v>132</v>
      </c>
    </row>
    <row r="286" spans="2:10" s="129" customFormat="1" x14ac:dyDescent="0.25">
      <c r="B286" s="128" t="s">
        <v>182</v>
      </c>
      <c r="C286" s="129" t="s">
        <v>166</v>
      </c>
      <c r="D286" s="123"/>
      <c r="F286" s="171"/>
      <c r="G286" s="129">
        <f>G85</f>
        <v>0</v>
      </c>
      <c r="H286" s="170"/>
      <c r="I286" s="171" t="s">
        <v>183</v>
      </c>
      <c r="J286" s="163">
        <f>J85</f>
        <v>0</v>
      </c>
    </row>
    <row r="287" spans="2:10" ht="15.75" thickBot="1" x14ac:dyDescent="0.3">
      <c r="B287" s="139" t="str">
        <f>_xlfn.CONCAT(E286:E286)</f>
        <v/>
      </c>
      <c r="C287" s="164"/>
      <c r="D287" s="164"/>
      <c r="E287" s="164" t="s">
        <v>146</v>
      </c>
      <c r="F287" s="165"/>
      <c r="G287" s="151">
        <f>SUM(G286:G286)</f>
        <v>0</v>
      </c>
      <c r="H287" s="166">
        <f>SUM(H286:H286)/IF(G287=0,1,G287)</f>
        <v>0</v>
      </c>
      <c r="I287" s="159"/>
      <c r="J287" s="159">
        <f>SUM(J286)</f>
        <v>0</v>
      </c>
    </row>
    <row r="288" spans="2:10" ht="15.75" thickBot="1" x14ac:dyDescent="0.3">
      <c r="B288" s="72"/>
      <c r="C288" s="127"/>
      <c r="D288" s="72"/>
      <c r="E288" s="72"/>
      <c r="F288" s="72"/>
      <c r="G288" s="72"/>
      <c r="H288" s="72"/>
    </row>
    <row r="289" spans="2:10" ht="30" x14ac:dyDescent="0.25">
      <c r="B289" s="237" t="s">
        <v>254</v>
      </c>
      <c r="C289" s="153"/>
      <c r="D289" s="90" t="s">
        <v>148</v>
      </c>
      <c r="E289" s="154"/>
      <c r="F289" s="154"/>
      <c r="G289" s="154"/>
      <c r="H289" s="155"/>
    </row>
    <row r="290" spans="2:10" x14ac:dyDescent="0.25">
      <c r="B290" s="136" t="s">
        <v>126</v>
      </c>
      <c r="C290" s="72" t="s">
        <v>127</v>
      </c>
      <c r="D290" s="8" t="s">
        <v>128</v>
      </c>
      <c r="E290" s="72" t="s">
        <v>129</v>
      </c>
      <c r="F290" s="72" t="s">
        <v>130</v>
      </c>
      <c r="G290" s="72" t="s">
        <v>131</v>
      </c>
      <c r="H290" s="156" t="s">
        <v>68</v>
      </c>
      <c r="J290" s="8" t="s">
        <v>132</v>
      </c>
    </row>
    <row r="291" spans="2:10" x14ac:dyDescent="0.25">
      <c r="B291" s="128"/>
      <c r="C291" s="72" t="s">
        <v>149</v>
      </c>
      <c r="D291" s="169"/>
      <c r="E291" s="72"/>
      <c r="F291" s="157">
        <f>VLOOKUP(C291,'CMD Timing and Current'!$A$2:$I$96,9,FALSE)</f>
        <v>8.2500000000000004E-3</v>
      </c>
      <c r="G291" s="157">
        <f>VLOOKUP(C291,'CMD Timing and Current'!$A$2:$I$96,6,FALSE)</f>
        <v>4.0800000000000002E-5</v>
      </c>
      <c r="H291" s="158">
        <f t="shared" ref="H291:H298" si="30">F291*G291</f>
        <v>3.3660000000000004E-7</v>
      </c>
      <c r="I291" s="159" t="s">
        <v>150</v>
      </c>
      <c r="J291" s="163">
        <f t="shared" ref="J291:J300" si="31">J86</f>
        <v>4.0800000000000002E-5</v>
      </c>
    </row>
    <row r="292" spans="2:10" x14ac:dyDescent="0.25">
      <c r="B292" s="130" t="s">
        <v>184</v>
      </c>
      <c r="C292" s="167" t="s">
        <v>178</v>
      </c>
      <c r="E292" s="72" t="s">
        <v>42</v>
      </c>
      <c r="F292" s="157">
        <f>VLOOKUP(C292,'CMD Timing and Current'!$A$2:$I$96,9,FALSE)</f>
        <v>1.1259999999999999E-2</v>
      </c>
      <c r="G292" s="157">
        <f>VLOOKUP(C292,'CMD Timing and Current'!$A$2:$I$96,6,FALSE)</f>
        <v>4.0800000000000002E-5</v>
      </c>
      <c r="H292" s="158">
        <f t="shared" si="30"/>
        <v>4.5940800000000001E-7</v>
      </c>
      <c r="I292" s="159" t="s">
        <v>185</v>
      </c>
      <c r="J292" s="163">
        <f t="shared" si="31"/>
        <v>4.0800000000000002E-5</v>
      </c>
    </row>
    <row r="293" spans="2:10" x14ac:dyDescent="0.25">
      <c r="B293" s="130" t="s">
        <v>186</v>
      </c>
      <c r="C293" s="72" t="s">
        <v>187</v>
      </c>
      <c r="F293" s="157">
        <f>VLOOKUP(C293,'CMD Timing and Current'!$A$2:$I$96,9,FALSE)</f>
        <v>8.2500000000000004E-3</v>
      </c>
      <c r="G293" s="157">
        <f>VLOOKUP(C293,'CMD Timing and Current'!$A$2:$I$96,6,FALSE)</f>
        <v>8.2399999999999997E-5</v>
      </c>
      <c r="H293" s="158">
        <f t="shared" si="30"/>
        <v>6.7980000000000004E-7</v>
      </c>
      <c r="I293" s="159" t="s">
        <v>188</v>
      </c>
      <c r="J293" s="163">
        <f t="shared" si="31"/>
        <v>8.2399999999999997E-5</v>
      </c>
    </row>
    <row r="294" spans="2:10" x14ac:dyDescent="0.25">
      <c r="B294" s="130" t="s">
        <v>186</v>
      </c>
      <c r="C294" s="72" t="s">
        <v>189</v>
      </c>
      <c r="E294" s="72"/>
      <c r="F294" s="157">
        <f>VLOOKUP(C294,'CMD Timing and Current'!$A$2:$I$96,9,FALSE)</f>
        <v>8.2500000000000004E-3</v>
      </c>
      <c r="G294" s="157">
        <f>VLOOKUP(C294,'CMD Timing and Current'!$A$2:$I$96,6,FALSE)</f>
        <v>8.2399999999999997E-5</v>
      </c>
      <c r="H294" s="158">
        <f t="shared" si="30"/>
        <v>6.7980000000000004E-7</v>
      </c>
      <c r="I294" s="159" t="s">
        <v>188</v>
      </c>
      <c r="J294" s="163">
        <f t="shared" si="31"/>
        <v>8.2399999999999997E-5</v>
      </c>
    </row>
    <row r="295" spans="2:10" x14ac:dyDescent="0.25">
      <c r="B295" s="130" t="s">
        <v>186</v>
      </c>
      <c r="C295" s="72" t="s">
        <v>190</v>
      </c>
      <c r="E295" s="72"/>
      <c r="F295" s="157">
        <f>VLOOKUP(C295,'CMD Timing and Current'!$A$2:$I$96,9,FALSE)</f>
        <v>8.2500000000000004E-3</v>
      </c>
      <c r="G295" s="157">
        <f>VLOOKUP(C295,'CMD Timing and Current'!$A$2:$I$96,6,FALSE)</f>
        <v>8.2399999999999997E-5</v>
      </c>
      <c r="H295" s="158">
        <f t="shared" si="30"/>
        <v>6.7980000000000004E-7</v>
      </c>
      <c r="I295" s="159" t="s">
        <v>188</v>
      </c>
      <c r="J295" s="163">
        <f t="shared" si="31"/>
        <v>8.2399999999999997E-5</v>
      </c>
    </row>
    <row r="296" spans="2:10" x14ac:dyDescent="0.25">
      <c r="B296" s="130" t="s">
        <v>186</v>
      </c>
      <c r="C296" s="72" t="s">
        <v>191</v>
      </c>
      <c r="E296" s="72"/>
      <c r="F296" s="157">
        <f>VLOOKUP(C296,'CMD Timing and Current'!$A$2:$I$96,9,FALSE)</f>
        <v>8.2500000000000004E-3</v>
      </c>
      <c r="G296" s="157">
        <f>VLOOKUP(C296,'CMD Timing and Current'!$A$2:$I$96,6,FALSE)</f>
        <v>8.2399999999999997E-5</v>
      </c>
      <c r="H296" s="158">
        <f t="shared" si="30"/>
        <v>6.7980000000000004E-7</v>
      </c>
      <c r="I296" s="159" t="s">
        <v>188</v>
      </c>
      <c r="J296" s="163">
        <f t="shared" si="31"/>
        <v>8.2399999999999997E-5</v>
      </c>
    </row>
    <row r="297" spans="2:10" x14ac:dyDescent="0.25">
      <c r="B297" s="130" t="s">
        <v>186</v>
      </c>
      <c r="C297" s="72" t="s">
        <v>192</v>
      </c>
      <c r="E297" s="72"/>
      <c r="F297" s="157">
        <f>VLOOKUP(C297,'CMD Timing and Current'!$A$2:$I$96,9,FALSE)</f>
        <v>8.2500000000000004E-3</v>
      </c>
      <c r="G297" s="157">
        <f>VLOOKUP(C297,'CMD Timing and Current'!$A$2:$I$96,6,FALSE)</f>
        <v>8.2399999999999997E-5</v>
      </c>
      <c r="H297" s="158">
        <f t="shared" si="30"/>
        <v>6.7980000000000004E-7</v>
      </c>
      <c r="I297" s="159" t="s">
        <v>188</v>
      </c>
      <c r="J297" s="163">
        <f t="shared" si="31"/>
        <v>8.2399999999999997E-5</v>
      </c>
    </row>
    <row r="298" spans="2:10" x14ac:dyDescent="0.25">
      <c r="B298" s="130" t="s">
        <v>186</v>
      </c>
      <c r="C298" s="72" t="s">
        <v>193</v>
      </c>
      <c r="D298" s="169"/>
      <c r="E298" s="72"/>
      <c r="F298" s="157">
        <f>VLOOKUP(C298,'CMD Timing and Current'!$A$2:$I$96,9,FALSE)</f>
        <v>8.2500000000000004E-3</v>
      </c>
      <c r="G298" s="157">
        <f>VLOOKUP(C298,'CMD Timing and Current'!$A$2:$I$96,6,FALSE)</f>
        <v>8.2399999999999997E-5</v>
      </c>
      <c r="H298" s="158">
        <f t="shared" si="30"/>
        <v>6.7980000000000004E-7</v>
      </c>
      <c r="I298" s="159" t="s">
        <v>188</v>
      </c>
      <c r="J298" s="163">
        <f t="shared" si="31"/>
        <v>8.2399999999999997E-5</v>
      </c>
    </row>
    <row r="299" spans="2:10" x14ac:dyDescent="0.25">
      <c r="B299" s="130" t="s">
        <v>194</v>
      </c>
      <c r="C299" s="168" t="s">
        <v>195</v>
      </c>
      <c r="D299" s="169"/>
      <c r="E299" s="72"/>
      <c r="F299" s="157">
        <f>VLOOKUP(C299,'CMD Timing and Current'!$A$2:$I$96,9,FALSE)</f>
        <v>8.2500000000000004E-3</v>
      </c>
      <c r="G299" s="157">
        <f>VLOOKUP(C299,'CMD Timing and Current'!$A$2:$I$96,6,FALSE)</f>
        <v>4.0800000000000002E-5</v>
      </c>
      <c r="H299" s="158">
        <f>F299*G299</f>
        <v>3.3660000000000004E-7</v>
      </c>
      <c r="I299" s="159" t="s">
        <v>196</v>
      </c>
      <c r="J299" s="163">
        <f t="shared" si="31"/>
        <v>4.0800000000000002E-5</v>
      </c>
    </row>
    <row r="300" spans="2:10" x14ac:dyDescent="0.25">
      <c r="B300" s="138"/>
      <c r="C300" s="72" t="s">
        <v>160</v>
      </c>
      <c r="D300" s="169"/>
      <c r="E300" s="72"/>
      <c r="F300" s="157">
        <f>VLOOKUP(C300,'CMD Timing and Current'!$A$2:$I$96,9,FALSE)</f>
        <v>8.2500000000000004E-3</v>
      </c>
      <c r="G300" s="157">
        <f>VLOOKUP(C300,'CMD Timing and Current'!$A$2:$I$96,6,FALSE)</f>
        <v>4.0800000000000002E-5</v>
      </c>
      <c r="H300" s="158">
        <f t="shared" ref="H300" si="32">F300*G300</f>
        <v>3.3660000000000004E-7</v>
      </c>
      <c r="I300" s="159" t="s">
        <v>161</v>
      </c>
      <c r="J300" s="163">
        <f t="shared" si="31"/>
        <v>4.0800000000000002E-5</v>
      </c>
    </row>
    <row r="301" spans="2:10" ht="15.75" thickBot="1" x14ac:dyDescent="0.3">
      <c r="B301" s="139" t="str">
        <f>_xlfn.CONCAT(E291:E300)</f>
        <v>SM9-</v>
      </c>
      <c r="C301" s="164"/>
      <c r="D301" s="164"/>
      <c r="E301" s="164" t="s">
        <v>146</v>
      </c>
      <c r="F301" s="165"/>
      <c r="G301" s="151">
        <f>SUM(G291:G300)</f>
        <v>6.5760000000000015E-4</v>
      </c>
      <c r="H301" s="166">
        <f>SUM(H291:H300)/G301</f>
        <v>8.4367518248175174E-3</v>
      </c>
      <c r="I301" s="159"/>
      <c r="J301" s="159">
        <f>SUM(J291:J300)</f>
        <v>6.5760000000000015E-4</v>
      </c>
    </row>
    <row r="302" spans="2:10" ht="15.75" thickBot="1" x14ac:dyDescent="0.3">
      <c r="B302" s="72"/>
      <c r="C302" s="127"/>
      <c r="D302" s="72"/>
      <c r="E302" s="72"/>
      <c r="F302" s="72"/>
      <c r="G302" s="72"/>
      <c r="H302" s="72"/>
    </row>
    <row r="303" spans="2:10" ht="30" x14ac:dyDescent="0.25">
      <c r="B303" s="237" t="s">
        <v>255</v>
      </c>
      <c r="C303" s="153"/>
      <c r="D303" s="90" t="s">
        <v>148</v>
      </c>
      <c r="E303" s="154"/>
      <c r="F303" s="154"/>
      <c r="G303" s="154"/>
      <c r="H303" s="155"/>
    </row>
    <row r="304" spans="2:10" x14ac:dyDescent="0.25">
      <c r="B304" s="136" t="s">
        <v>126</v>
      </c>
      <c r="C304" s="72" t="s">
        <v>127</v>
      </c>
      <c r="D304" s="8" t="s">
        <v>128</v>
      </c>
      <c r="E304" s="72" t="s">
        <v>129</v>
      </c>
      <c r="F304" s="72" t="s">
        <v>130</v>
      </c>
      <c r="G304" s="72" t="s">
        <v>131</v>
      </c>
      <c r="H304" s="156" t="s">
        <v>68</v>
      </c>
      <c r="J304" s="8" t="s">
        <v>132</v>
      </c>
    </row>
    <row r="305" spans="2:10" s="129" customFormat="1" x14ac:dyDescent="0.25">
      <c r="B305" s="143" t="s">
        <v>173</v>
      </c>
      <c r="C305" s="129" t="s">
        <v>166</v>
      </c>
      <c r="D305" s="123"/>
      <c r="F305" s="171"/>
      <c r="G305" s="171">
        <f>G96</f>
        <v>8.7664000000000006E-3</v>
      </c>
      <c r="H305" s="170"/>
      <c r="I305" s="171" t="s">
        <v>174</v>
      </c>
      <c r="J305" s="163">
        <f>J96</f>
        <v>8.2240000000000004E-3</v>
      </c>
    </row>
    <row r="306" spans="2:10" ht="15.75" thickBot="1" x14ac:dyDescent="0.3">
      <c r="B306" s="139" t="str">
        <f>_xlfn.CONCAT(E305:E305)</f>
        <v/>
      </c>
      <c r="C306" s="164"/>
      <c r="D306" s="164"/>
      <c r="E306" s="164" t="s">
        <v>146</v>
      </c>
      <c r="F306" s="165"/>
      <c r="G306" s="151">
        <f>SUM(G305:G305)</f>
        <v>8.7664000000000006E-3</v>
      </c>
      <c r="H306" s="166">
        <f>SUM(H305:H305)/IF(G306=0,1,G306)</f>
        <v>0</v>
      </c>
      <c r="I306" s="159"/>
      <c r="J306" s="159">
        <f>SUM(J305)</f>
        <v>8.2240000000000004E-3</v>
      </c>
    </row>
    <row r="307" spans="2:10" ht="15.75" thickBot="1" x14ac:dyDescent="0.3">
      <c r="B307" s="72"/>
      <c r="C307" s="127"/>
      <c r="D307" s="72"/>
      <c r="E307" s="72"/>
      <c r="F307" s="72"/>
      <c r="G307" s="72"/>
      <c r="H307" s="72"/>
    </row>
    <row r="308" spans="2:10" ht="30" x14ac:dyDescent="0.25">
      <c r="B308" s="237" t="s">
        <v>256</v>
      </c>
      <c r="C308" s="153"/>
      <c r="D308" s="90" t="s">
        <v>148</v>
      </c>
      <c r="E308" s="154"/>
      <c r="F308" s="154"/>
      <c r="G308" s="154"/>
      <c r="H308" s="155"/>
    </row>
    <row r="309" spans="2:10" x14ac:dyDescent="0.25">
      <c r="B309" s="136" t="s">
        <v>126</v>
      </c>
      <c r="C309" s="72" t="s">
        <v>127</v>
      </c>
      <c r="D309" s="8" t="s">
        <v>128</v>
      </c>
      <c r="E309" s="72" t="s">
        <v>129</v>
      </c>
      <c r="F309" s="72" t="s">
        <v>130</v>
      </c>
      <c r="G309" s="72" t="s">
        <v>131</v>
      </c>
      <c r="H309" s="156" t="s">
        <v>68</v>
      </c>
      <c r="J309" s="8" t="s">
        <v>132</v>
      </c>
    </row>
    <row r="310" spans="2:10" x14ac:dyDescent="0.25">
      <c r="B310" s="128"/>
      <c r="C310" s="72" t="s">
        <v>149</v>
      </c>
      <c r="D310" s="169"/>
      <c r="E310" s="72"/>
      <c r="F310" s="157">
        <f>VLOOKUP(C310,'CMD Timing and Current'!$A$2:$I$96,9,FALSE)</f>
        <v>8.2500000000000004E-3</v>
      </c>
      <c r="G310" s="157">
        <f>VLOOKUP(C310,'CMD Timing and Current'!$A$2:$I$96,6,FALSE)</f>
        <v>4.0800000000000002E-5</v>
      </c>
      <c r="H310" s="158">
        <f t="shared" ref="H310:H317" si="33">F310*G310</f>
        <v>3.3660000000000004E-7</v>
      </c>
      <c r="I310" s="159" t="s">
        <v>150</v>
      </c>
      <c r="J310" s="163">
        <f t="shared" ref="J310:J317" si="34">J97</f>
        <v>0</v>
      </c>
    </row>
    <row r="311" spans="2:10" x14ac:dyDescent="0.25">
      <c r="B311" s="142" t="s">
        <v>197</v>
      </c>
      <c r="C311" s="72" t="s">
        <v>153</v>
      </c>
      <c r="E311" s="72" t="s">
        <v>43</v>
      </c>
      <c r="F311" s="157">
        <f>VLOOKUP(C311,'CMD Timing and Current'!$A$2:$I$96,9,FALSE)</f>
        <v>8.2500000000000004E-3</v>
      </c>
      <c r="G311" s="157">
        <f>VLOOKUP(C311,'CMD Timing and Current'!$A$2:$I$96,6,FALSE)</f>
        <v>8.2399999999999997E-5</v>
      </c>
      <c r="H311" s="158">
        <f t="shared" si="33"/>
        <v>6.7980000000000004E-7</v>
      </c>
      <c r="I311" s="159" t="s">
        <v>154</v>
      </c>
      <c r="J311" s="163">
        <f t="shared" si="34"/>
        <v>0</v>
      </c>
    </row>
    <row r="312" spans="2:10" x14ac:dyDescent="0.25">
      <c r="B312" s="142" t="s">
        <v>197</v>
      </c>
      <c r="C312" s="72" t="s">
        <v>155</v>
      </c>
      <c r="E312" s="72"/>
      <c r="F312" s="157">
        <f>VLOOKUP(C312,'CMD Timing and Current'!$A$2:$I$96,9,FALSE)</f>
        <v>8.2500000000000004E-3</v>
      </c>
      <c r="G312" s="157">
        <f>VLOOKUP(C312,'CMD Timing and Current'!$A$2:$I$96,6,FALSE)</f>
        <v>8.2399999999999997E-5</v>
      </c>
      <c r="H312" s="158">
        <f t="shared" si="33"/>
        <v>6.7980000000000004E-7</v>
      </c>
      <c r="I312" s="159" t="s">
        <v>154</v>
      </c>
      <c r="J312" s="163">
        <f t="shared" si="34"/>
        <v>0</v>
      </c>
    </row>
    <row r="313" spans="2:10" x14ac:dyDescent="0.25">
      <c r="B313" s="142" t="s">
        <v>197</v>
      </c>
      <c r="C313" s="72" t="s">
        <v>156</v>
      </c>
      <c r="E313" s="72"/>
      <c r="F313" s="157">
        <f>VLOOKUP(C313,'CMD Timing and Current'!$A$2:$I$96,9,FALSE)</f>
        <v>8.2500000000000004E-3</v>
      </c>
      <c r="G313" s="157">
        <f>VLOOKUP(C313,'CMD Timing and Current'!$A$2:$I$96,6,FALSE)</f>
        <v>8.2399999999999997E-5</v>
      </c>
      <c r="H313" s="158">
        <f t="shared" si="33"/>
        <v>6.7980000000000004E-7</v>
      </c>
      <c r="I313" s="159" t="s">
        <v>154</v>
      </c>
      <c r="J313" s="163">
        <f t="shared" si="34"/>
        <v>0</v>
      </c>
    </row>
    <row r="314" spans="2:10" x14ac:dyDescent="0.25">
      <c r="B314" s="142" t="s">
        <v>197</v>
      </c>
      <c r="C314" s="72" t="s">
        <v>157</v>
      </c>
      <c r="E314" s="72"/>
      <c r="F314" s="157">
        <f>VLOOKUP(C314,'CMD Timing and Current'!$A$2:$I$96,9,FALSE)</f>
        <v>8.2500000000000004E-3</v>
      </c>
      <c r="G314" s="157">
        <f>VLOOKUP(C314,'CMD Timing and Current'!$A$2:$I$96,6,FALSE)</f>
        <v>8.2399999999999997E-5</v>
      </c>
      <c r="H314" s="158">
        <f t="shared" si="33"/>
        <v>6.7980000000000004E-7</v>
      </c>
      <c r="I314" s="159" t="s">
        <v>154</v>
      </c>
      <c r="J314" s="163">
        <f t="shared" si="34"/>
        <v>0</v>
      </c>
    </row>
    <row r="315" spans="2:10" x14ac:dyDescent="0.25">
      <c r="B315" s="142" t="s">
        <v>197</v>
      </c>
      <c r="C315" s="72" t="s">
        <v>158</v>
      </c>
      <c r="E315" s="72"/>
      <c r="F315" s="157">
        <f>VLOOKUP(C315,'CMD Timing and Current'!$A$2:$I$96,9,FALSE)</f>
        <v>8.2500000000000004E-3</v>
      </c>
      <c r="G315" s="157">
        <f>VLOOKUP(C315,'CMD Timing and Current'!$A$2:$I$96,6,FALSE)</f>
        <v>8.2399999999999997E-5</v>
      </c>
      <c r="H315" s="158">
        <f t="shared" si="33"/>
        <v>6.7980000000000004E-7</v>
      </c>
      <c r="I315" s="159" t="s">
        <v>154</v>
      </c>
      <c r="J315" s="163">
        <f t="shared" si="34"/>
        <v>0</v>
      </c>
    </row>
    <row r="316" spans="2:10" x14ac:dyDescent="0.25">
      <c r="B316" s="142" t="s">
        <v>197</v>
      </c>
      <c r="C316" s="72" t="s">
        <v>159</v>
      </c>
      <c r="E316" s="72"/>
      <c r="F316" s="157">
        <f>VLOOKUP(C316,'CMD Timing and Current'!$A$2:$I$96,9,FALSE)</f>
        <v>8.2500000000000004E-3</v>
      </c>
      <c r="G316" s="157">
        <f>VLOOKUP(C316,'CMD Timing and Current'!$A$2:$I$96,6,FALSE)</f>
        <v>8.2399999999999997E-5</v>
      </c>
      <c r="H316" s="158">
        <f t="shared" si="33"/>
        <v>6.7980000000000004E-7</v>
      </c>
      <c r="I316" s="159" t="s">
        <v>154</v>
      </c>
      <c r="J316" s="163">
        <f t="shared" si="34"/>
        <v>0</v>
      </c>
    </row>
    <row r="317" spans="2:10" x14ac:dyDescent="0.25">
      <c r="B317" s="138"/>
      <c r="C317" s="72" t="s">
        <v>160</v>
      </c>
      <c r="D317" s="169"/>
      <c r="E317" s="72"/>
      <c r="F317" s="157">
        <f>VLOOKUP(C317,'CMD Timing and Current'!$A$2:$I$96,9,FALSE)</f>
        <v>8.2500000000000004E-3</v>
      </c>
      <c r="G317" s="157">
        <f>VLOOKUP(C317,'CMD Timing and Current'!$A$2:$I$96,6,FALSE)</f>
        <v>4.0800000000000002E-5</v>
      </c>
      <c r="H317" s="158">
        <f t="shared" si="33"/>
        <v>3.3660000000000004E-7</v>
      </c>
      <c r="I317" s="159" t="s">
        <v>161</v>
      </c>
      <c r="J317" s="163">
        <f t="shared" si="34"/>
        <v>0</v>
      </c>
    </row>
    <row r="318" spans="2:10" ht="15.75" thickBot="1" x14ac:dyDescent="0.3">
      <c r="B318" s="139" t="str">
        <f>_xlfn.CONCAT(E310:E317)</f>
        <v>SM12-</v>
      </c>
      <c r="C318" s="164"/>
      <c r="D318" s="164"/>
      <c r="E318" s="164" t="s">
        <v>146</v>
      </c>
      <c r="F318" s="165"/>
      <c r="G318" s="151">
        <f>SUM(G310:G317)</f>
        <v>5.7600000000000001E-4</v>
      </c>
      <c r="H318" s="166">
        <f>SUM(H310:H317)/G318</f>
        <v>8.2500000000000004E-3</v>
      </c>
      <c r="I318" s="159"/>
      <c r="J318" s="159">
        <f>SUM(J310:J317)</f>
        <v>0</v>
      </c>
    </row>
    <row r="319" spans="2:10" ht="15.75" thickBot="1" x14ac:dyDescent="0.3">
      <c r="B319" s="72"/>
      <c r="C319" s="127"/>
      <c r="D319" s="72"/>
      <c r="E319" s="72"/>
      <c r="F319" s="72"/>
      <c r="G319" s="72"/>
      <c r="H319" s="72"/>
    </row>
    <row r="320" spans="2:10" ht="30" x14ac:dyDescent="0.25">
      <c r="B320" s="237" t="s">
        <v>257</v>
      </c>
      <c r="C320" s="153"/>
      <c r="D320" s="90" t="s">
        <v>148</v>
      </c>
      <c r="E320" s="154"/>
      <c r="F320" s="154"/>
      <c r="G320" s="154"/>
      <c r="H320" s="155"/>
    </row>
    <row r="321" spans="2:10" x14ac:dyDescent="0.25">
      <c r="B321" s="136" t="s">
        <v>126</v>
      </c>
      <c r="C321" s="72" t="s">
        <v>127</v>
      </c>
      <c r="D321" s="8" t="s">
        <v>128</v>
      </c>
      <c r="E321" s="72" t="s">
        <v>129</v>
      </c>
      <c r="F321" s="72" t="s">
        <v>130</v>
      </c>
      <c r="G321" s="72" t="s">
        <v>131</v>
      </c>
      <c r="H321" s="156" t="s">
        <v>68</v>
      </c>
      <c r="J321" s="8" t="s">
        <v>132</v>
      </c>
    </row>
    <row r="322" spans="2:10" s="129" customFormat="1" x14ac:dyDescent="0.25">
      <c r="B322" s="143" t="s">
        <v>173</v>
      </c>
      <c r="C322" s="129" t="s">
        <v>166</v>
      </c>
      <c r="D322" s="123"/>
      <c r="F322" s="171"/>
      <c r="G322" s="171">
        <f>G105</f>
        <v>9.4240000000000001E-3</v>
      </c>
      <c r="H322" s="170"/>
      <c r="I322" s="171" t="s">
        <v>174</v>
      </c>
      <c r="J322" s="163">
        <f>J105</f>
        <v>0</v>
      </c>
    </row>
    <row r="323" spans="2:10" ht="15.75" thickBot="1" x14ac:dyDescent="0.3">
      <c r="B323" s="139" t="str">
        <f>_xlfn.CONCAT(E322:E322)</f>
        <v/>
      </c>
      <c r="C323" s="164"/>
      <c r="D323" s="164"/>
      <c r="E323" s="164" t="s">
        <v>146</v>
      </c>
      <c r="F323" s="165"/>
      <c r="G323" s="151">
        <f>SUM(G322:G322)</f>
        <v>9.4240000000000001E-3</v>
      </c>
      <c r="H323" s="166">
        <f>SUM(H322:H322)/IF(G323=0,1,G323)</f>
        <v>0</v>
      </c>
      <c r="I323" s="159"/>
      <c r="J323" s="159">
        <f>SUM(J322)</f>
        <v>0</v>
      </c>
    </row>
    <row r="324" spans="2:10" ht="15.75" thickBot="1" x14ac:dyDescent="0.3">
      <c r="B324" s="72"/>
      <c r="C324" s="127"/>
      <c r="D324" s="72"/>
      <c r="E324" s="72"/>
      <c r="F324" s="72"/>
      <c r="G324" s="72"/>
      <c r="H324" s="72"/>
    </row>
    <row r="325" spans="2:10" ht="30" x14ac:dyDescent="0.25">
      <c r="B325" s="237" t="s">
        <v>258</v>
      </c>
      <c r="C325" s="153"/>
      <c r="D325" s="90" t="s">
        <v>148</v>
      </c>
      <c r="E325" s="154"/>
      <c r="F325" s="154"/>
      <c r="G325" s="154"/>
      <c r="H325" s="155"/>
    </row>
    <row r="326" spans="2:10" x14ac:dyDescent="0.25">
      <c r="B326" s="136" t="s">
        <v>126</v>
      </c>
      <c r="C326" s="72" t="s">
        <v>127</v>
      </c>
      <c r="D326" s="8" t="s">
        <v>128</v>
      </c>
      <c r="E326" s="72" t="s">
        <v>129</v>
      </c>
      <c r="F326" s="72" t="s">
        <v>130</v>
      </c>
      <c r="G326" s="72" t="s">
        <v>131</v>
      </c>
      <c r="H326" s="156" t="s">
        <v>68</v>
      </c>
      <c r="J326" s="8" t="s">
        <v>132</v>
      </c>
    </row>
    <row r="327" spans="2:10" x14ac:dyDescent="0.25">
      <c r="B327" s="128"/>
      <c r="C327" s="72" t="s">
        <v>149</v>
      </c>
      <c r="D327" s="169"/>
      <c r="E327" s="72"/>
      <c r="F327" s="157">
        <f>VLOOKUP(C327,'CMD Timing and Current'!$A$2:$I$96,9,FALSE)</f>
        <v>8.2500000000000004E-3</v>
      </c>
      <c r="G327" s="157">
        <f>VLOOKUP(C327,'CMD Timing and Current'!$A$2:$I$96,6,FALSE)</f>
        <v>4.0800000000000002E-5</v>
      </c>
      <c r="H327" s="158">
        <f t="shared" ref="H327:H342" si="35">F327*G327</f>
        <v>3.3660000000000004E-7</v>
      </c>
      <c r="I327" s="159" t="s">
        <v>150</v>
      </c>
      <c r="J327" s="163">
        <f t="shared" ref="J327:J342" si="36">J106</f>
        <v>0</v>
      </c>
    </row>
    <row r="328" spans="2:10" x14ac:dyDescent="0.25">
      <c r="B328" s="130" t="s">
        <v>198</v>
      </c>
      <c r="C328" s="72" t="s">
        <v>187</v>
      </c>
      <c r="E328" s="8" t="s">
        <v>42</v>
      </c>
      <c r="F328" s="157">
        <f>VLOOKUP(C328,'CMD Timing and Current'!$A$2:$I$96,9,FALSE)</f>
        <v>8.2500000000000004E-3</v>
      </c>
      <c r="G328" s="157">
        <f>VLOOKUP(C328,'CMD Timing and Current'!$A$2:$I$96,6,FALSE)</f>
        <v>8.2399999999999997E-5</v>
      </c>
      <c r="H328" s="158">
        <f t="shared" si="35"/>
        <v>6.7980000000000004E-7</v>
      </c>
      <c r="I328" s="159" t="s">
        <v>188</v>
      </c>
      <c r="J328" s="163">
        <f t="shared" si="36"/>
        <v>0</v>
      </c>
    </row>
    <row r="329" spans="2:10" x14ac:dyDescent="0.25">
      <c r="B329" s="130" t="s">
        <v>198</v>
      </c>
      <c r="C329" s="72" t="s">
        <v>189</v>
      </c>
      <c r="E329" s="72"/>
      <c r="F329" s="157">
        <f>VLOOKUP(C329,'CMD Timing and Current'!$A$2:$I$96,9,FALSE)</f>
        <v>8.2500000000000004E-3</v>
      </c>
      <c r="G329" s="157">
        <f>VLOOKUP(C329,'CMD Timing and Current'!$A$2:$I$96,6,FALSE)</f>
        <v>8.2399999999999997E-5</v>
      </c>
      <c r="H329" s="158">
        <f t="shared" si="35"/>
        <v>6.7980000000000004E-7</v>
      </c>
      <c r="I329" s="159" t="s">
        <v>188</v>
      </c>
      <c r="J329" s="163">
        <f t="shared" si="36"/>
        <v>0</v>
      </c>
    </row>
    <row r="330" spans="2:10" x14ac:dyDescent="0.25">
      <c r="B330" s="130" t="s">
        <v>198</v>
      </c>
      <c r="C330" s="72" t="s">
        <v>190</v>
      </c>
      <c r="E330" s="72"/>
      <c r="F330" s="157">
        <f>VLOOKUP(C330,'CMD Timing and Current'!$A$2:$I$96,9,FALSE)</f>
        <v>8.2500000000000004E-3</v>
      </c>
      <c r="G330" s="157">
        <f>VLOOKUP(C330,'CMD Timing and Current'!$A$2:$I$96,6,FALSE)</f>
        <v>8.2399999999999997E-5</v>
      </c>
      <c r="H330" s="158">
        <f t="shared" si="35"/>
        <v>6.7980000000000004E-7</v>
      </c>
      <c r="I330" s="159" t="s">
        <v>188</v>
      </c>
      <c r="J330" s="163">
        <f t="shared" si="36"/>
        <v>0</v>
      </c>
    </row>
    <row r="331" spans="2:10" x14ac:dyDescent="0.25">
      <c r="B331" s="130" t="s">
        <v>198</v>
      </c>
      <c r="C331" s="72" t="s">
        <v>191</v>
      </c>
      <c r="E331" s="72"/>
      <c r="F331" s="157">
        <f>VLOOKUP(C331,'CMD Timing and Current'!$A$2:$I$96,9,FALSE)</f>
        <v>8.2500000000000004E-3</v>
      </c>
      <c r="G331" s="157">
        <f>VLOOKUP(C331,'CMD Timing and Current'!$A$2:$I$96,6,FALSE)</f>
        <v>8.2399999999999997E-5</v>
      </c>
      <c r="H331" s="158">
        <f t="shared" si="35"/>
        <v>6.7980000000000004E-7</v>
      </c>
      <c r="I331" s="159" t="s">
        <v>188</v>
      </c>
      <c r="J331" s="163">
        <f t="shared" si="36"/>
        <v>0</v>
      </c>
    </row>
    <row r="332" spans="2:10" x14ac:dyDescent="0.25">
      <c r="B332" s="130" t="s">
        <v>198</v>
      </c>
      <c r="C332" s="72" t="s">
        <v>192</v>
      </c>
      <c r="E332" s="72"/>
      <c r="F332" s="157">
        <f>VLOOKUP(C332,'CMD Timing and Current'!$A$2:$I$96,9,FALSE)</f>
        <v>8.2500000000000004E-3</v>
      </c>
      <c r="G332" s="157">
        <f>VLOOKUP(C332,'CMD Timing and Current'!$A$2:$I$96,6,FALSE)</f>
        <v>8.2399999999999997E-5</v>
      </c>
      <c r="H332" s="158">
        <f t="shared" si="35"/>
        <v>6.7980000000000004E-7</v>
      </c>
      <c r="I332" s="159" t="s">
        <v>188</v>
      </c>
      <c r="J332" s="163">
        <f t="shared" si="36"/>
        <v>0</v>
      </c>
    </row>
    <row r="333" spans="2:10" x14ac:dyDescent="0.25">
      <c r="B333" s="130" t="s">
        <v>198</v>
      </c>
      <c r="C333" s="72" t="s">
        <v>193</v>
      </c>
      <c r="D333" s="169"/>
      <c r="E333" s="72"/>
      <c r="F333" s="157">
        <f>VLOOKUP(C333,'CMD Timing and Current'!$A$2:$I$96,9,FALSE)</f>
        <v>8.2500000000000004E-3</v>
      </c>
      <c r="G333" s="157">
        <f>VLOOKUP(C333,'CMD Timing and Current'!$A$2:$I$96,6,FALSE)</f>
        <v>8.2399999999999997E-5</v>
      </c>
      <c r="H333" s="158">
        <f t="shared" si="35"/>
        <v>6.7980000000000004E-7</v>
      </c>
      <c r="I333" s="159" t="s">
        <v>188</v>
      </c>
      <c r="J333" s="163">
        <f t="shared" si="36"/>
        <v>0</v>
      </c>
    </row>
    <row r="334" spans="2:10" x14ac:dyDescent="0.25">
      <c r="B334" s="130" t="s">
        <v>259</v>
      </c>
      <c r="C334" s="168" t="s">
        <v>195</v>
      </c>
      <c r="D334" s="169"/>
      <c r="E334" s="72"/>
      <c r="F334" s="157">
        <f>VLOOKUP(C334,'CMD Timing and Current'!$A$2:$I$96,9,FALSE)</f>
        <v>8.2500000000000004E-3</v>
      </c>
      <c r="G334" s="157">
        <f>VLOOKUP(C334,'CMD Timing and Current'!$A$2:$I$96,6,FALSE)</f>
        <v>4.0800000000000002E-5</v>
      </c>
      <c r="H334" s="158">
        <f t="shared" si="35"/>
        <v>3.3660000000000004E-7</v>
      </c>
      <c r="I334" s="159" t="s">
        <v>196</v>
      </c>
      <c r="J334" s="163">
        <f t="shared" si="36"/>
        <v>0</v>
      </c>
    </row>
    <row r="335" spans="2:10" x14ac:dyDescent="0.25">
      <c r="B335" s="130" t="s">
        <v>199</v>
      </c>
      <c r="C335" s="167" t="s">
        <v>178</v>
      </c>
      <c r="E335" s="72"/>
      <c r="F335" s="157">
        <f>VLOOKUP(C335,'CMD Timing and Current'!$A$2:$I$96,9,FALSE)</f>
        <v>1.1259999999999999E-2</v>
      </c>
      <c r="G335" s="157">
        <f>VLOOKUP(C335,'CMD Timing and Current'!$A$2:$I$96,6,FALSE)</f>
        <v>4.0800000000000002E-5</v>
      </c>
      <c r="H335" s="158">
        <f t="shared" si="35"/>
        <v>4.5940800000000001E-7</v>
      </c>
      <c r="I335" s="159" t="s">
        <v>200</v>
      </c>
      <c r="J335" s="163">
        <f t="shared" si="36"/>
        <v>4.0800000000000002E-5</v>
      </c>
    </row>
    <row r="336" spans="2:10" x14ac:dyDescent="0.25">
      <c r="B336" s="142" t="s">
        <v>201</v>
      </c>
      <c r="C336" s="72" t="s">
        <v>153</v>
      </c>
      <c r="E336" s="72"/>
      <c r="F336" s="157">
        <f>VLOOKUP(C336,'CMD Timing and Current'!$A$2:$I$96,9,FALSE)</f>
        <v>8.2500000000000004E-3</v>
      </c>
      <c r="G336" s="157">
        <f>VLOOKUP(C336,'CMD Timing and Current'!$A$2:$I$96,6,FALSE)</f>
        <v>8.2399999999999997E-5</v>
      </c>
      <c r="H336" s="158">
        <f t="shared" si="35"/>
        <v>6.7980000000000004E-7</v>
      </c>
      <c r="I336" s="159" t="s">
        <v>154</v>
      </c>
      <c r="J336" s="163">
        <f t="shared" si="36"/>
        <v>8.2399999999999997E-5</v>
      </c>
    </row>
    <row r="337" spans="2:10" x14ac:dyDescent="0.25">
      <c r="B337" s="142" t="s">
        <v>201</v>
      </c>
      <c r="C337" s="72" t="s">
        <v>155</v>
      </c>
      <c r="E337" s="72"/>
      <c r="F337" s="157">
        <f>VLOOKUP(C337,'CMD Timing and Current'!$A$2:$I$96,9,FALSE)</f>
        <v>8.2500000000000004E-3</v>
      </c>
      <c r="G337" s="157">
        <f>VLOOKUP(C337,'CMD Timing and Current'!$A$2:$I$96,6,FALSE)</f>
        <v>8.2399999999999997E-5</v>
      </c>
      <c r="H337" s="158">
        <f t="shared" si="35"/>
        <v>6.7980000000000004E-7</v>
      </c>
      <c r="I337" s="159" t="s">
        <v>154</v>
      </c>
      <c r="J337" s="163">
        <f t="shared" si="36"/>
        <v>8.2399999999999997E-5</v>
      </c>
    </row>
    <row r="338" spans="2:10" x14ac:dyDescent="0.25">
      <c r="B338" s="142" t="s">
        <v>201</v>
      </c>
      <c r="C338" s="72" t="s">
        <v>156</v>
      </c>
      <c r="E338" s="72"/>
      <c r="F338" s="157">
        <f>VLOOKUP(C338,'CMD Timing and Current'!$A$2:$I$96,9,FALSE)</f>
        <v>8.2500000000000004E-3</v>
      </c>
      <c r="G338" s="157">
        <f>VLOOKUP(C338,'CMD Timing and Current'!$A$2:$I$96,6,FALSE)</f>
        <v>8.2399999999999997E-5</v>
      </c>
      <c r="H338" s="158">
        <f t="shared" si="35"/>
        <v>6.7980000000000004E-7</v>
      </c>
      <c r="I338" s="159" t="s">
        <v>154</v>
      </c>
      <c r="J338" s="163">
        <f t="shared" si="36"/>
        <v>8.2399999999999997E-5</v>
      </c>
    </row>
    <row r="339" spans="2:10" x14ac:dyDescent="0.25">
      <c r="B339" s="142" t="s">
        <v>201</v>
      </c>
      <c r="C339" s="72" t="s">
        <v>157</v>
      </c>
      <c r="E339" s="72"/>
      <c r="F339" s="157">
        <f>VLOOKUP(C339,'CMD Timing and Current'!$A$2:$I$96,9,FALSE)</f>
        <v>8.2500000000000004E-3</v>
      </c>
      <c r="G339" s="157">
        <f>VLOOKUP(C339,'CMD Timing and Current'!$A$2:$I$96,6,FALSE)</f>
        <v>8.2399999999999997E-5</v>
      </c>
      <c r="H339" s="158">
        <f t="shared" si="35"/>
        <v>6.7980000000000004E-7</v>
      </c>
      <c r="I339" s="159" t="s">
        <v>154</v>
      </c>
      <c r="J339" s="163">
        <f t="shared" si="36"/>
        <v>8.2399999999999997E-5</v>
      </c>
    </row>
    <row r="340" spans="2:10" x14ac:dyDescent="0.25">
      <c r="B340" s="142" t="s">
        <v>201</v>
      </c>
      <c r="C340" s="72" t="s">
        <v>158</v>
      </c>
      <c r="E340" s="72"/>
      <c r="F340" s="157">
        <f>VLOOKUP(C340,'CMD Timing and Current'!$A$2:$I$96,9,FALSE)</f>
        <v>8.2500000000000004E-3</v>
      </c>
      <c r="G340" s="157">
        <f>VLOOKUP(C340,'CMD Timing and Current'!$A$2:$I$96,6,FALSE)</f>
        <v>8.2399999999999997E-5</v>
      </c>
      <c r="H340" s="158">
        <f t="shared" si="35"/>
        <v>6.7980000000000004E-7</v>
      </c>
      <c r="I340" s="159" t="s">
        <v>154</v>
      </c>
      <c r="J340" s="163">
        <f t="shared" si="36"/>
        <v>8.2399999999999997E-5</v>
      </c>
    </row>
    <row r="341" spans="2:10" x14ac:dyDescent="0.25">
      <c r="B341" s="142" t="s">
        <v>201</v>
      </c>
      <c r="C341" s="72" t="s">
        <v>159</v>
      </c>
      <c r="E341" s="72"/>
      <c r="F341" s="157">
        <f>VLOOKUP(C341,'CMD Timing and Current'!$A$2:$I$96,9,FALSE)</f>
        <v>8.2500000000000004E-3</v>
      </c>
      <c r="G341" s="157">
        <f>VLOOKUP(C341,'CMD Timing and Current'!$A$2:$I$96,6,FALSE)</f>
        <v>8.2399999999999997E-5</v>
      </c>
      <c r="H341" s="158">
        <f t="shared" si="35"/>
        <v>6.7980000000000004E-7</v>
      </c>
      <c r="I341" s="159" t="s">
        <v>154</v>
      </c>
      <c r="J341" s="163">
        <f t="shared" si="36"/>
        <v>8.2399999999999997E-5</v>
      </c>
    </row>
    <row r="342" spans="2:10" ht="30" x14ac:dyDescent="0.25">
      <c r="B342" s="138"/>
      <c r="C342" s="72" t="s">
        <v>160</v>
      </c>
      <c r="D342" s="169"/>
      <c r="E342" s="72"/>
      <c r="F342" s="157">
        <f>VLOOKUP(C342,'CMD Timing and Current'!$A$2:$I$96,9,FALSE)</f>
        <v>8.2500000000000004E-3</v>
      </c>
      <c r="G342" s="157">
        <f>VLOOKUP(C342,'CMD Timing and Current'!$A$2:$I$96,6,FALSE)</f>
        <v>4.0800000000000002E-5</v>
      </c>
      <c r="H342" s="158">
        <f t="shared" si="35"/>
        <v>3.3660000000000004E-7</v>
      </c>
      <c r="I342" s="159" t="s">
        <v>202</v>
      </c>
      <c r="J342" s="163">
        <f t="shared" si="36"/>
        <v>4.0800000000000002E-5</v>
      </c>
    </row>
    <row r="343" spans="2:10" ht="15.75" thickBot="1" x14ac:dyDescent="0.3">
      <c r="B343" s="139" t="str">
        <f>_xlfn.CONCAT(E327:E342)</f>
        <v>SM9-</v>
      </c>
      <c r="C343" s="164"/>
      <c r="D343" s="164"/>
      <c r="E343" s="164" t="s">
        <v>146</v>
      </c>
      <c r="F343" s="165"/>
      <c r="G343" s="151">
        <f>SUM(G327:G342)</f>
        <v>1.1520000000000002E-3</v>
      </c>
      <c r="H343" s="166">
        <f>SUM(H327:H342)/G343</f>
        <v>8.356604166666665E-3</v>
      </c>
      <c r="I343" s="159"/>
      <c r="J343" s="159">
        <f>SUM(J327:J342)</f>
        <v>5.7600000000000001E-4</v>
      </c>
    </row>
    <row r="344" spans="2:10" ht="15.75" thickBot="1" x14ac:dyDescent="0.3">
      <c r="B344" s="72"/>
      <c r="C344" s="127"/>
      <c r="D344" s="72"/>
      <c r="E344" s="72"/>
      <c r="F344" s="72"/>
      <c r="G344" s="72"/>
      <c r="H344" s="72"/>
    </row>
    <row r="345" spans="2:10" ht="30" x14ac:dyDescent="0.25">
      <c r="B345" s="237" t="s">
        <v>260</v>
      </c>
      <c r="C345" s="153"/>
      <c r="D345" s="90" t="s">
        <v>148</v>
      </c>
      <c r="E345" s="154"/>
      <c r="F345" s="154"/>
      <c r="G345" s="154"/>
      <c r="H345" s="155"/>
    </row>
    <row r="346" spans="2:10" x14ac:dyDescent="0.25">
      <c r="B346" s="136" t="s">
        <v>126</v>
      </c>
      <c r="C346" s="72" t="s">
        <v>127</v>
      </c>
      <c r="D346" s="8" t="s">
        <v>128</v>
      </c>
      <c r="E346" s="72" t="s">
        <v>129</v>
      </c>
      <c r="F346" s="72" t="s">
        <v>130</v>
      </c>
      <c r="G346" s="72" t="s">
        <v>131</v>
      </c>
      <c r="H346" s="156" t="s">
        <v>68</v>
      </c>
      <c r="J346" s="8" t="s">
        <v>132</v>
      </c>
    </row>
    <row r="347" spans="2:10" s="129" customFormat="1" x14ac:dyDescent="0.25">
      <c r="B347" s="143" t="s">
        <v>173</v>
      </c>
      <c r="C347" s="129" t="s">
        <v>166</v>
      </c>
      <c r="D347" s="123"/>
      <c r="F347" s="171"/>
      <c r="G347" s="171">
        <f>G122</f>
        <v>8.848E-3</v>
      </c>
      <c r="H347" s="170"/>
      <c r="I347" s="171" t="s">
        <v>174</v>
      </c>
      <c r="J347" s="163">
        <f>J122</f>
        <v>8.264800000000001E-3</v>
      </c>
    </row>
    <row r="348" spans="2:10" ht="15.75" thickBot="1" x14ac:dyDescent="0.3">
      <c r="B348" s="139" t="str">
        <f>_xlfn.CONCAT(E347:E347)</f>
        <v/>
      </c>
      <c r="C348" s="164"/>
      <c r="D348" s="164"/>
      <c r="E348" s="164" t="s">
        <v>146</v>
      </c>
      <c r="F348" s="165"/>
      <c r="G348" s="151">
        <f>SUM(G347:G347)</f>
        <v>8.848E-3</v>
      </c>
      <c r="H348" s="166">
        <f>SUM(H347:H347)/IF(G348=0,1,G348)</f>
        <v>0</v>
      </c>
      <c r="I348" s="159"/>
      <c r="J348" s="159">
        <f>SUM(J347)</f>
        <v>8.264800000000001E-3</v>
      </c>
    </row>
    <row r="349" spans="2:10" ht="15.75" thickBot="1" x14ac:dyDescent="0.3">
      <c r="B349" s="72"/>
      <c r="C349" s="127"/>
      <c r="D349" s="72"/>
      <c r="E349" s="72"/>
      <c r="F349" s="72"/>
      <c r="G349" s="72"/>
      <c r="H349" s="72"/>
    </row>
    <row r="350" spans="2:10" ht="30" x14ac:dyDescent="0.25">
      <c r="B350" s="237" t="s">
        <v>261</v>
      </c>
      <c r="C350" s="153"/>
      <c r="D350" s="90" t="s">
        <v>148</v>
      </c>
      <c r="E350" s="154"/>
      <c r="F350" s="154"/>
      <c r="G350" s="154"/>
      <c r="H350" s="155"/>
    </row>
    <row r="351" spans="2:10" x14ac:dyDescent="0.25">
      <c r="B351" s="136" t="s">
        <v>126</v>
      </c>
      <c r="C351" s="72" t="s">
        <v>127</v>
      </c>
      <c r="D351" s="8" t="s">
        <v>128</v>
      </c>
      <c r="E351" s="72" t="s">
        <v>129</v>
      </c>
      <c r="F351" s="72" t="s">
        <v>130</v>
      </c>
      <c r="G351" s="72" t="s">
        <v>131</v>
      </c>
      <c r="H351" s="156" t="s">
        <v>68</v>
      </c>
      <c r="J351" s="8" t="s">
        <v>132</v>
      </c>
    </row>
    <row r="352" spans="2:10" x14ac:dyDescent="0.25">
      <c r="B352" s="128"/>
      <c r="C352" s="72" t="s">
        <v>149</v>
      </c>
      <c r="D352" s="169"/>
      <c r="E352" s="72"/>
      <c r="F352" s="157">
        <f>VLOOKUP(C352,'CMD Timing and Current'!$A$2:$I$96,9,FALSE)</f>
        <v>8.2500000000000004E-3</v>
      </c>
      <c r="G352" s="157">
        <f>VLOOKUP(C352,'CMD Timing and Current'!$A$2:$I$96,6,FALSE)</f>
        <v>4.0800000000000002E-5</v>
      </c>
      <c r="H352" s="158">
        <f t="shared" ref="H352:H359" si="37">F352*G352</f>
        <v>3.3660000000000004E-7</v>
      </c>
      <c r="I352" s="159" t="s">
        <v>150</v>
      </c>
      <c r="J352" s="163">
        <f t="shared" ref="J352:J359" si="38">J123</f>
        <v>0</v>
      </c>
    </row>
    <row r="353" spans="2:10" x14ac:dyDescent="0.25">
      <c r="B353" s="142" t="s">
        <v>203</v>
      </c>
      <c r="C353" s="72" t="s">
        <v>153</v>
      </c>
      <c r="E353" s="72"/>
      <c r="F353" s="157">
        <f>VLOOKUP(C353,'CMD Timing and Current'!$A$2:$I$96,9,FALSE)</f>
        <v>8.2500000000000004E-3</v>
      </c>
      <c r="G353" s="157">
        <f>VLOOKUP(C353,'CMD Timing and Current'!$A$2:$I$96,6,FALSE)</f>
        <v>8.2399999999999997E-5</v>
      </c>
      <c r="H353" s="158">
        <f t="shared" si="37"/>
        <v>6.7980000000000004E-7</v>
      </c>
      <c r="I353" s="159" t="s">
        <v>154</v>
      </c>
      <c r="J353" s="163">
        <f t="shared" si="38"/>
        <v>0</v>
      </c>
    </row>
    <row r="354" spans="2:10" x14ac:dyDescent="0.25">
      <c r="B354" s="142" t="s">
        <v>203</v>
      </c>
      <c r="C354" s="72" t="s">
        <v>155</v>
      </c>
      <c r="E354" s="72"/>
      <c r="F354" s="157">
        <f>VLOOKUP(C354,'CMD Timing and Current'!$A$2:$I$96,9,FALSE)</f>
        <v>8.2500000000000004E-3</v>
      </c>
      <c r="G354" s="157">
        <f>VLOOKUP(C354,'CMD Timing and Current'!$A$2:$I$96,6,FALSE)</f>
        <v>8.2399999999999997E-5</v>
      </c>
      <c r="H354" s="158">
        <f t="shared" si="37"/>
        <v>6.7980000000000004E-7</v>
      </c>
      <c r="I354" s="159" t="s">
        <v>154</v>
      </c>
      <c r="J354" s="163">
        <f t="shared" si="38"/>
        <v>0</v>
      </c>
    </row>
    <row r="355" spans="2:10" x14ac:dyDescent="0.25">
      <c r="B355" s="142" t="s">
        <v>203</v>
      </c>
      <c r="C355" s="72" t="s">
        <v>156</v>
      </c>
      <c r="E355" s="72"/>
      <c r="F355" s="157">
        <f>VLOOKUP(C355,'CMD Timing and Current'!$A$2:$I$96,9,FALSE)</f>
        <v>8.2500000000000004E-3</v>
      </c>
      <c r="G355" s="157">
        <f>VLOOKUP(C355,'CMD Timing and Current'!$A$2:$I$96,6,FALSE)</f>
        <v>8.2399999999999997E-5</v>
      </c>
      <c r="H355" s="158">
        <f t="shared" si="37"/>
        <v>6.7980000000000004E-7</v>
      </c>
      <c r="I355" s="159" t="s">
        <v>154</v>
      </c>
      <c r="J355" s="163">
        <f t="shared" si="38"/>
        <v>0</v>
      </c>
    </row>
    <row r="356" spans="2:10" x14ac:dyDescent="0.25">
      <c r="B356" s="142" t="s">
        <v>203</v>
      </c>
      <c r="C356" s="72" t="s">
        <v>157</v>
      </c>
      <c r="E356" s="72"/>
      <c r="F356" s="157">
        <f>VLOOKUP(C356,'CMD Timing and Current'!$A$2:$I$96,9,FALSE)</f>
        <v>8.2500000000000004E-3</v>
      </c>
      <c r="G356" s="157">
        <f>VLOOKUP(C356,'CMD Timing and Current'!$A$2:$I$96,6,FALSE)</f>
        <v>8.2399999999999997E-5</v>
      </c>
      <c r="H356" s="158">
        <f t="shared" si="37"/>
        <v>6.7980000000000004E-7</v>
      </c>
      <c r="I356" s="159" t="s">
        <v>154</v>
      </c>
      <c r="J356" s="163">
        <f t="shared" si="38"/>
        <v>0</v>
      </c>
    </row>
    <row r="357" spans="2:10" x14ac:dyDescent="0.25">
      <c r="B357" s="142" t="s">
        <v>203</v>
      </c>
      <c r="C357" s="72" t="s">
        <v>158</v>
      </c>
      <c r="E357" s="72"/>
      <c r="F357" s="157">
        <f>VLOOKUP(C357,'CMD Timing and Current'!$A$2:$I$96,9,FALSE)</f>
        <v>8.2500000000000004E-3</v>
      </c>
      <c r="G357" s="157">
        <f>VLOOKUP(C357,'CMD Timing and Current'!$A$2:$I$96,6,FALSE)</f>
        <v>8.2399999999999997E-5</v>
      </c>
      <c r="H357" s="158">
        <f t="shared" si="37"/>
        <v>6.7980000000000004E-7</v>
      </c>
      <c r="I357" s="159" t="s">
        <v>154</v>
      </c>
      <c r="J357" s="163">
        <f t="shared" si="38"/>
        <v>0</v>
      </c>
    </row>
    <row r="358" spans="2:10" x14ac:dyDescent="0.25">
      <c r="B358" s="142" t="s">
        <v>203</v>
      </c>
      <c r="C358" s="72" t="s">
        <v>159</v>
      </c>
      <c r="E358" s="72"/>
      <c r="F358" s="157">
        <f>VLOOKUP(C358,'CMD Timing and Current'!$A$2:$I$96,9,FALSE)</f>
        <v>8.2500000000000004E-3</v>
      </c>
      <c r="G358" s="157">
        <f>VLOOKUP(C358,'CMD Timing and Current'!$A$2:$I$96,6,FALSE)</f>
        <v>8.2399999999999997E-5</v>
      </c>
      <c r="H358" s="158">
        <f t="shared" si="37"/>
        <v>6.7980000000000004E-7</v>
      </c>
      <c r="I358" s="159" t="s">
        <v>154</v>
      </c>
      <c r="J358" s="163">
        <f t="shared" si="38"/>
        <v>0</v>
      </c>
    </row>
    <row r="359" spans="2:10" x14ac:dyDescent="0.25">
      <c r="B359" s="138"/>
      <c r="C359" s="72" t="s">
        <v>160</v>
      </c>
      <c r="D359" s="169"/>
      <c r="E359" s="72"/>
      <c r="F359" s="157">
        <f>VLOOKUP(C359,'CMD Timing and Current'!$A$2:$I$96,9,FALSE)</f>
        <v>8.2500000000000004E-3</v>
      </c>
      <c r="G359" s="157">
        <f>VLOOKUP(C359,'CMD Timing and Current'!$A$2:$I$96,6,FALSE)</f>
        <v>4.0800000000000002E-5</v>
      </c>
      <c r="H359" s="158">
        <f t="shared" si="37"/>
        <v>3.3660000000000004E-7</v>
      </c>
      <c r="I359" s="159" t="s">
        <v>161</v>
      </c>
      <c r="J359" s="163">
        <f t="shared" si="38"/>
        <v>0</v>
      </c>
    </row>
    <row r="360" spans="2:10" ht="15.75" thickBot="1" x14ac:dyDescent="0.3">
      <c r="B360" s="139" t="str">
        <f>_xlfn.CONCAT(E352:E359)</f>
        <v/>
      </c>
      <c r="C360" s="164"/>
      <c r="D360" s="164"/>
      <c r="E360" s="164" t="s">
        <v>146</v>
      </c>
      <c r="F360" s="165"/>
      <c r="G360" s="151">
        <f>SUM(G352:G359)</f>
        <v>5.7600000000000001E-4</v>
      </c>
      <c r="H360" s="166">
        <f>SUM(H352:H359)/G360</f>
        <v>8.2500000000000004E-3</v>
      </c>
      <c r="I360" s="159"/>
      <c r="J360" s="159">
        <f>SUM(J352:J359)</f>
        <v>0</v>
      </c>
    </row>
    <row r="361" spans="2:10" ht="15.75" thickBot="1" x14ac:dyDescent="0.3">
      <c r="B361" s="72"/>
      <c r="C361" s="127"/>
      <c r="D361" s="72"/>
      <c r="E361" s="72"/>
      <c r="F361" s="72"/>
      <c r="G361" s="72"/>
      <c r="H361" s="72"/>
    </row>
    <row r="362" spans="2:10" ht="30" x14ac:dyDescent="0.25">
      <c r="B362" s="237" t="s">
        <v>262</v>
      </c>
      <c r="C362" s="153"/>
      <c r="D362" s="90" t="s">
        <v>148</v>
      </c>
      <c r="E362" s="154"/>
      <c r="F362" s="154"/>
      <c r="G362" s="154"/>
      <c r="H362" s="155"/>
    </row>
    <row r="363" spans="2:10" x14ac:dyDescent="0.25">
      <c r="B363" s="136" t="s">
        <v>126</v>
      </c>
      <c r="C363" s="72" t="s">
        <v>127</v>
      </c>
      <c r="D363" s="8" t="s">
        <v>128</v>
      </c>
      <c r="E363" s="72" t="s">
        <v>129</v>
      </c>
      <c r="F363" s="72" t="s">
        <v>130</v>
      </c>
      <c r="G363" s="72" t="s">
        <v>131</v>
      </c>
      <c r="H363" s="156" t="s">
        <v>68</v>
      </c>
      <c r="J363" s="8" t="s">
        <v>132</v>
      </c>
    </row>
    <row r="364" spans="2:10" s="129" customFormat="1" x14ac:dyDescent="0.25">
      <c r="B364" s="143" t="s">
        <v>173</v>
      </c>
      <c r="C364" s="129" t="s">
        <v>166</v>
      </c>
      <c r="D364" s="123"/>
      <c r="F364" s="171"/>
      <c r="G364" s="171">
        <f>G131</f>
        <v>9.4240000000000001E-3</v>
      </c>
      <c r="H364" s="170"/>
      <c r="I364" s="171" t="s">
        <v>174</v>
      </c>
      <c r="J364" s="163">
        <f>J131</f>
        <v>0</v>
      </c>
    </row>
    <row r="365" spans="2:10" ht="15.75" thickBot="1" x14ac:dyDescent="0.3">
      <c r="B365" s="139" t="str">
        <f>_xlfn.CONCAT(E364:E364)</f>
        <v/>
      </c>
      <c r="C365" s="164"/>
      <c r="D365" s="164"/>
      <c r="E365" s="164" t="s">
        <v>146</v>
      </c>
      <c r="F365" s="165"/>
      <c r="G365" s="151">
        <f>SUM(G364:G364)</f>
        <v>9.4240000000000001E-3</v>
      </c>
      <c r="H365" s="166">
        <f>SUM(H364:H364)/IF(G365=0,1,G365)</f>
        <v>0</v>
      </c>
      <c r="I365" s="159"/>
      <c r="J365" s="159">
        <f>SUM(J364)</f>
        <v>0</v>
      </c>
    </row>
    <row r="366" spans="2:10" ht="15.75" thickBot="1" x14ac:dyDescent="0.3">
      <c r="B366" s="72"/>
      <c r="C366" s="127"/>
      <c r="D366" s="72"/>
      <c r="E366" s="72"/>
      <c r="F366" s="72"/>
      <c r="G366" s="72"/>
      <c r="H366" s="72"/>
    </row>
    <row r="367" spans="2:10" ht="30" x14ac:dyDescent="0.25">
      <c r="B367" s="237" t="s">
        <v>263</v>
      </c>
      <c r="C367" s="153"/>
      <c r="D367" s="90" t="s">
        <v>148</v>
      </c>
      <c r="E367" s="154"/>
      <c r="F367" s="154"/>
      <c r="G367" s="154"/>
      <c r="H367" s="155"/>
    </row>
    <row r="368" spans="2:10" x14ac:dyDescent="0.25">
      <c r="B368" s="136" t="s">
        <v>126</v>
      </c>
      <c r="C368" s="72" t="s">
        <v>127</v>
      </c>
      <c r="D368" s="8" t="s">
        <v>128</v>
      </c>
      <c r="E368" s="72" t="s">
        <v>129</v>
      </c>
      <c r="F368" s="72" t="s">
        <v>130</v>
      </c>
      <c r="G368" s="72" t="s">
        <v>131</v>
      </c>
      <c r="H368" s="156" t="s">
        <v>68</v>
      </c>
      <c r="J368" s="8" t="s">
        <v>132</v>
      </c>
    </row>
    <row r="369" spans="2:10" x14ac:dyDescent="0.25">
      <c r="B369" s="128"/>
      <c r="C369" s="72" t="s">
        <v>149</v>
      </c>
      <c r="D369" s="169"/>
      <c r="E369" s="72"/>
      <c r="F369" s="157">
        <f>VLOOKUP(C369,'CMD Timing and Current'!$A$2:$I$96,9,FALSE)</f>
        <v>8.2500000000000004E-3</v>
      </c>
      <c r="G369" s="157">
        <f>VLOOKUP(C369,'CMD Timing and Current'!$A$2:$I$96,6,FALSE)</f>
        <v>4.0800000000000002E-5</v>
      </c>
      <c r="H369" s="158">
        <f t="shared" ref="H369:H382" si="39">F369*G369</f>
        <v>3.3660000000000004E-7</v>
      </c>
      <c r="I369" s="159" t="s">
        <v>150</v>
      </c>
      <c r="J369" s="163">
        <f t="shared" ref="J369:J382" si="40">J132</f>
        <v>0</v>
      </c>
    </row>
    <row r="370" spans="2:10" x14ac:dyDescent="0.25">
      <c r="B370" s="130" t="s">
        <v>264</v>
      </c>
      <c r="C370" s="72" t="s">
        <v>187</v>
      </c>
      <c r="E370" s="72" t="s">
        <v>42</v>
      </c>
      <c r="F370" s="157">
        <f>VLOOKUP(C370,'CMD Timing and Current'!$A$2:$I$96,9,FALSE)</f>
        <v>8.2500000000000004E-3</v>
      </c>
      <c r="G370" s="157">
        <f>VLOOKUP(C370,'CMD Timing and Current'!$A$2:$I$96,6,FALSE)</f>
        <v>8.2399999999999997E-5</v>
      </c>
      <c r="H370" s="158">
        <f t="shared" si="39"/>
        <v>6.7980000000000004E-7</v>
      </c>
      <c r="I370" s="159" t="s">
        <v>188</v>
      </c>
      <c r="J370" s="163">
        <f t="shared" si="40"/>
        <v>0</v>
      </c>
    </row>
    <row r="371" spans="2:10" x14ac:dyDescent="0.25">
      <c r="B371" s="130" t="s">
        <v>264</v>
      </c>
      <c r="C371" s="72" t="s">
        <v>189</v>
      </c>
      <c r="E371" s="72"/>
      <c r="F371" s="157">
        <f>VLOOKUP(C371,'CMD Timing and Current'!$A$2:$I$96,9,FALSE)</f>
        <v>8.2500000000000004E-3</v>
      </c>
      <c r="G371" s="157">
        <f>VLOOKUP(C371,'CMD Timing and Current'!$A$2:$I$96,6,FALSE)</f>
        <v>8.2399999999999997E-5</v>
      </c>
      <c r="H371" s="158">
        <f t="shared" si="39"/>
        <v>6.7980000000000004E-7</v>
      </c>
      <c r="I371" s="159" t="s">
        <v>188</v>
      </c>
      <c r="J371" s="163">
        <f t="shared" si="40"/>
        <v>0</v>
      </c>
    </row>
    <row r="372" spans="2:10" x14ac:dyDescent="0.25">
      <c r="B372" s="130" t="s">
        <v>264</v>
      </c>
      <c r="C372" s="72" t="s">
        <v>190</v>
      </c>
      <c r="E372" s="72"/>
      <c r="F372" s="157">
        <f>VLOOKUP(C372,'CMD Timing and Current'!$A$2:$I$96,9,FALSE)</f>
        <v>8.2500000000000004E-3</v>
      </c>
      <c r="G372" s="157">
        <f>VLOOKUP(C372,'CMD Timing and Current'!$A$2:$I$96,6,FALSE)</f>
        <v>8.2399999999999997E-5</v>
      </c>
      <c r="H372" s="158">
        <f t="shared" si="39"/>
        <v>6.7980000000000004E-7</v>
      </c>
      <c r="I372" s="159" t="s">
        <v>188</v>
      </c>
      <c r="J372" s="163">
        <f t="shared" si="40"/>
        <v>0</v>
      </c>
    </row>
    <row r="373" spans="2:10" x14ac:dyDescent="0.25">
      <c r="B373" s="130" t="s">
        <v>264</v>
      </c>
      <c r="C373" s="72" t="s">
        <v>191</v>
      </c>
      <c r="E373" s="72"/>
      <c r="F373" s="157">
        <f>VLOOKUP(C373,'CMD Timing and Current'!$A$2:$I$96,9,FALSE)</f>
        <v>8.2500000000000004E-3</v>
      </c>
      <c r="G373" s="157">
        <f>VLOOKUP(C373,'CMD Timing and Current'!$A$2:$I$96,6,FALSE)</f>
        <v>8.2399999999999997E-5</v>
      </c>
      <c r="H373" s="158">
        <f t="shared" si="39"/>
        <v>6.7980000000000004E-7</v>
      </c>
      <c r="I373" s="159" t="s">
        <v>188</v>
      </c>
      <c r="J373" s="163">
        <f t="shared" si="40"/>
        <v>0</v>
      </c>
    </row>
    <row r="374" spans="2:10" x14ac:dyDescent="0.25">
      <c r="B374" s="130" t="s">
        <v>264</v>
      </c>
      <c r="C374" s="72" t="s">
        <v>192</v>
      </c>
      <c r="E374" s="72"/>
      <c r="F374" s="157">
        <f>VLOOKUP(C374,'CMD Timing and Current'!$A$2:$I$96,9,FALSE)</f>
        <v>8.2500000000000004E-3</v>
      </c>
      <c r="G374" s="157">
        <f>VLOOKUP(C374,'CMD Timing and Current'!$A$2:$I$96,6,FALSE)</f>
        <v>8.2399999999999997E-5</v>
      </c>
      <c r="H374" s="158">
        <f t="shared" si="39"/>
        <v>6.7980000000000004E-7</v>
      </c>
      <c r="I374" s="159" t="s">
        <v>188</v>
      </c>
      <c r="J374" s="163">
        <f t="shared" si="40"/>
        <v>0</v>
      </c>
    </row>
    <row r="375" spans="2:10" x14ac:dyDescent="0.25">
      <c r="B375" s="130" t="s">
        <v>264</v>
      </c>
      <c r="C375" s="72" t="s">
        <v>193</v>
      </c>
      <c r="D375" s="169"/>
      <c r="E375" s="72"/>
      <c r="F375" s="157">
        <f>VLOOKUP(C375,'CMD Timing and Current'!$A$2:$I$96,9,FALSE)</f>
        <v>8.2500000000000004E-3</v>
      </c>
      <c r="G375" s="157">
        <f>VLOOKUP(C375,'CMD Timing and Current'!$A$2:$I$96,6,FALSE)</f>
        <v>8.2399999999999997E-5</v>
      </c>
      <c r="H375" s="158">
        <f t="shared" si="39"/>
        <v>6.7980000000000004E-7</v>
      </c>
      <c r="I375" s="159" t="s">
        <v>188</v>
      </c>
      <c r="J375" s="163">
        <f t="shared" si="40"/>
        <v>0</v>
      </c>
    </row>
    <row r="376" spans="2:10" x14ac:dyDescent="0.25">
      <c r="B376" s="142" t="s">
        <v>205</v>
      </c>
      <c r="C376" s="72" t="s">
        <v>153</v>
      </c>
      <c r="E376" s="72"/>
      <c r="F376" s="157">
        <f>VLOOKUP(C376,'CMD Timing and Current'!$A$2:$I$96,9,FALSE)</f>
        <v>8.2500000000000004E-3</v>
      </c>
      <c r="G376" s="157">
        <f>VLOOKUP(C376,'CMD Timing and Current'!$A$2:$I$96,6,FALSE)</f>
        <v>8.2399999999999997E-5</v>
      </c>
      <c r="H376" s="158">
        <f t="shared" si="39"/>
        <v>6.7980000000000004E-7</v>
      </c>
      <c r="I376" s="159" t="s">
        <v>154</v>
      </c>
      <c r="J376" s="163">
        <f t="shared" si="40"/>
        <v>0</v>
      </c>
    </row>
    <row r="377" spans="2:10" x14ac:dyDescent="0.25">
      <c r="B377" s="142" t="s">
        <v>205</v>
      </c>
      <c r="C377" s="72" t="s">
        <v>155</v>
      </c>
      <c r="E377" s="72"/>
      <c r="F377" s="157">
        <f>VLOOKUP(C377,'CMD Timing and Current'!$A$2:$I$96,9,FALSE)</f>
        <v>8.2500000000000004E-3</v>
      </c>
      <c r="G377" s="157">
        <f>VLOOKUP(C377,'CMD Timing and Current'!$A$2:$I$96,6,FALSE)</f>
        <v>8.2399999999999997E-5</v>
      </c>
      <c r="H377" s="158">
        <f t="shared" si="39"/>
        <v>6.7980000000000004E-7</v>
      </c>
      <c r="I377" s="159" t="s">
        <v>154</v>
      </c>
      <c r="J377" s="163">
        <f t="shared" si="40"/>
        <v>0</v>
      </c>
    </row>
    <row r="378" spans="2:10" x14ac:dyDescent="0.25">
      <c r="B378" s="142" t="s">
        <v>205</v>
      </c>
      <c r="C378" s="72" t="s">
        <v>156</v>
      </c>
      <c r="E378" s="72"/>
      <c r="F378" s="157">
        <f>VLOOKUP(C378,'CMD Timing and Current'!$A$2:$I$96,9,FALSE)</f>
        <v>8.2500000000000004E-3</v>
      </c>
      <c r="G378" s="157">
        <f>VLOOKUP(C378,'CMD Timing and Current'!$A$2:$I$96,6,FALSE)</f>
        <v>8.2399999999999997E-5</v>
      </c>
      <c r="H378" s="158">
        <f t="shared" si="39"/>
        <v>6.7980000000000004E-7</v>
      </c>
      <c r="I378" s="159" t="s">
        <v>154</v>
      </c>
      <c r="J378" s="163">
        <f t="shared" si="40"/>
        <v>0</v>
      </c>
    </row>
    <row r="379" spans="2:10" x14ac:dyDescent="0.25">
      <c r="B379" s="142" t="s">
        <v>205</v>
      </c>
      <c r="C379" s="72" t="s">
        <v>157</v>
      </c>
      <c r="E379" s="72"/>
      <c r="F379" s="157">
        <f>VLOOKUP(C379,'CMD Timing and Current'!$A$2:$I$96,9,FALSE)</f>
        <v>8.2500000000000004E-3</v>
      </c>
      <c r="G379" s="157">
        <f>VLOOKUP(C379,'CMD Timing and Current'!$A$2:$I$96,6,FALSE)</f>
        <v>8.2399999999999997E-5</v>
      </c>
      <c r="H379" s="158">
        <f t="shared" si="39"/>
        <v>6.7980000000000004E-7</v>
      </c>
      <c r="I379" s="159" t="s">
        <v>154</v>
      </c>
      <c r="J379" s="163">
        <f t="shared" si="40"/>
        <v>0</v>
      </c>
    </row>
    <row r="380" spans="2:10" x14ac:dyDescent="0.25">
      <c r="B380" s="142" t="s">
        <v>205</v>
      </c>
      <c r="C380" s="72" t="s">
        <v>158</v>
      </c>
      <c r="E380" s="72"/>
      <c r="F380" s="157">
        <f>VLOOKUP(C380,'CMD Timing and Current'!$A$2:$I$96,9,FALSE)</f>
        <v>8.2500000000000004E-3</v>
      </c>
      <c r="G380" s="157">
        <f>VLOOKUP(C380,'CMD Timing and Current'!$A$2:$I$96,6,FALSE)</f>
        <v>8.2399999999999997E-5</v>
      </c>
      <c r="H380" s="158">
        <f t="shared" si="39"/>
        <v>6.7980000000000004E-7</v>
      </c>
      <c r="I380" s="159" t="s">
        <v>154</v>
      </c>
      <c r="J380" s="163">
        <f t="shared" si="40"/>
        <v>0</v>
      </c>
    </row>
    <row r="381" spans="2:10" x14ac:dyDescent="0.25">
      <c r="B381" s="142" t="s">
        <v>205</v>
      </c>
      <c r="C381" s="72" t="s">
        <v>159</v>
      </c>
      <c r="E381" s="72"/>
      <c r="F381" s="157">
        <f>VLOOKUP(C381,'CMD Timing and Current'!$A$2:$I$96,9,FALSE)</f>
        <v>8.2500000000000004E-3</v>
      </c>
      <c r="G381" s="157">
        <f>VLOOKUP(C381,'CMD Timing and Current'!$A$2:$I$96,6,FALSE)</f>
        <v>8.2399999999999997E-5</v>
      </c>
      <c r="H381" s="158">
        <f t="shared" si="39"/>
        <v>6.7980000000000004E-7</v>
      </c>
      <c r="I381" s="159" t="s">
        <v>154</v>
      </c>
      <c r="J381" s="163">
        <f t="shared" si="40"/>
        <v>0</v>
      </c>
    </row>
    <row r="382" spans="2:10" ht="30" x14ac:dyDescent="0.25">
      <c r="B382" s="138"/>
      <c r="C382" s="72" t="s">
        <v>160</v>
      </c>
      <c r="D382" s="169"/>
      <c r="E382" s="72"/>
      <c r="F382" s="157">
        <f>VLOOKUP(C382,'CMD Timing and Current'!$A$2:$I$96,9,FALSE)</f>
        <v>8.2500000000000004E-3</v>
      </c>
      <c r="G382" s="157">
        <f>VLOOKUP(C382,'CMD Timing and Current'!$A$2:$I$96,6,FALSE)</f>
        <v>4.0800000000000002E-5</v>
      </c>
      <c r="H382" s="158">
        <f t="shared" si="39"/>
        <v>3.3660000000000004E-7</v>
      </c>
      <c r="I382" s="159" t="s">
        <v>202</v>
      </c>
      <c r="J382" s="163">
        <f t="shared" si="40"/>
        <v>0</v>
      </c>
    </row>
    <row r="383" spans="2:10" ht="15.75" thickBot="1" x14ac:dyDescent="0.3">
      <c r="B383" s="139" t="str">
        <f>_xlfn.CONCAT(E369:E382)</f>
        <v>SM9-</v>
      </c>
      <c r="C383" s="164"/>
      <c r="D383" s="164"/>
      <c r="E383" s="164" t="s">
        <v>146</v>
      </c>
      <c r="F383" s="165"/>
      <c r="G383" s="151">
        <f>SUM(G369:G382)</f>
        <v>1.0704000000000002E-3</v>
      </c>
      <c r="H383" s="166">
        <f>SUM(H369:H382)/G383</f>
        <v>8.2499999999999969E-3</v>
      </c>
      <c r="I383" s="159"/>
      <c r="J383" s="159">
        <f>SUM(J369:J382)</f>
        <v>0</v>
      </c>
    </row>
    <row r="384" spans="2:10" ht="15.75" thickBot="1" x14ac:dyDescent="0.3">
      <c r="B384" s="72"/>
      <c r="C384" s="127"/>
      <c r="D384" s="72"/>
      <c r="E384" s="72"/>
      <c r="F384" s="72"/>
      <c r="G384" s="150"/>
    </row>
    <row r="385" spans="2:10" ht="30" x14ac:dyDescent="0.25">
      <c r="B385" s="237" t="s">
        <v>265</v>
      </c>
      <c r="C385" s="153"/>
      <c r="D385" s="90" t="s">
        <v>148</v>
      </c>
      <c r="E385" s="154"/>
      <c r="F385" s="154"/>
      <c r="G385" s="154"/>
      <c r="H385" s="155"/>
    </row>
    <row r="386" spans="2:10" x14ac:dyDescent="0.25">
      <c r="B386" s="136" t="s">
        <v>126</v>
      </c>
      <c r="C386" s="72" t="s">
        <v>127</v>
      </c>
      <c r="D386" s="8" t="s">
        <v>128</v>
      </c>
      <c r="E386" s="72" t="s">
        <v>129</v>
      </c>
      <c r="F386" s="72" t="s">
        <v>130</v>
      </c>
      <c r="G386" s="72" t="s">
        <v>131</v>
      </c>
      <c r="H386" s="156" t="s">
        <v>68</v>
      </c>
      <c r="J386" s="8" t="s">
        <v>132</v>
      </c>
    </row>
    <row r="387" spans="2:10" s="129" customFormat="1" x14ac:dyDescent="0.25">
      <c r="B387" s="143" t="s">
        <v>173</v>
      </c>
      <c r="C387" s="129" t="s">
        <v>166</v>
      </c>
      <c r="D387" s="123"/>
      <c r="F387" s="171"/>
      <c r="G387" s="171">
        <f>G154</f>
        <v>8.8888000000000005E-3</v>
      </c>
      <c r="H387" s="170"/>
      <c r="I387" s="171" t="s">
        <v>174</v>
      </c>
      <c r="J387" s="171">
        <f>J154</f>
        <v>0</v>
      </c>
    </row>
    <row r="388" spans="2:10" ht="15.75" thickBot="1" x14ac:dyDescent="0.3">
      <c r="B388" s="141" t="str">
        <f>_xlfn.CONCAT(E387:E387)</f>
        <v/>
      </c>
      <c r="C388" s="164"/>
      <c r="D388" s="164"/>
      <c r="E388" s="164" t="s">
        <v>146</v>
      </c>
      <c r="F388" s="164"/>
      <c r="G388" s="151">
        <f>SUM(G387:G387)</f>
        <v>8.8888000000000005E-3</v>
      </c>
      <c r="H388" s="166">
        <f>SUM(H387:H387)/IF(G388=0,1,G388)</f>
        <v>0</v>
      </c>
      <c r="J388" s="159">
        <f>SUM(J387)</f>
        <v>0</v>
      </c>
    </row>
    <row r="389" spans="2:10" ht="15.75" thickBot="1" x14ac:dyDescent="0.3">
      <c r="B389" s="72"/>
      <c r="C389" s="127"/>
      <c r="D389" s="72"/>
      <c r="E389" s="72"/>
      <c r="F389" s="72"/>
      <c r="G389" s="150"/>
    </row>
    <row r="390" spans="2:10" ht="30" x14ac:dyDescent="0.25">
      <c r="B390" s="237" t="s">
        <v>266</v>
      </c>
      <c r="C390" s="153"/>
      <c r="D390" s="90" t="s">
        <v>148</v>
      </c>
      <c r="E390" s="154"/>
      <c r="F390" s="154"/>
      <c r="G390" s="154"/>
      <c r="H390" s="155"/>
    </row>
    <row r="391" spans="2:10" x14ac:dyDescent="0.25">
      <c r="B391" s="136" t="s">
        <v>126</v>
      </c>
      <c r="C391" s="72" t="s">
        <v>127</v>
      </c>
      <c r="D391" s="8" t="s">
        <v>128</v>
      </c>
      <c r="E391" s="72" t="s">
        <v>129</v>
      </c>
      <c r="F391" s="72" t="s">
        <v>130</v>
      </c>
      <c r="G391" s="72" t="s">
        <v>131</v>
      </c>
      <c r="H391" s="156" t="s">
        <v>68</v>
      </c>
      <c r="J391" s="8" t="s">
        <v>132</v>
      </c>
    </row>
    <row r="392" spans="2:10" x14ac:dyDescent="0.25">
      <c r="B392" s="142"/>
      <c r="C392" s="72" t="s">
        <v>149</v>
      </c>
      <c r="D392" s="169"/>
      <c r="E392" s="72"/>
      <c r="F392" s="161">
        <f>VLOOKUP(C392,'CMD Timing and Current'!$A$2:$I$96,9,FALSE)</f>
        <v>8.2500000000000004E-3</v>
      </c>
      <c r="G392" s="157">
        <f>VLOOKUP(C392,'CMD Timing and Current'!$A$2:$I$96,6,FALSE)</f>
        <v>4.0800000000000002E-5</v>
      </c>
      <c r="H392" s="162">
        <f t="shared" ref="H392" si="41">F392*G392</f>
        <v>3.3660000000000004E-7</v>
      </c>
      <c r="I392" s="8" t="s">
        <v>150</v>
      </c>
      <c r="J392" s="190">
        <f>J170</f>
        <v>0</v>
      </c>
    </row>
    <row r="393" spans="2:10" x14ac:dyDescent="0.25">
      <c r="B393" s="142" t="s">
        <v>213</v>
      </c>
      <c r="C393" s="72" t="s">
        <v>153</v>
      </c>
      <c r="E393" s="72" t="s">
        <v>43</v>
      </c>
      <c r="F393" s="161">
        <f>VLOOKUP(C393,'CMD Timing and Current'!$A$2:$I$96,9,FALSE)</f>
        <v>8.2500000000000004E-3</v>
      </c>
      <c r="G393" s="157">
        <f>VLOOKUP(C393,'CMD Timing and Current'!$A$2:$I$96,6,FALSE)</f>
        <v>8.2399999999999997E-5</v>
      </c>
      <c r="H393" s="162">
        <f t="shared" ref="H393" si="42">F393*G393</f>
        <v>6.7980000000000004E-7</v>
      </c>
      <c r="I393" s="8" t="s">
        <v>154</v>
      </c>
      <c r="J393" s="190">
        <f t="shared" ref="J393:J402" si="43">J172</f>
        <v>0</v>
      </c>
    </row>
    <row r="394" spans="2:10" x14ac:dyDescent="0.25">
      <c r="B394" s="142" t="s">
        <v>213</v>
      </c>
      <c r="C394" s="72" t="s">
        <v>155</v>
      </c>
      <c r="E394" s="72"/>
      <c r="F394" s="161">
        <f>VLOOKUP(C394,'CMD Timing and Current'!$A$2:$I$96,9,FALSE)</f>
        <v>8.2500000000000004E-3</v>
      </c>
      <c r="G394" s="157">
        <f>VLOOKUP(C394,'CMD Timing and Current'!$A$2:$I$96,6,FALSE)</f>
        <v>8.2399999999999997E-5</v>
      </c>
      <c r="H394" s="162">
        <f t="shared" ref="H394:H407" si="44">F394*G394</f>
        <v>6.7980000000000004E-7</v>
      </c>
      <c r="I394" s="8" t="s">
        <v>154</v>
      </c>
      <c r="J394" s="190">
        <f t="shared" si="43"/>
        <v>0</v>
      </c>
    </row>
    <row r="395" spans="2:10" x14ac:dyDescent="0.25">
      <c r="B395" s="142" t="s">
        <v>213</v>
      </c>
      <c r="C395" s="72" t="s">
        <v>156</v>
      </c>
      <c r="E395" s="72"/>
      <c r="F395" s="161">
        <f>VLOOKUP(C395,'CMD Timing and Current'!$A$2:$I$96,9,FALSE)</f>
        <v>8.2500000000000004E-3</v>
      </c>
      <c r="G395" s="157">
        <f>VLOOKUP(C395,'CMD Timing and Current'!$A$2:$I$96,6,FALSE)</f>
        <v>8.2399999999999997E-5</v>
      </c>
      <c r="H395" s="162">
        <f t="shared" si="44"/>
        <v>6.7980000000000004E-7</v>
      </c>
      <c r="I395" s="8" t="s">
        <v>154</v>
      </c>
      <c r="J395" s="190">
        <f t="shared" si="43"/>
        <v>0</v>
      </c>
    </row>
    <row r="396" spans="2:10" x14ac:dyDescent="0.25">
      <c r="B396" s="142" t="s">
        <v>213</v>
      </c>
      <c r="C396" s="72" t="s">
        <v>157</v>
      </c>
      <c r="E396" s="72"/>
      <c r="F396" s="161">
        <f>VLOOKUP(C396,'CMD Timing and Current'!$A$2:$I$96,9,FALSE)</f>
        <v>8.2500000000000004E-3</v>
      </c>
      <c r="G396" s="157">
        <f>VLOOKUP(C396,'CMD Timing and Current'!$A$2:$I$96,6,FALSE)</f>
        <v>8.2399999999999997E-5</v>
      </c>
      <c r="H396" s="162">
        <f t="shared" si="44"/>
        <v>6.7980000000000004E-7</v>
      </c>
      <c r="I396" s="8" t="s">
        <v>154</v>
      </c>
      <c r="J396" s="190">
        <f t="shared" si="43"/>
        <v>0</v>
      </c>
    </row>
    <row r="397" spans="2:10" x14ac:dyDescent="0.25">
      <c r="B397" s="142" t="s">
        <v>213</v>
      </c>
      <c r="C397" s="72" t="s">
        <v>158</v>
      </c>
      <c r="E397" s="72"/>
      <c r="F397" s="161">
        <f>VLOOKUP(C397,'CMD Timing and Current'!$A$2:$I$96,9,FALSE)</f>
        <v>8.2500000000000004E-3</v>
      </c>
      <c r="G397" s="157">
        <f>VLOOKUP(C397,'CMD Timing and Current'!$A$2:$I$96,6,FALSE)</f>
        <v>8.2399999999999997E-5</v>
      </c>
      <c r="H397" s="162">
        <f t="shared" si="44"/>
        <v>6.7980000000000004E-7</v>
      </c>
      <c r="I397" s="8" t="s">
        <v>154</v>
      </c>
      <c r="J397" s="190">
        <f t="shared" si="43"/>
        <v>0</v>
      </c>
    </row>
    <row r="398" spans="2:10" x14ac:dyDescent="0.25">
      <c r="B398" s="142" t="s">
        <v>213</v>
      </c>
      <c r="C398" s="72" t="s">
        <v>159</v>
      </c>
      <c r="E398" s="72"/>
      <c r="F398" s="161">
        <f>VLOOKUP(C398,'CMD Timing and Current'!$A$2:$I$96,9,FALSE)</f>
        <v>8.2500000000000004E-3</v>
      </c>
      <c r="G398" s="157">
        <f>VLOOKUP(C398,'CMD Timing and Current'!$A$2:$I$96,6,FALSE)</f>
        <v>8.2399999999999997E-5</v>
      </c>
      <c r="H398" s="162">
        <f t="shared" si="44"/>
        <v>6.7980000000000004E-7</v>
      </c>
      <c r="I398" s="8" t="s">
        <v>154</v>
      </c>
      <c r="J398" s="190">
        <f t="shared" si="43"/>
        <v>0</v>
      </c>
    </row>
    <row r="399" spans="2:10" s="124" customFormat="1" x14ac:dyDescent="0.25">
      <c r="B399" s="137"/>
      <c r="C399" s="175" t="s">
        <v>214</v>
      </c>
      <c r="E399" s="175" t="s">
        <v>45</v>
      </c>
      <c r="F399" s="161">
        <f>VLOOKUP(C399,'CMD Timing and Current'!$A$2:$I$96,9,FALSE)</f>
        <v>8.2500000000000004E-3</v>
      </c>
      <c r="G399" s="157">
        <f>VLOOKUP(C399,'CMD Timing and Current'!$A$2:$I$96,6,FALSE)</f>
        <v>8.2399999999999997E-5</v>
      </c>
      <c r="H399" s="162">
        <f t="shared" si="44"/>
        <v>6.7980000000000004E-7</v>
      </c>
      <c r="I399" s="190" t="s">
        <v>215</v>
      </c>
      <c r="J399" s="190">
        <f t="shared" si="43"/>
        <v>0</v>
      </c>
    </row>
    <row r="400" spans="2:10" s="124" customFormat="1" x14ac:dyDescent="0.25">
      <c r="B400" s="137"/>
      <c r="C400" s="175" t="s">
        <v>216</v>
      </c>
      <c r="E400" s="175"/>
      <c r="F400" s="161">
        <f>VLOOKUP(C400,'CMD Timing and Current'!$A$2:$I$96,9,FALSE)</f>
        <v>8.2500000000000004E-3</v>
      </c>
      <c r="G400" s="157">
        <f>VLOOKUP(C400,'CMD Timing and Current'!$A$2:$I$96,6,FALSE)</f>
        <v>8.2399999999999997E-5</v>
      </c>
      <c r="H400" s="162">
        <f t="shared" si="44"/>
        <v>6.7980000000000004E-7</v>
      </c>
      <c r="I400" s="190" t="s">
        <v>217</v>
      </c>
      <c r="J400" s="190">
        <f t="shared" si="43"/>
        <v>0</v>
      </c>
    </row>
    <row r="401" spans="2:10" s="124" customFormat="1" x14ac:dyDescent="0.25">
      <c r="B401" s="137"/>
      <c r="C401" s="175" t="s">
        <v>218</v>
      </c>
      <c r="E401" s="175"/>
      <c r="F401" s="161">
        <f>VLOOKUP(C401,'CMD Timing and Current'!$A$2:$I$96,9,FALSE)</f>
        <v>8.2500000000000004E-3</v>
      </c>
      <c r="G401" s="157">
        <f>VLOOKUP(C401,'CMD Timing and Current'!$A$2:$I$96,6,FALSE)</f>
        <v>8.2399999999999997E-5</v>
      </c>
      <c r="H401" s="162">
        <f t="shared" si="44"/>
        <v>6.7980000000000004E-7</v>
      </c>
      <c r="I401" s="190" t="s">
        <v>219</v>
      </c>
      <c r="J401" s="190">
        <f t="shared" si="43"/>
        <v>0</v>
      </c>
    </row>
    <row r="402" spans="2:10" s="124" customFormat="1" x14ac:dyDescent="0.25">
      <c r="B402" s="137"/>
      <c r="C402" s="175" t="s">
        <v>220</v>
      </c>
      <c r="E402" s="175"/>
      <c r="F402" s="161">
        <f>VLOOKUP(C402,'CMD Timing and Current'!$A$2:$I$96,9,FALSE)</f>
        <v>8.2500000000000004E-3</v>
      </c>
      <c r="G402" s="157">
        <f>VLOOKUP(C402,'CMD Timing and Current'!$A$2:$I$96,6,FALSE)</f>
        <v>8.2399999999999997E-5</v>
      </c>
      <c r="H402" s="162">
        <f t="shared" si="44"/>
        <v>6.7980000000000004E-7</v>
      </c>
      <c r="I402" s="190" t="s">
        <v>221</v>
      </c>
      <c r="J402" s="190">
        <f t="shared" si="43"/>
        <v>0</v>
      </c>
    </row>
    <row r="403" spans="2:10" s="124" customFormat="1" x14ac:dyDescent="0.25">
      <c r="B403" s="137"/>
      <c r="C403" s="175" t="s">
        <v>231</v>
      </c>
      <c r="E403" s="175" t="s">
        <v>44</v>
      </c>
      <c r="F403" s="161">
        <f>VLOOKUP(C403,'CMD Timing and Current'!$A$2:$I$96,9,FALSE)</f>
        <v>8.2500000000000004E-3</v>
      </c>
      <c r="G403" s="157">
        <f>VLOOKUP(C403,'CMD Timing and Current'!$A$2:$I$96,6,FALSE)</f>
        <v>8.2399999999999997E-5</v>
      </c>
      <c r="H403" s="162">
        <f>F403*G403</f>
        <v>6.7980000000000004E-7</v>
      </c>
      <c r="I403" s="190" t="s">
        <v>232</v>
      </c>
      <c r="J403" s="190">
        <f>J154</f>
        <v>0</v>
      </c>
    </row>
    <row r="404" spans="2:10" s="124" customFormat="1" x14ac:dyDescent="0.25">
      <c r="B404" s="137"/>
      <c r="C404" s="175" t="s">
        <v>233</v>
      </c>
      <c r="E404" s="175"/>
      <c r="F404" s="161">
        <f>VLOOKUP(C404,'CMD Timing and Current'!$A$2:$I$96,9,FALSE)</f>
        <v>8.2500000000000004E-3</v>
      </c>
      <c r="G404" s="157">
        <f>VLOOKUP(C404,'CMD Timing and Current'!$A$2:$I$96,6,FALSE)</f>
        <v>8.2399999999999997E-5</v>
      </c>
      <c r="H404" s="162">
        <f>F404*G404</f>
        <v>6.7980000000000004E-7</v>
      </c>
      <c r="I404" s="190" t="s">
        <v>234</v>
      </c>
      <c r="J404" s="190">
        <f>J155</f>
        <v>0</v>
      </c>
    </row>
    <row r="405" spans="2:10" s="124" customFormat="1" x14ac:dyDescent="0.25">
      <c r="B405" s="137"/>
      <c r="C405" s="175" t="s">
        <v>235</v>
      </c>
      <c r="E405" s="175"/>
      <c r="F405" s="161">
        <f>VLOOKUP(C405,'CMD Timing and Current'!$A$2:$I$96,9,FALSE)</f>
        <v>8.2500000000000004E-3</v>
      </c>
      <c r="G405" s="157">
        <f>VLOOKUP(C405,'CMD Timing and Current'!$A$2:$I$96,6,FALSE)</f>
        <v>8.2399999999999997E-5</v>
      </c>
      <c r="H405" s="162">
        <f>F405*G405</f>
        <v>6.7980000000000004E-7</v>
      </c>
      <c r="I405" s="190" t="s">
        <v>236</v>
      </c>
      <c r="J405" s="190">
        <f>J156</f>
        <v>0</v>
      </c>
    </row>
    <row r="406" spans="2:10" s="124" customFormat="1" x14ac:dyDescent="0.25">
      <c r="B406" s="137"/>
      <c r="C406" s="175" t="s">
        <v>237</v>
      </c>
      <c r="D406" s="126"/>
      <c r="E406" s="175"/>
      <c r="F406" s="161">
        <f>VLOOKUP(C406,'CMD Timing and Current'!$A$2:$I$96,9,FALSE)</f>
        <v>8.2500000000000004E-3</v>
      </c>
      <c r="G406" s="157">
        <f>VLOOKUP(C406,'CMD Timing and Current'!$A$2:$I$96,6,FALSE)</f>
        <v>8.2399999999999997E-5</v>
      </c>
      <c r="H406" s="162">
        <f>F406*G406</f>
        <v>6.7980000000000004E-7</v>
      </c>
      <c r="I406" s="190" t="s">
        <v>238</v>
      </c>
      <c r="J406" s="190">
        <f>J157</f>
        <v>0</v>
      </c>
    </row>
    <row r="407" spans="2:10" x14ac:dyDescent="0.25">
      <c r="B407" s="138"/>
      <c r="C407" s="72" t="s">
        <v>160</v>
      </c>
      <c r="D407" s="169"/>
      <c r="E407" s="72"/>
      <c r="F407" s="161">
        <f>VLOOKUP(C407,'CMD Timing and Current'!$A$2:$I$96,9,FALSE)</f>
        <v>8.2500000000000004E-3</v>
      </c>
      <c r="G407" s="157">
        <f>VLOOKUP(C407,'CMD Timing and Current'!$A$2:$I$96,6,FALSE)</f>
        <v>4.0800000000000002E-5</v>
      </c>
      <c r="H407" s="162">
        <f t="shared" si="44"/>
        <v>3.3660000000000004E-7</v>
      </c>
      <c r="I407" s="8" t="s">
        <v>161</v>
      </c>
      <c r="J407" s="190">
        <f>J183</f>
        <v>0</v>
      </c>
    </row>
    <row r="408" spans="2:10" ht="15.75" thickBot="1" x14ac:dyDescent="0.3">
      <c r="B408" s="141" t="str">
        <f>_xlfn.CONCAT(E392:E407)</f>
        <v>SM12-SM15-SM14-</v>
      </c>
      <c r="C408" s="164"/>
      <c r="D408" s="164"/>
      <c r="E408" s="164" t="s">
        <v>146</v>
      </c>
      <c r="F408" s="164"/>
      <c r="G408" s="151">
        <f>SUM(G392:G407)</f>
        <v>1.2352000000000003E-3</v>
      </c>
      <c r="H408" s="166">
        <f>SUM(H392:H407)/G408</f>
        <v>8.2499999999999969E-3</v>
      </c>
      <c r="J408" s="159">
        <f>SUM(J392:J407)</f>
        <v>0</v>
      </c>
    </row>
    <row r="409" spans="2:10" ht="15.75" thickBot="1" x14ac:dyDescent="0.3">
      <c r="B409" s="72"/>
      <c r="C409" s="127"/>
      <c r="D409" s="72"/>
      <c r="E409" s="72"/>
      <c r="F409" s="72"/>
      <c r="G409" s="150"/>
    </row>
    <row r="410" spans="2:10" ht="30" x14ac:dyDescent="0.25">
      <c r="B410" s="237" t="s">
        <v>267</v>
      </c>
      <c r="C410" s="153"/>
      <c r="D410" s="90" t="s">
        <v>148</v>
      </c>
      <c r="E410" s="154"/>
      <c r="F410" s="154"/>
      <c r="G410" s="154"/>
      <c r="H410" s="155"/>
    </row>
    <row r="411" spans="2:10" x14ac:dyDescent="0.25">
      <c r="B411" s="136" t="s">
        <v>126</v>
      </c>
      <c r="C411" s="72" t="s">
        <v>127</v>
      </c>
      <c r="D411" s="8" t="s">
        <v>128</v>
      </c>
      <c r="E411" s="72" t="s">
        <v>129</v>
      </c>
      <c r="F411" s="72" t="s">
        <v>130</v>
      </c>
      <c r="G411" s="72" t="s">
        <v>131</v>
      </c>
      <c r="H411" s="156" t="s">
        <v>68</v>
      </c>
      <c r="J411" s="8" t="s">
        <v>132</v>
      </c>
    </row>
    <row r="412" spans="2:10" s="129" customFormat="1" x14ac:dyDescent="0.25">
      <c r="B412" s="143" t="s">
        <v>173</v>
      </c>
      <c r="C412" s="129" t="s">
        <v>166</v>
      </c>
      <c r="D412" s="123"/>
      <c r="F412" s="171"/>
      <c r="G412" s="171">
        <f>G169</f>
        <v>8.9295999999999993E-3</v>
      </c>
      <c r="H412" s="170"/>
      <c r="I412" s="171" t="s">
        <v>174</v>
      </c>
      <c r="J412" s="171">
        <f>J183</f>
        <v>0</v>
      </c>
    </row>
    <row r="413" spans="2:10" ht="15.75" thickBot="1" x14ac:dyDescent="0.3">
      <c r="B413" s="141" t="str">
        <f>_xlfn.CONCAT(E412:E412)</f>
        <v/>
      </c>
      <c r="C413" s="164"/>
      <c r="D413" s="164"/>
      <c r="E413" s="164" t="s">
        <v>146</v>
      </c>
      <c r="F413" s="164"/>
      <c r="G413" s="151">
        <f>SUM(G412:G412)</f>
        <v>8.9295999999999993E-3</v>
      </c>
      <c r="H413" s="166">
        <f>SUM(H412:H412)/IF(G413=0,1,G413)</f>
        <v>0</v>
      </c>
      <c r="J413" s="159">
        <f>SUM(J412)</f>
        <v>0</v>
      </c>
    </row>
    <row r="414" spans="2:10" ht="15.75" thickBot="1" x14ac:dyDescent="0.3">
      <c r="B414" s="72"/>
      <c r="C414" s="127"/>
      <c r="D414" s="72"/>
      <c r="E414" s="72"/>
      <c r="F414" s="72"/>
      <c r="G414" s="150"/>
    </row>
    <row r="415" spans="2:10" ht="15.75" thickBot="1" x14ac:dyDescent="0.3">
      <c r="B415" s="72"/>
      <c r="C415" s="127"/>
      <c r="D415" s="72"/>
      <c r="E415" s="72"/>
      <c r="F415" s="72"/>
      <c r="G415" s="150"/>
    </row>
    <row r="416" spans="2:10" ht="30" x14ac:dyDescent="0.25">
      <c r="B416" s="237" t="s">
        <v>268</v>
      </c>
      <c r="C416" s="153"/>
      <c r="D416" s="90" t="s">
        <v>148</v>
      </c>
      <c r="E416" s="154"/>
      <c r="F416" s="154"/>
      <c r="G416" s="154"/>
      <c r="H416" s="155"/>
    </row>
    <row r="417" spans="2:10" x14ac:dyDescent="0.25">
      <c r="B417" s="136" t="s">
        <v>126</v>
      </c>
      <c r="C417" s="72" t="s">
        <v>127</v>
      </c>
      <c r="D417" s="8" t="s">
        <v>128</v>
      </c>
      <c r="E417" s="72" t="s">
        <v>129</v>
      </c>
      <c r="F417" s="72" t="s">
        <v>130</v>
      </c>
      <c r="G417" s="72" t="s">
        <v>131</v>
      </c>
      <c r="H417" s="156" t="s">
        <v>68</v>
      </c>
      <c r="J417" s="8" t="s">
        <v>132</v>
      </c>
    </row>
    <row r="418" spans="2:10" x14ac:dyDescent="0.25">
      <c r="B418" s="142"/>
      <c r="C418" s="72" t="s">
        <v>149</v>
      </c>
      <c r="D418" s="169"/>
      <c r="E418" s="72"/>
      <c r="F418" s="161">
        <f>VLOOKUP(C418,'CMD Timing and Current'!$A$2:$I$96,9,FALSE)</f>
        <v>8.2500000000000004E-3</v>
      </c>
      <c r="G418" s="157">
        <f>VLOOKUP(C418,'CMD Timing and Current'!$A$2:$I$96,6,FALSE)</f>
        <v>4.0800000000000002E-5</v>
      </c>
      <c r="H418" s="162">
        <f t="shared" ref="H418" si="45">F418*G418</f>
        <v>3.3660000000000004E-7</v>
      </c>
      <c r="I418" s="8" t="s">
        <v>150</v>
      </c>
      <c r="J418" s="190">
        <f>J170</f>
        <v>0</v>
      </c>
    </row>
    <row r="419" spans="2:10" x14ac:dyDescent="0.25">
      <c r="B419" s="142" t="s">
        <v>227</v>
      </c>
      <c r="C419" s="72" t="s">
        <v>153</v>
      </c>
      <c r="E419" s="72" t="s">
        <v>43</v>
      </c>
      <c r="F419" s="161">
        <f>VLOOKUP(C419,'CMD Timing and Current'!$A$2:$I$96,9,FALSE)</f>
        <v>8.2500000000000004E-3</v>
      </c>
      <c r="G419" s="157">
        <f>VLOOKUP(C419,'CMD Timing and Current'!$A$2:$I$96,6,FALSE)</f>
        <v>8.2399999999999997E-5</v>
      </c>
      <c r="H419" s="162">
        <f t="shared" ref="H419:H428" si="46">F419*G419</f>
        <v>6.7980000000000004E-7</v>
      </c>
      <c r="I419" s="8" t="s">
        <v>154</v>
      </c>
      <c r="J419" s="190">
        <f t="shared" ref="J419:J424" si="47">J173</f>
        <v>0</v>
      </c>
    </row>
    <row r="420" spans="2:10" x14ac:dyDescent="0.25">
      <c r="B420" s="142" t="s">
        <v>227</v>
      </c>
      <c r="C420" s="72" t="s">
        <v>155</v>
      </c>
      <c r="E420" s="72"/>
      <c r="F420" s="161">
        <f>VLOOKUP(C420,'CMD Timing and Current'!$A$2:$I$96,9,FALSE)</f>
        <v>8.2500000000000004E-3</v>
      </c>
      <c r="G420" s="157">
        <f>VLOOKUP(C420,'CMD Timing and Current'!$A$2:$I$96,6,FALSE)</f>
        <v>8.2399999999999997E-5</v>
      </c>
      <c r="H420" s="162">
        <f t="shared" si="46"/>
        <v>6.7980000000000004E-7</v>
      </c>
      <c r="I420" s="8" t="s">
        <v>154</v>
      </c>
      <c r="J420" s="190">
        <f t="shared" si="47"/>
        <v>0</v>
      </c>
    </row>
    <row r="421" spans="2:10" x14ac:dyDescent="0.25">
      <c r="B421" s="142" t="s">
        <v>227</v>
      </c>
      <c r="C421" s="72" t="s">
        <v>156</v>
      </c>
      <c r="E421" s="72"/>
      <c r="F421" s="161">
        <f>VLOOKUP(C421,'CMD Timing and Current'!$A$2:$I$96,9,FALSE)</f>
        <v>8.2500000000000004E-3</v>
      </c>
      <c r="G421" s="157">
        <f>VLOOKUP(C421,'CMD Timing and Current'!$A$2:$I$96,6,FALSE)</f>
        <v>8.2399999999999997E-5</v>
      </c>
      <c r="H421" s="162">
        <f t="shared" si="46"/>
        <v>6.7980000000000004E-7</v>
      </c>
      <c r="I421" s="8" t="s">
        <v>154</v>
      </c>
      <c r="J421" s="190">
        <f t="shared" si="47"/>
        <v>0</v>
      </c>
    </row>
    <row r="422" spans="2:10" x14ac:dyDescent="0.25">
      <c r="B422" s="142" t="s">
        <v>227</v>
      </c>
      <c r="C422" s="72" t="s">
        <v>157</v>
      </c>
      <c r="E422" s="72"/>
      <c r="F422" s="161">
        <f>VLOOKUP(C422,'CMD Timing and Current'!$A$2:$I$96,9,FALSE)</f>
        <v>8.2500000000000004E-3</v>
      </c>
      <c r="G422" s="157">
        <f>VLOOKUP(C422,'CMD Timing and Current'!$A$2:$I$96,6,FALSE)</f>
        <v>8.2399999999999997E-5</v>
      </c>
      <c r="H422" s="162">
        <f t="shared" si="46"/>
        <v>6.7980000000000004E-7</v>
      </c>
      <c r="I422" s="8" t="s">
        <v>154</v>
      </c>
      <c r="J422" s="190">
        <f t="shared" si="47"/>
        <v>0</v>
      </c>
    </row>
    <row r="423" spans="2:10" x14ac:dyDescent="0.25">
      <c r="B423" s="142" t="s">
        <v>227</v>
      </c>
      <c r="C423" s="72" t="s">
        <v>158</v>
      </c>
      <c r="E423" s="72"/>
      <c r="F423" s="161">
        <f>VLOOKUP(C423,'CMD Timing and Current'!$A$2:$I$96,9,FALSE)</f>
        <v>8.2500000000000004E-3</v>
      </c>
      <c r="G423" s="157">
        <f>VLOOKUP(C423,'CMD Timing and Current'!$A$2:$I$96,6,FALSE)</f>
        <v>8.2399999999999997E-5</v>
      </c>
      <c r="H423" s="162">
        <f t="shared" si="46"/>
        <v>6.7980000000000004E-7</v>
      </c>
      <c r="I423" s="8" t="s">
        <v>154</v>
      </c>
      <c r="J423" s="190">
        <f t="shared" si="47"/>
        <v>0</v>
      </c>
    </row>
    <row r="424" spans="2:10" x14ac:dyDescent="0.25">
      <c r="B424" s="142" t="s">
        <v>227</v>
      </c>
      <c r="C424" s="72" t="s">
        <v>159</v>
      </c>
      <c r="E424" s="72"/>
      <c r="F424" s="161">
        <f>VLOOKUP(C424,'CMD Timing and Current'!$A$2:$I$96,9,FALSE)</f>
        <v>8.2500000000000004E-3</v>
      </c>
      <c r="G424" s="157">
        <f>VLOOKUP(C424,'CMD Timing and Current'!$A$2:$I$96,6,FALSE)</f>
        <v>8.2399999999999997E-5</v>
      </c>
      <c r="H424" s="162">
        <f t="shared" si="46"/>
        <v>6.7980000000000004E-7</v>
      </c>
      <c r="I424" s="8" t="s">
        <v>154</v>
      </c>
      <c r="J424" s="190">
        <f t="shared" si="47"/>
        <v>0</v>
      </c>
    </row>
    <row r="425" spans="2:10" s="124" customFormat="1" x14ac:dyDescent="0.25">
      <c r="B425" s="137" t="s">
        <v>222</v>
      </c>
      <c r="C425" s="175" t="s">
        <v>223</v>
      </c>
      <c r="E425" s="175"/>
      <c r="F425" s="188">
        <f>VLOOKUP(C425,'CMD Timing and Current'!$A$2:$I$96,9,FALSE)</f>
        <v>8.2500000000000004E-3</v>
      </c>
      <c r="G425" s="188">
        <f>VLOOKUP(C425,'CMD Timing and Current'!$A$2:$I$96,6,FALSE)</f>
        <v>8.2399999999999997E-5</v>
      </c>
      <c r="H425" s="189">
        <f>F425*G425</f>
        <v>6.7980000000000004E-7</v>
      </c>
      <c r="I425" s="190" t="s">
        <v>269</v>
      </c>
      <c r="J425" s="190">
        <f>J182</f>
        <v>0</v>
      </c>
    </row>
    <row r="426" spans="2:10" s="129" customFormat="1" ht="45" x14ac:dyDescent="0.25">
      <c r="B426" s="130"/>
      <c r="C426" s="167" t="s">
        <v>228</v>
      </c>
      <c r="E426" s="167" t="s">
        <v>229</v>
      </c>
      <c r="F426" s="370">
        <f>VLOOKUP(C426,'CMD Timing and Current'!$A$2:$I$96,9,FALSE)</f>
        <v>8.2500000000000004E-3</v>
      </c>
      <c r="G426" s="370">
        <f>VLOOKUP(C426,'CMD Timing and Current'!$A$2:$I$96,6,FALSE)</f>
        <v>8.2399999999999997E-5</v>
      </c>
      <c r="H426" s="170">
        <f t="shared" si="46"/>
        <v>6.7980000000000004E-7</v>
      </c>
      <c r="I426" s="171" t="s">
        <v>230</v>
      </c>
      <c r="J426" s="171">
        <f>J179</f>
        <v>0</v>
      </c>
    </row>
    <row r="427" spans="2:10" s="129" customFormat="1" ht="30" x14ac:dyDescent="0.25">
      <c r="B427" s="130"/>
      <c r="C427" s="167" t="s">
        <v>224</v>
      </c>
      <c r="E427" s="167" t="s">
        <v>41</v>
      </c>
      <c r="F427" s="370">
        <f>VLOOKUP(C427,'CMD Timing and Current'!$A$2:$I$96,9,FALSE)</f>
        <v>8.2500000000000004E-3</v>
      </c>
      <c r="G427" s="370">
        <f>VLOOKUP(C427,'CMD Timing and Current'!$A$2:$I$96,6,FALSE)</f>
        <v>8.2399999999999997E-5</v>
      </c>
      <c r="H427" s="170">
        <f t="shared" si="46"/>
        <v>6.7980000000000004E-7</v>
      </c>
      <c r="I427" s="171" t="s">
        <v>225</v>
      </c>
      <c r="J427" s="171">
        <f>J225</f>
        <v>0</v>
      </c>
    </row>
    <row r="428" spans="2:10" x14ac:dyDescent="0.25">
      <c r="B428" s="138"/>
      <c r="C428" s="72" t="s">
        <v>160</v>
      </c>
      <c r="D428" s="169"/>
      <c r="E428" s="72"/>
      <c r="F428" s="161">
        <f>VLOOKUP(C428,'CMD Timing and Current'!$A$2:$I$96,9,FALSE)</f>
        <v>8.2500000000000004E-3</v>
      </c>
      <c r="G428" s="157">
        <f>VLOOKUP(C428,'CMD Timing and Current'!$A$2:$I$96,6,FALSE)</f>
        <v>4.0800000000000002E-5</v>
      </c>
      <c r="H428" s="162">
        <f t="shared" si="46"/>
        <v>3.3660000000000004E-7</v>
      </c>
      <c r="I428" s="8" t="s">
        <v>161</v>
      </c>
      <c r="J428" s="190">
        <f>J184</f>
        <v>0</v>
      </c>
    </row>
    <row r="429" spans="2:10" ht="15.75" thickBot="1" x14ac:dyDescent="0.3">
      <c r="B429" s="141" t="str">
        <f>_xlfn.CONCAT(E418:E428)</f>
        <v>SM12-SM18-SM20-SM8-</v>
      </c>
      <c r="C429" s="164"/>
      <c r="D429" s="164"/>
      <c r="E429" s="164" t="s">
        <v>146</v>
      </c>
      <c r="F429" s="164"/>
      <c r="G429" s="151">
        <f>SUM(G418:G428)</f>
        <v>8.2320000000000017E-4</v>
      </c>
      <c r="H429" s="166">
        <f>SUM(H418:H428)/G429</f>
        <v>8.2499999999999987E-3</v>
      </c>
      <c r="J429" s="159">
        <f>SUM(J418:J428)</f>
        <v>0</v>
      </c>
    </row>
    <row r="430" spans="2:10" ht="15.75" thickBot="1" x14ac:dyDescent="0.3">
      <c r="B430" s="72"/>
      <c r="C430" s="127"/>
      <c r="D430" s="72"/>
      <c r="E430" s="72"/>
      <c r="F430" s="72"/>
      <c r="G430" s="72"/>
      <c r="H430" s="72"/>
    </row>
    <row r="431" spans="2:10" x14ac:dyDescent="0.25">
      <c r="B431" s="237" t="s">
        <v>270</v>
      </c>
      <c r="C431" s="153"/>
      <c r="D431" s="90"/>
      <c r="E431" s="154"/>
      <c r="F431" s="154"/>
      <c r="G431" s="154"/>
      <c r="H431" s="155"/>
    </row>
    <row r="432" spans="2:10" x14ac:dyDescent="0.25">
      <c r="B432" s="136"/>
      <c r="C432" s="72" t="s">
        <v>127</v>
      </c>
      <c r="D432" s="8" t="s">
        <v>128</v>
      </c>
      <c r="E432" s="72" t="s">
        <v>129</v>
      </c>
      <c r="F432" s="72" t="s">
        <v>130</v>
      </c>
      <c r="G432" s="72" t="s">
        <v>131</v>
      </c>
      <c r="H432" s="156" t="s">
        <v>68</v>
      </c>
      <c r="J432" s="8" t="s">
        <v>132</v>
      </c>
    </row>
    <row r="433" spans="1:10" x14ac:dyDescent="0.25">
      <c r="B433" s="142"/>
      <c r="C433" s="72" t="s">
        <v>149</v>
      </c>
      <c r="D433" s="169"/>
      <c r="E433" s="72"/>
      <c r="F433" s="161">
        <f>VLOOKUP(C433,'CMD Timing and Current'!$A$2:$I$96,9,FALSE)</f>
        <v>8.2500000000000004E-3</v>
      </c>
      <c r="G433" s="157">
        <f>VLOOKUP(C433,'CMD Timing and Current'!$A$2:$I$96,6,FALSE)</f>
        <v>4.0800000000000002E-5</v>
      </c>
      <c r="H433" s="162">
        <f t="shared" ref="H433" si="48">F433*G433</f>
        <v>3.3660000000000004E-7</v>
      </c>
      <c r="I433" s="8" t="s">
        <v>150</v>
      </c>
      <c r="J433" s="190">
        <f>J185</f>
        <v>0</v>
      </c>
    </row>
    <row r="434" spans="1:10" s="129" customFormat="1" ht="30" x14ac:dyDescent="0.25">
      <c r="B434" s="130" t="s">
        <v>271</v>
      </c>
      <c r="C434" s="167" t="s">
        <v>141</v>
      </c>
      <c r="E434" s="167" t="s">
        <v>272</v>
      </c>
      <c r="F434" s="370">
        <f>VLOOKUP(C434,'CMD Timing and Current'!$A$2:$I$96,9,FALSE)</f>
        <v>8.2500000000000004E-3</v>
      </c>
      <c r="G434" s="370">
        <f>VLOOKUP(C434,'CMD Timing and Current'!$A$2:$I$96,6,FALSE)</f>
        <v>8.2399999999999997E-5</v>
      </c>
      <c r="H434" s="170">
        <f>F434*G434</f>
        <v>6.7980000000000004E-7</v>
      </c>
      <c r="I434" s="171" t="s">
        <v>208</v>
      </c>
      <c r="J434" s="171">
        <f>SUM(J420:J432)</f>
        <v>0</v>
      </c>
    </row>
    <row r="435" spans="1:10" s="129" customFormat="1" x14ac:dyDescent="0.25">
      <c r="B435" s="130"/>
      <c r="C435" s="167" t="s">
        <v>139</v>
      </c>
      <c r="E435" s="167"/>
      <c r="F435" s="370">
        <f>VLOOKUP(C435,'CMD Timing and Current'!$A$2:$I$96,9,FALSE)</f>
        <v>8.2500000000000004E-3</v>
      </c>
      <c r="G435" s="370">
        <f>VLOOKUP(C435,'CMD Timing and Current'!$A$2:$I$96,6,FALSE)</f>
        <v>8.2399999999999997E-5</v>
      </c>
      <c r="H435" s="170">
        <f>F435*G435</f>
        <v>6.7980000000000004E-7</v>
      </c>
      <c r="I435" s="171"/>
      <c r="J435" s="171">
        <f>SUM(J422:J434)</f>
        <v>0</v>
      </c>
    </row>
    <row r="436" spans="1:10" s="129" customFormat="1" x14ac:dyDescent="0.25">
      <c r="B436" s="130" t="s">
        <v>273</v>
      </c>
      <c r="C436" s="167" t="s">
        <v>274</v>
      </c>
      <c r="E436" s="167"/>
      <c r="F436" s="370">
        <f>VLOOKUP(C436,'CMD Timing and Current'!$A$2:$I$96,9,FALSE)</f>
        <v>8.2500000000000004E-3</v>
      </c>
      <c r="G436" s="370">
        <f>VLOOKUP(C436,'CMD Timing and Current'!$A$2:$I$96,6,FALSE)</f>
        <v>8.2399999999999997E-5</v>
      </c>
      <c r="H436" s="170">
        <f>F436*G436</f>
        <v>6.7980000000000004E-7</v>
      </c>
      <c r="I436" s="171" t="s">
        <v>210</v>
      </c>
      <c r="J436" s="171">
        <f>SUM(J423:J435)</f>
        <v>0</v>
      </c>
    </row>
    <row r="437" spans="1:10" s="129" customFormat="1" x14ac:dyDescent="0.25">
      <c r="B437" s="130"/>
      <c r="C437" s="167" t="s">
        <v>275</v>
      </c>
      <c r="E437" s="167"/>
      <c r="F437" s="370">
        <f>VLOOKUP(C437,'CMD Timing and Current'!$A$2:$I$96,9,FALSE)</f>
        <v>8.2500000000000004E-3</v>
      </c>
      <c r="G437" s="370">
        <f>VLOOKUP(C437,'CMD Timing and Current'!$A$2:$I$96,6,FALSE)</f>
        <v>8.2399999999999997E-5</v>
      </c>
      <c r="H437" s="170">
        <f>F437*G437</f>
        <v>6.7980000000000004E-7</v>
      </c>
      <c r="I437" s="171"/>
      <c r="J437" s="171">
        <f>SUM(J424:J436)</f>
        <v>0</v>
      </c>
    </row>
    <row r="438" spans="1:10" x14ac:dyDescent="0.25">
      <c r="B438" s="138"/>
      <c r="C438" s="72" t="s">
        <v>160</v>
      </c>
      <c r="D438" s="169"/>
      <c r="E438" s="72"/>
      <c r="F438" s="161">
        <f>VLOOKUP(C438,'CMD Timing and Current'!$A$2:$I$96,9,FALSE)</f>
        <v>8.2500000000000004E-3</v>
      </c>
      <c r="G438" s="157">
        <f>VLOOKUP(C438,'CMD Timing and Current'!$A$2:$I$96,6,FALSE)</f>
        <v>4.0800000000000002E-5</v>
      </c>
      <c r="H438" s="162">
        <f t="shared" ref="H438" si="49">F438*G438</f>
        <v>3.3660000000000004E-7</v>
      </c>
      <c r="I438" s="8" t="s">
        <v>161</v>
      </c>
      <c r="J438" s="190">
        <f>J193</f>
        <v>0</v>
      </c>
    </row>
    <row r="439" spans="1:10" ht="15.75" thickBot="1" x14ac:dyDescent="0.3">
      <c r="B439" s="139" t="str">
        <f>_xlfn.CONCAT(E434:E434)</f>
        <v>SM1-SM2-SM3-SM4-SM5-SM7-SM16-SM17-SM19-SM21-</v>
      </c>
      <c r="C439" s="164"/>
      <c r="D439" s="164"/>
      <c r="E439" s="164" t="s">
        <v>146</v>
      </c>
      <c r="F439" s="165"/>
      <c r="G439" s="151">
        <f>SUM(G433:G438)</f>
        <v>4.1120000000000002E-4</v>
      </c>
      <c r="H439" s="166">
        <f>SUM(H433:H438)/G439</f>
        <v>8.2500000000000004E-3</v>
      </c>
      <c r="I439" s="159"/>
      <c r="J439" s="159">
        <f>SUM(_xlfn.ANCHORARRAY(J434))</f>
        <v>0</v>
      </c>
    </row>
    <row r="440" spans="1:10" x14ac:dyDescent="0.25">
      <c r="B440" s="72"/>
      <c r="C440" s="127"/>
      <c r="D440" s="72"/>
      <c r="E440" s="72"/>
      <c r="F440" s="72"/>
      <c r="G440" s="72"/>
      <c r="H440" s="72"/>
    </row>
    <row r="441" spans="1:10" x14ac:dyDescent="0.25">
      <c r="B441" s="72"/>
      <c r="C441" s="127"/>
      <c r="D441" s="72"/>
      <c r="E441" s="72"/>
      <c r="F441" s="72"/>
      <c r="G441" s="72"/>
      <c r="H441" s="72"/>
    </row>
    <row r="442" spans="1:10" ht="46.5" x14ac:dyDescent="0.7">
      <c r="A442" s="407" t="s">
        <v>276</v>
      </c>
      <c r="B442" s="408"/>
      <c r="C442" s="408"/>
      <c r="D442" s="408"/>
      <c r="E442" s="408"/>
      <c r="F442" s="408"/>
      <c r="G442" s="408"/>
      <c r="H442" s="408"/>
      <c r="I442" s="375"/>
    </row>
    <row r="443" spans="1:10" s="72" customFormat="1" x14ac:dyDescent="0.25">
      <c r="C443" s="127"/>
    </row>
    <row r="444" spans="1:10" ht="15.75" thickBot="1" x14ac:dyDescent="0.3"/>
    <row r="445" spans="1:10" x14ac:dyDescent="0.25">
      <c r="B445" s="135" t="str">
        <f>'SPF IDs'!A20</f>
        <v>SM_ SPI_PEC_DIAG</v>
      </c>
      <c r="C445" s="153"/>
      <c r="D445" s="154"/>
      <c r="E445" s="154"/>
      <c r="F445" s="154"/>
      <c r="G445" s="154"/>
      <c r="H445" s="155"/>
      <c r="I445" s="72"/>
    </row>
    <row r="446" spans="1:10" x14ac:dyDescent="0.25">
      <c r="B446" s="136" t="s">
        <v>126</v>
      </c>
      <c r="C446" s="72" t="s">
        <v>127</v>
      </c>
      <c r="D446" s="8" t="s">
        <v>128</v>
      </c>
      <c r="E446" s="72" t="s">
        <v>129</v>
      </c>
      <c r="F446" s="72" t="s">
        <v>130</v>
      </c>
      <c r="G446" s="72" t="s">
        <v>131</v>
      </c>
      <c r="H446" s="156" t="s">
        <v>68</v>
      </c>
      <c r="I446" s="72"/>
    </row>
    <row r="447" spans="1:10" x14ac:dyDescent="0.25">
      <c r="B447" s="85" t="s">
        <v>277</v>
      </c>
      <c r="C447" s="72" t="s">
        <v>278</v>
      </c>
      <c r="E447" s="72" t="s">
        <v>115</v>
      </c>
      <c r="F447" s="72">
        <f>VLOOKUP(C447,'CMD Timing and Current'!$A$2:$I$96,9,FALSE)</f>
        <v>1.1259999999999999E-2</v>
      </c>
      <c r="G447" s="72">
        <f>VLOOKUP(C447,'CMD Timing and Current'!$A$2:$I$96,6,FALSE)</f>
        <v>4.0800000000000002E-5</v>
      </c>
      <c r="H447" s="156">
        <f t="shared" ref="H447:H464" si="50">F447*G447</f>
        <v>4.5940800000000001E-7</v>
      </c>
      <c r="I447" s="8" t="s">
        <v>279</v>
      </c>
      <c r="J447" s="8">
        <f>IF(ISNA(VLOOKUP(C447,#REF!,1,FALSE)),G447,0)</f>
        <v>0</v>
      </c>
    </row>
    <row r="448" spans="1:10" x14ac:dyDescent="0.25">
      <c r="B448" s="85" t="s">
        <v>280</v>
      </c>
      <c r="C448" s="72" t="s">
        <v>137</v>
      </c>
      <c r="E448" s="72"/>
      <c r="F448" s="72">
        <f>VLOOKUP(C448,'CMD Timing and Current'!$A$2:$I$96,9,FALSE)</f>
        <v>8.2500000000000004E-3</v>
      </c>
      <c r="G448" s="72">
        <f>VLOOKUP(C448,'CMD Timing and Current'!$A$2:$I$96,6,FALSE)</f>
        <v>8.2399999999999997E-5</v>
      </c>
      <c r="H448" s="156">
        <f t="shared" si="50"/>
        <v>6.7980000000000004E-7</v>
      </c>
      <c r="I448" s="8" t="s">
        <v>281</v>
      </c>
      <c r="J448" s="8">
        <f>IF(ISNA(VLOOKUP(C448,#REF!,1,FALSE)),G448,0)</f>
        <v>0</v>
      </c>
    </row>
    <row r="449" spans="2:10" x14ac:dyDescent="0.25">
      <c r="B449" s="85" t="s">
        <v>282</v>
      </c>
      <c r="C449" s="72" t="s">
        <v>278</v>
      </c>
      <c r="E449" s="72"/>
      <c r="F449" s="72">
        <f>VLOOKUP(C449,'CMD Timing and Current'!$A$2:$I$96,9,FALSE)</f>
        <v>1.1259999999999999E-2</v>
      </c>
      <c r="G449" s="72">
        <f>VLOOKUP(C449,'CMD Timing and Current'!$A$2:$I$96,6,FALSE)</f>
        <v>4.0800000000000002E-5</v>
      </c>
      <c r="H449" s="156">
        <f t="shared" si="50"/>
        <v>4.5940800000000001E-7</v>
      </c>
      <c r="I449" s="8" t="s">
        <v>283</v>
      </c>
      <c r="J449" s="8">
        <f>IF(ISNA(VLOOKUP(C449,#REF!,1,FALSE)),G449,0)</f>
        <v>0</v>
      </c>
    </row>
    <row r="450" spans="2:10" x14ac:dyDescent="0.25">
      <c r="B450" s="85" t="s">
        <v>282</v>
      </c>
      <c r="C450" s="72" t="s">
        <v>278</v>
      </c>
      <c r="E450" s="72"/>
      <c r="F450" s="72">
        <f>VLOOKUP(C450,'CMD Timing and Current'!$A$2:$I$96,9,FALSE)</f>
        <v>1.1259999999999999E-2</v>
      </c>
      <c r="G450" s="72">
        <f>VLOOKUP(C450,'CMD Timing and Current'!$A$2:$I$96,6,FALSE)</f>
        <v>4.0800000000000002E-5</v>
      </c>
      <c r="H450" s="156">
        <f t="shared" si="50"/>
        <v>4.5940800000000001E-7</v>
      </c>
      <c r="I450" s="8" t="s">
        <v>283</v>
      </c>
      <c r="J450" s="8">
        <f>IF(ISNA(VLOOKUP(C450,#REF!,1,FALSE)),G450,0)</f>
        <v>0</v>
      </c>
    </row>
    <row r="451" spans="2:10" x14ac:dyDescent="0.25">
      <c r="B451" s="85" t="s">
        <v>282</v>
      </c>
      <c r="C451" s="72" t="s">
        <v>278</v>
      </c>
      <c r="E451" s="72"/>
      <c r="F451" s="72">
        <f>VLOOKUP(C451,'CMD Timing and Current'!$A$2:$I$96,9,FALSE)</f>
        <v>1.1259999999999999E-2</v>
      </c>
      <c r="G451" s="72">
        <f>VLOOKUP(C451,'CMD Timing and Current'!$A$2:$I$96,6,FALSE)</f>
        <v>4.0800000000000002E-5</v>
      </c>
      <c r="H451" s="156">
        <f t="shared" si="50"/>
        <v>4.5940800000000001E-7</v>
      </c>
      <c r="I451" s="8" t="s">
        <v>283</v>
      </c>
      <c r="J451" s="8">
        <f>IF(ISNA(VLOOKUP(C451,#REF!,1,FALSE)),G451,0)</f>
        <v>0</v>
      </c>
    </row>
    <row r="452" spans="2:10" x14ac:dyDescent="0.25">
      <c r="B452" s="85" t="s">
        <v>282</v>
      </c>
      <c r="C452" s="72" t="s">
        <v>278</v>
      </c>
      <c r="E452" s="72"/>
      <c r="F452" s="72">
        <f>VLOOKUP(C452,'CMD Timing and Current'!$A$2:$I$96,9,FALSE)</f>
        <v>1.1259999999999999E-2</v>
      </c>
      <c r="G452" s="72">
        <f>VLOOKUP(C452,'CMD Timing and Current'!$A$2:$I$96,6,FALSE)</f>
        <v>4.0800000000000002E-5</v>
      </c>
      <c r="H452" s="156">
        <f t="shared" si="50"/>
        <v>4.5940800000000001E-7</v>
      </c>
      <c r="I452" s="8" t="s">
        <v>283</v>
      </c>
      <c r="J452" s="8">
        <f>IF(ISNA(VLOOKUP(C452,#REF!,1,FALSE)),G452,0)</f>
        <v>0</v>
      </c>
    </row>
    <row r="453" spans="2:10" x14ac:dyDescent="0.25">
      <c r="B453" s="85" t="s">
        <v>282</v>
      </c>
      <c r="C453" s="72" t="s">
        <v>278</v>
      </c>
      <c r="E453" s="72"/>
      <c r="F453" s="72">
        <f>VLOOKUP(C453,'CMD Timing and Current'!$A$2:$I$96,9,FALSE)</f>
        <v>1.1259999999999999E-2</v>
      </c>
      <c r="G453" s="72">
        <f>VLOOKUP(C453,'CMD Timing and Current'!$A$2:$I$96,6,FALSE)</f>
        <v>4.0800000000000002E-5</v>
      </c>
      <c r="H453" s="156">
        <f t="shared" si="50"/>
        <v>4.5940800000000001E-7</v>
      </c>
      <c r="I453" s="8" t="s">
        <v>283</v>
      </c>
      <c r="J453" s="8">
        <f>IF(ISNA(VLOOKUP(C453,#REF!,1,FALSE)),G453,0)</f>
        <v>0</v>
      </c>
    </row>
    <row r="454" spans="2:10" x14ac:dyDescent="0.25">
      <c r="B454" s="85" t="s">
        <v>282</v>
      </c>
      <c r="C454" s="72" t="s">
        <v>278</v>
      </c>
      <c r="E454" s="72"/>
      <c r="F454" s="72">
        <f>VLOOKUP(C454,'CMD Timing and Current'!$A$2:$I$96,9,FALSE)</f>
        <v>1.1259999999999999E-2</v>
      </c>
      <c r="G454" s="72">
        <f>VLOOKUP(C454,'CMD Timing and Current'!$A$2:$I$96,6,FALSE)</f>
        <v>4.0800000000000002E-5</v>
      </c>
      <c r="H454" s="156">
        <f t="shared" si="50"/>
        <v>4.5940800000000001E-7</v>
      </c>
      <c r="I454" s="8" t="s">
        <v>283</v>
      </c>
      <c r="J454" s="8">
        <f>IF(ISNA(VLOOKUP(C454,#REF!,1,FALSE)),G454,0)</f>
        <v>0</v>
      </c>
    </row>
    <row r="455" spans="2:10" x14ac:dyDescent="0.25">
      <c r="B455" s="85" t="s">
        <v>282</v>
      </c>
      <c r="C455" s="72" t="s">
        <v>278</v>
      </c>
      <c r="E455" s="72"/>
      <c r="F455" s="72">
        <f>VLOOKUP(C455,'CMD Timing and Current'!$A$2:$I$96,9,FALSE)</f>
        <v>1.1259999999999999E-2</v>
      </c>
      <c r="G455" s="72">
        <f>VLOOKUP(C455,'CMD Timing and Current'!$A$2:$I$96,6,FALSE)</f>
        <v>4.0800000000000002E-5</v>
      </c>
      <c r="H455" s="156">
        <f t="shared" si="50"/>
        <v>4.5940800000000001E-7</v>
      </c>
      <c r="I455" s="8" t="s">
        <v>283</v>
      </c>
      <c r="J455" s="8">
        <f>IF(ISNA(VLOOKUP(C455,#REF!,1,FALSE)),G455,0)</f>
        <v>0</v>
      </c>
    </row>
    <row r="456" spans="2:10" x14ac:dyDescent="0.25">
      <c r="B456" s="85" t="s">
        <v>282</v>
      </c>
      <c r="C456" s="72" t="s">
        <v>278</v>
      </c>
      <c r="E456" s="72"/>
      <c r="F456" s="72">
        <f>VLOOKUP(C456,'CMD Timing and Current'!$A$2:$I$96,9,FALSE)</f>
        <v>1.1259999999999999E-2</v>
      </c>
      <c r="G456" s="72">
        <f>VLOOKUP(C456,'CMD Timing and Current'!$A$2:$I$96,6,FALSE)</f>
        <v>4.0800000000000002E-5</v>
      </c>
      <c r="H456" s="156">
        <f t="shared" si="50"/>
        <v>4.5940800000000001E-7</v>
      </c>
      <c r="I456" s="8" t="s">
        <v>283</v>
      </c>
      <c r="J456" s="8">
        <f>IF(ISNA(VLOOKUP(C456,#REF!,1,FALSE)),G456,0)</f>
        <v>0</v>
      </c>
    </row>
    <row r="457" spans="2:10" x14ac:dyDescent="0.25">
      <c r="B457" s="85" t="s">
        <v>282</v>
      </c>
      <c r="C457" s="72" t="s">
        <v>278</v>
      </c>
      <c r="E457" s="72"/>
      <c r="F457" s="72">
        <f>VLOOKUP(C457,'CMD Timing and Current'!$A$2:$I$96,9,FALSE)</f>
        <v>1.1259999999999999E-2</v>
      </c>
      <c r="G457" s="72">
        <f>VLOOKUP(C457,'CMD Timing and Current'!$A$2:$I$96,6,FALSE)</f>
        <v>4.0800000000000002E-5</v>
      </c>
      <c r="H457" s="156">
        <f t="shared" si="50"/>
        <v>4.5940800000000001E-7</v>
      </c>
      <c r="I457" s="8" t="s">
        <v>283</v>
      </c>
      <c r="J457" s="8">
        <f>IF(ISNA(VLOOKUP(C457,#REF!,1,FALSE)),G457,0)</f>
        <v>0</v>
      </c>
    </row>
    <row r="458" spans="2:10" x14ac:dyDescent="0.25">
      <c r="B458" s="85" t="s">
        <v>282</v>
      </c>
      <c r="C458" s="72" t="s">
        <v>278</v>
      </c>
      <c r="E458" s="72"/>
      <c r="F458" s="72">
        <f>VLOOKUP(C458,'CMD Timing and Current'!$A$2:$I$96,9,FALSE)</f>
        <v>1.1259999999999999E-2</v>
      </c>
      <c r="G458" s="72">
        <f>VLOOKUP(C458,'CMD Timing and Current'!$A$2:$I$96,6,FALSE)</f>
        <v>4.0800000000000002E-5</v>
      </c>
      <c r="H458" s="156">
        <f t="shared" si="50"/>
        <v>4.5940800000000001E-7</v>
      </c>
      <c r="I458" s="8" t="s">
        <v>283</v>
      </c>
      <c r="J458" s="8">
        <f>IF(ISNA(VLOOKUP(C458,#REF!,1,FALSE)),G458,0)</f>
        <v>0</v>
      </c>
    </row>
    <row r="459" spans="2:10" x14ac:dyDescent="0.25">
      <c r="B459" s="85" t="s">
        <v>282</v>
      </c>
      <c r="C459" s="72" t="s">
        <v>278</v>
      </c>
      <c r="E459" s="72"/>
      <c r="F459" s="72">
        <f>VLOOKUP(C459,'CMD Timing and Current'!$A$2:$I$96,9,FALSE)</f>
        <v>1.1259999999999999E-2</v>
      </c>
      <c r="G459" s="72">
        <f>VLOOKUP(C459,'CMD Timing and Current'!$A$2:$I$96,6,FALSE)</f>
        <v>4.0800000000000002E-5</v>
      </c>
      <c r="H459" s="156">
        <f t="shared" si="50"/>
        <v>4.5940800000000001E-7</v>
      </c>
      <c r="I459" s="8" t="s">
        <v>283</v>
      </c>
      <c r="J459" s="8">
        <f>IF(ISNA(VLOOKUP(C459,#REF!,1,FALSE)),G459,0)</f>
        <v>0</v>
      </c>
    </row>
    <row r="460" spans="2:10" x14ac:dyDescent="0.25">
      <c r="B460" s="85" t="s">
        <v>282</v>
      </c>
      <c r="C460" s="72" t="s">
        <v>278</v>
      </c>
      <c r="E460" s="72"/>
      <c r="F460" s="72">
        <f>VLOOKUP(C460,'CMD Timing and Current'!$A$2:$I$96,9,FALSE)</f>
        <v>1.1259999999999999E-2</v>
      </c>
      <c r="G460" s="72">
        <f>VLOOKUP(C460,'CMD Timing and Current'!$A$2:$I$96,6,FALSE)</f>
        <v>4.0800000000000002E-5</v>
      </c>
      <c r="H460" s="156">
        <f t="shared" si="50"/>
        <v>4.5940800000000001E-7</v>
      </c>
      <c r="I460" s="8" t="s">
        <v>283</v>
      </c>
      <c r="J460" s="8">
        <f>IF(ISNA(VLOOKUP(C460,#REF!,1,FALSE)),G460,0)</f>
        <v>0</v>
      </c>
    </row>
    <row r="461" spans="2:10" x14ac:dyDescent="0.25">
      <c r="B461" s="85" t="s">
        <v>282</v>
      </c>
      <c r="C461" s="72" t="s">
        <v>278</v>
      </c>
      <c r="E461" s="72"/>
      <c r="F461" s="72">
        <f>VLOOKUP(C461,'CMD Timing and Current'!$A$2:$I$96,9,FALSE)</f>
        <v>1.1259999999999999E-2</v>
      </c>
      <c r="G461" s="72">
        <f>VLOOKUP(C461,'CMD Timing and Current'!$A$2:$I$96,6,FALSE)</f>
        <v>4.0800000000000002E-5</v>
      </c>
      <c r="H461" s="156">
        <f t="shared" si="50"/>
        <v>4.5940800000000001E-7</v>
      </c>
      <c r="I461" s="8" t="s">
        <v>283</v>
      </c>
      <c r="J461" s="8">
        <f>IF(ISNA(VLOOKUP(C461,#REF!,1,FALSE)),G461,0)</f>
        <v>0</v>
      </c>
    </row>
    <row r="462" spans="2:10" x14ac:dyDescent="0.25">
      <c r="B462" s="85" t="s">
        <v>282</v>
      </c>
      <c r="C462" s="72" t="s">
        <v>278</v>
      </c>
      <c r="E462" s="72"/>
      <c r="F462" s="72">
        <f>VLOOKUP(C462,'CMD Timing and Current'!$A$2:$I$96,9,FALSE)</f>
        <v>1.1259999999999999E-2</v>
      </c>
      <c r="G462" s="72">
        <f>VLOOKUP(C462,'CMD Timing and Current'!$A$2:$I$96,6,FALSE)</f>
        <v>4.0800000000000002E-5</v>
      </c>
      <c r="H462" s="156">
        <f t="shared" si="50"/>
        <v>4.5940800000000001E-7</v>
      </c>
      <c r="I462" s="8" t="s">
        <v>283</v>
      </c>
      <c r="J462" s="8">
        <f>IF(ISNA(VLOOKUP(C462,#REF!,1,FALSE)),G462,0)</f>
        <v>0</v>
      </c>
    </row>
    <row r="463" spans="2:10" x14ac:dyDescent="0.25">
      <c r="B463" s="85" t="s">
        <v>284</v>
      </c>
      <c r="C463" s="72" t="s">
        <v>278</v>
      </c>
      <c r="E463" s="72"/>
      <c r="F463" s="72">
        <f>VLOOKUP(C463,'CMD Timing and Current'!$A$2:$I$96,9,FALSE)</f>
        <v>1.1259999999999999E-2</v>
      </c>
      <c r="G463" s="72">
        <f>VLOOKUP(C463,'CMD Timing and Current'!$A$2:$I$96,6,FALSE)</f>
        <v>4.0800000000000002E-5</v>
      </c>
      <c r="H463" s="156">
        <f t="shared" si="50"/>
        <v>4.5940800000000001E-7</v>
      </c>
      <c r="I463" s="8" t="s">
        <v>283</v>
      </c>
      <c r="J463" s="8">
        <f>IF(ISNA(VLOOKUP(C463,#REF!,1,FALSE)),G463,0)</f>
        <v>0</v>
      </c>
    </row>
    <row r="464" spans="2:10" x14ac:dyDescent="0.25">
      <c r="B464" s="85" t="s">
        <v>285</v>
      </c>
      <c r="C464" s="72" t="s">
        <v>137</v>
      </c>
      <c r="E464" s="72"/>
      <c r="F464" s="72">
        <f>VLOOKUP(C464,'CMD Timing and Current'!$A$2:$I$96,9,FALSE)</f>
        <v>8.2500000000000004E-3</v>
      </c>
      <c r="G464" s="72">
        <f>VLOOKUP(C464,'CMD Timing and Current'!$A$2:$I$96,6,FALSE)</f>
        <v>8.2399999999999997E-5</v>
      </c>
      <c r="H464" s="156">
        <f t="shared" si="50"/>
        <v>6.7980000000000004E-7</v>
      </c>
      <c r="I464" s="8" t="s">
        <v>286</v>
      </c>
      <c r="J464" s="8">
        <f>IF(ISNA(VLOOKUP(C464,#REF!,1,FALSE)),G464,0)</f>
        <v>0</v>
      </c>
    </row>
    <row r="465" spans="2:10" x14ac:dyDescent="0.25">
      <c r="B465" s="85" t="s">
        <v>287</v>
      </c>
      <c r="C465" s="72" t="s">
        <v>278</v>
      </c>
      <c r="E465" s="72"/>
      <c r="F465" s="72">
        <f>VLOOKUP(C465,'CMD Timing and Current'!$A$2:$I$96,9,FALSE)</f>
        <v>1.1259999999999999E-2</v>
      </c>
      <c r="G465" s="72">
        <f>VLOOKUP(C465,'CMD Timing and Current'!$A$2:$I$96,6,FALSE)</f>
        <v>4.0800000000000002E-5</v>
      </c>
      <c r="H465" s="156">
        <f t="shared" ref="H465:H477" si="51">F465*G465</f>
        <v>4.5940800000000001E-7</v>
      </c>
      <c r="I465" s="8" t="s">
        <v>288</v>
      </c>
      <c r="J465" s="8">
        <f>IF(ISNA(VLOOKUP(C465,#REF!,1,FALSE)),G465,0)</f>
        <v>0</v>
      </c>
    </row>
    <row r="466" spans="2:10" x14ac:dyDescent="0.25">
      <c r="B466" s="85" t="s">
        <v>289</v>
      </c>
      <c r="C466" s="72" t="s">
        <v>290</v>
      </c>
      <c r="E466" s="72"/>
      <c r="F466" s="72">
        <f>VLOOKUP(C466,'CMD Timing and Current'!$A$2:$I$96,9,FALSE)</f>
        <v>8.2500000000000004E-3</v>
      </c>
      <c r="G466" s="72">
        <f>VLOOKUP(C466,'CMD Timing and Current'!$A$2:$I$96,6,FALSE)</f>
        <v>8.2399999999999997E-5</v>
      </c>
      <c r="H466" s="156">
        <f t="shared" si="51"/>
        <v>6.7980000000000004E-7</v>
      </c>
      <c r="I466" s="8" t="s">
        <v>291</v>
      </c>
      <c r="J466" s="8">
        <f>IF(ISNA(VLOOKUP(C466,#REF!,1,FALSE)),G466,0)</f>
        <v>0</v>
      </c>
    </row>
    <row r="467" spans="2:10" x14ac:dyDescent="0.25">
      <c r="B467" s="85" t="s">
        <v>280</v>
      </c>
      <c r="C467" s="72" t="s">
        <v>137</v>
      </c>
      <c r="E467" s="72"/>
      <c r="F467" s="72">
        <f>VLOOKUP(C467,'CMD Timing and Current'!$A$2:$I$96,9,FALSE)</f>
        <v>8.2500000000000004E-3</v>
      </c>
      <c r="G467" s="72">
        <f>VLOOKUP(C467,'CMD Timing and Current'!$A$2:$I$96,6,FALSE)</f>
        <v>8.2399999999999997E-5</v>
      </c>
      <c r="H467" s="156">
        <f t="shared" si="51"/>
        <v>6.7980000000000004E-7</v>
      </c>
      <c r="I467" s="8" t="s">
        <v>292</v>
      </c>
      <c r="J467" s="8">
        <f>IF(ISNA(VLOOKUP(C467,#REF!,1,FALSE)),G467,0)</f>
        <v>0</v>
      </c>
    </row>
    <row r="468" spans="2:10" x14ac:dyDescent="0.25">
      <c r="B468" s="85" t="s">
        <v>293</v>
      </c>
      <c r="C468" s="72" t="s">
        <v>290</v>
      </c>
      <c r="E468" s="72"/>
      <c r="F468" s="72">
        <f>VLOOKUP(C468,'CMD Timing and Current'!$A$2:$I$96,9,FALSE)</f>
        <v>8.2500000000000004E-3</v>
      </c>
      <c r="G468" s="72">
        <f>VLOOKUP(C468,'CMD Timing and Current'!$A$2:$I$96,6,FALSE)</f>
        <v>8.2399999999999997E-5</v>
      </c>
      <c r="H468" s="156">
        <f t="shared" si="51"/>
        <v>6.7980000000000004E-7</v>
      </c>
      <c r="I468" s="8" t="s">
        <v>294</v>
      </c>
      <c r="J468" s="8">
        <f>IF(ISNA(VLOOKUP(C468,#REF!,1,FALSE)),G468,0)</f>
        <v>0</v>
      </c>
    </row>
    <row r="469" spans="2:10" x14ac:dyDescent="0.25">
      <c r="B469" s="85" t="s">
        <v>293</v>
      </c>
      <c r="C469" s="72" t="s">
        <v>290</v>
      </c>
      <c r="E469" s="72"/>
      <c r="F469" s="72">
        <f>VLOOKUP(C469,'CMD Timing and Current'!$A$2:$I$96,9,FALSE)</f>
        <v>8.2500000000000004E-3</v>
      </c>
      <c r="G469" s="72">
        <f>VLOOKUP(C469,'CMD Timing and Current'!$A$2:$I$96,6,FALSE)</f>
        <v>8.2399999999999997E-5</v>
      </c>
      <c r="H469" s="156">
        <f t="shared" si="51"/>
        <v>6.7980000000000004E-7</v>
      </c>
      <c r="I469" s="8" t="s">
        <v>294</v>
      </c>
      <c r="J469" s="8">
        <f>IF(ISNA(VLOOKUP(C469,#REF!,1,FALSE)),G469,0)</f>
        <v>0</v>
      </c>
    </row>
    <row r="470" spans="2:10" x14ac:dyDescent="0.25">
      <c r="B470" s="85" t="s">
        <v>293</v>
      </c>
      <c r="C470" s="72" t="s">
        <v>290</v>
      </c>
      <c r="E470" s="72"/>
      <c r="F470" s="72">
        <f>VLOOKUP(C470,'CMD Timing and Current'!$A$2:$I$96,9,FALSE)</f>
        <v>8.2500000000000004E-3</v>
      </c>
      <c r="G470" s="72">
        <f>VLOOKUP(C470,'CMD Timing and Current'!$A$2:$I$96,6,FALSE)</f>
        <v>8.2399999999999997E-5</v>
      </c>
      <c r="H470" s="156">
        <f t="shared" si="51"/>
        <v>6.7980000000000004E-7</v>
      </c>
      <c r="I470" s="8" t="s">
        <v>294</v>
      </c>
      <c r="J470" s="8">
        <f>IF(ISNA(VLOOKUP(C470,#REF!,1,FALSE)),G470,0)</f>
        <v>0</v>
      </c>
    </row>
    <row r="471" spans="2:10" x14ac:dyDescent="0.25">
      <c r="B471" s="85" t="s">
        <v>293</v>
      </c>
      <c r="C471" s="72" t="s">
        <v>290</v>
      </c>
      <c r="E471" s="72"/>
      <c r="F471" s="72">
        <f>VLOOKUP(C471,'CMD Timing and Current'!$A$2:$I$96,9,FALSE)</f>
        <v>8.2500000000000004E-3</v>
      </c>
      <c r="G471" s="72">
        <f>VLOOKUP(C471,'CMD Timing and Current'!$A$2:$I$96,6,FALSE)</f>
        <v>8.2399999999999997E-5</v>
      </c>
      <c r="H471" s="156">
        <f t="shared" si="51"/>
        <v>6.7980000000000004E-7</v>
      </c>
      <c r="I471" s="8" t="s">
        <v>294</v>
      </c>
      <c r="J471" s="8">
        <f>IF(ISNA(VLOOKUP(C471,#REF!,1,FALSE)),G471,0)</f>
        <v>0</v>
      </c>
    </row>
    <row r="472" spans="2:10" x14ac:dyDescent="0.25">
      <c r="B472" s="85" t="s">
        <v>293</v>
      </c>
      <c r="C472" s="72" t="s">
        <v>290</v>
      </c>
      <c r="E472" s="72"/>
      <c r="F472" s="72">
        <f>VLOOKUP(C472,'CMD Timing and Current'!$A$2:$I$96,9,FALSE)</f>
        <v>8.2500000000000004E-3</v>
      </c>
      <c r="G472" s="72">
        <f>VLOOKUP(C472,'CMD Timing and Current'!$A$2:$I$96,6,FALSE)</f>
        <v>8.2399999999999997E-5</v>
      </c>
      <c r="H472" s="156">
        <f t="shared" si="51"/>
        <v>6.7980000000000004E-7</v>
      </c>
      <c r="I472" s="8" t="s">
        <v>294</v>
      </c>
      <c r="J472" s="8">
        <f>IF(ISNA(VLOOKUP(C472,#REF!,1,FALSE)),G472,0)</f>
        <v>0</v>
      </c>
    </row>
    <row r="473" spans="2:10" x14ac:dyDescent="0.25">
      <c r="B473" s="85" t="s">
        <v>293</v>
      </c>
      <c r="C473" s="72" t="s">
        <v>290</v>
      </c>
      <c r="E473" s="72"/>
      <c r="F473" s="72">
        <f>VLOOKUP(C473,'CMD Timing and Current'!$A$2:$I$96,9,FALSE)</f>
        <v>8.2500000000000004E-3</v>
      </c>
      <c r="G473" s="72">
        <f>VLOOKUP(C473,'CMD Timing and Current'!$A$2:$I$96,6,FALSE)</f>
        <v>8.2399999999999997E-5</v>
      </c>
      <c r="H473" s="156">
        <f t="shared" si="51"/>
        <v>6.7980000000000004E-7</v>
      </c>
      <c r="I473" s="8" t="s">
        <v>294</v>
      </c>
      <c r="J473" s="8">
        <f>IF(ISNA(VLOOKUP(C473,#REF!,1,FALSE)),G473,0)</f>
        <v>0</v>
      </c>
    </row>
    <row r="474" spans="2:10" x14ac:dyDescent="0.25">
      <c r="B474" s="85" t="s">
        <v>293</v>
      </c>
      <c r="C474" s="72" t="s">
        <v>290</v>
      </c>
      <c r="E474" s="72"/>
      <c r="F474" s="72">
        <f>VLOOKUP(C474,'CMD Timing and Current'!$A$2:$I$96,9,FALSE)</f>
        <v>8.2500000000000004E-3</v>
      </c>
      <c r="G474" s="72">
        <f>VLOOKUP(C474,'CMD Timing and Current'!$A$2:$I$96,6,FALSE)</f>
        <v>8.2399999999999997E-5</v>
      </c>
      <c r="H474" s="156">
        <f t="shared" si="51"/>
        <v>6.7980000000000004E-7</v>
      </c>
      <c r="I474" s="8" t="s">
        <v>294</v>
      </c>
      <c r="J474" s="8">
        <f>IF(ISNA(VLOOKUP(C474,#REF!,1,FALSE)),G474,0)</f>
        <v>0</v>
      </c>
    </row>
    <row r="475" spans="2:10" x14ac:dyDescent="0.25">
      <c r="B475" s="85" t="s">
        <v>293</v>
      </c>
      <c r="C475" s="72" t="s">
        <v>290</v>
      </c>
      <c r="E475" s="72"/>
      <c r="F475" s="72">
        <f>VLOOKUP(C475,'CMD Timing and Current'!$A$2:$I$96,9,FALSE)</f>
        <v>8.2500000000000004E-3</v>
      </c>
      <c r="G475" s="72">
        <f>VLOOKUP(C475,'CMD Timing and Current'!$A$2:$I$96,6,FALSE)</f>
        <v>8.2399999999999997E-5</v>
      </c>
      <c r="H475" s="156">
        <f t="shared" si="51"/>
        <v>6.7980000000000004E-7</v>
      </c>
      <c r="I475" s="8" t="s">
        <v>294</v>
      </c>
      <c r="J475" s="8">
        <f>IF(ISNA(VLOOKUP(C475,#REF!,1,FALSE)),G475,0)</f>
        <v>0</v>
      </c>
    </row>
    <row r="476" spans="2:10" x14ac:dyDescent="0.25">
      <c r="B476" s="85" t="s">
        <v>293</v>
      </c>
      <c r="C476" s="72" t="s">
        <v>290</v>
      </c>
      <c r="E476" s="72"/>
      <c r="F476" s="72">
        <f>VLOOKUP(C476,'CMD Timing and Current'!$A$2:$I$96,9,FALSE)</f>
        <v>8.2500000000000004E-3</v>
      </c>
      <c r="G476" s="72">
        <f>VLOOKUP(C476,'CMD Timing and Current'!$A$2:$I$96,6,FALSE)</f>
        <v>8.2399999999999997E-5</v>
      </c>
      <c r="H476" s="156">
        <f t="shared" si="51"/>
        <v>6.7980000000000004E-7</v>
      </c>
      <c r="I476" s="8" t="s">
        <v>294</v>
      </c>
      <c r="J476" s="8">
        <f>IF(ISNA(VLOOKUP(C476,#REF!,1,FALSE)),G476,0)</f>
        <v>0</v>
      </c>
    </row>
    <row r="477" spans="2:10" x14ac:dyDescent="0.25">
      <c r="B477" s="85" t="s">
        <v>295</v>
      </c>
      <c r="C477" s="72" t="s">
        <v>290</v>
      </c>
      <c r="E477" s="72"/>
      <c r="F477" s="72">
        <f>VLOOKUP(C477,'CMD Timing and Current'!$A$2:$I$96,9,FALSE)</f>
        <v>8.2500000000000004E-3</v>
      </c>
      <c r="G477" s="72">
        <f>VLOOKUP(C477,'CMD Timing and Current'!$A$2:$I$96,6,FALSE)</f>
        <v>8.2399999999999997E-5</v>
      </c>
      <c r="H477" s="156">
        <f t="shared" si="51"/>
        <v>6.7980000000000004E-7</v>
      </c>
      <c r="I477" s="8" t="s">
        <v>294</v>
      </c>
      <c r="J477" s="8">
        <f>IF(ISNA(VLOOKUP(C477,#REF!,1,FALSE)),G477,0)</f>
        <v>0</v>
      </c>
    </row>
    <row r="478" spans="2:10" x14ac:dyDescent="0.25">
      <c r="B478" s="85" t="s">
        <v>285</v>
      </c>
      <c r="C478" s="72" t="s">
        <v>137</v>
      </c>
      <c r="E478" s="72"/>
      <c r="F478" s="72">
        <f>VLOOKUP(C478,'CMD Timing and Current'!$A$2:$I$96,9,FALSE)</f>
        <v>8.2500000000000004E-3</v>
      </c>
      <c r="G478" s="72">
        <f>VLOOKUP(C478,'CMD Timing and Current'!$A$2:$I$96,6,FALSE)</f>
        <v>8.2399999999999997E-5</v>
      </c>
      <c r="H478" s="156">
        <f t="shared" ref="H478:H480" si="52">F478*G478</f>
        <v>6.7980000000000004E-7</v>
      </c>
      <c r="I478" s="8" t="s">
        <v>296</v>
      </c>
      <c r="J478" s="8">
        <f>IF(ISNA(VLOOKUP(C478,#REF!,1,FALSE)),G478,0)</f>
        <v>0</v>
      </c>
    </row>
    <row r="479" spans="2:10" x14ac:dyDescent="0.25">
      <c r="B479" s="85" t="s">
        <v>297</v>
      </c>
      <c r="C479" s="72" t="s">
        <v>290</v>
      </c>
      <c r="E479" s="72"/>
      <c r="F479" s="72">
        <f>VLOOKUP(C479,'CMD Timing and Current'!$A$2:$I$96,9,FALSE)</f>
        <v>8.2500000000000004E-3</v>
      </c>
      <c r="G479" s="72">
        <f>VLOOKUP(C479,'CMD Timing and Current'!$A$2:$I$96,6,FALSE)</f>
        <v>8.2399999999999997E-5</v>
      </c>
      <c r="H479" s="156">
        <f t="shared" si="52"/>
        <v>6.7980000000000004E-7</v>
      </c>
      <c r="I479" s="85" t="s">
        <v>298</v>
      </c>
      <c r="J479" s="8">
        <f>IF(ISNA(VLOOKUP(C479,#REF!,1,FALSE)),G479,0)</f>
        <v>0</v>
      </c>
    </row>
    <row r="480" spans="2:10" x14ac:dyDescent="0.25">
      <c r="B480" s="85" t="s">
        <v>299</v>
      </c>
      <c r="C480" s="72" t="s">
        <v>300</v>
      </c>
      <c r="E480" s="72"/>
      <c r="F480" s="72">
        <f>VLOOKUP(C480,'CMD Timing and Current'!$A$2:$I$96,9,FALSE)</f>
        <v>1.1259999999999999E-2</v>
      </c>
      <c r="G480" s="72">
        <f>VLOOKUP(C480,'CMD Timing and Current'!$A$2:$I$96,6,FALSE)</f>
        <v>4.0800000000000002E-5</v>
      </c>
      <c r="H480" s="156">
        <f t="shared" si="52"/>
        <v>4.5940800000000001E-7</v>
      </c>
      <c r="I480" s="85" t="s">
        <v>301</v>
      </c>
      <c r="J480" s="8">
        <f>IF(ISNA(VLOOKUP(C480,#REF!,1,FALSE)),G480,0)</f>
        <v>0</v>
      </c>
    </row>
    <row r="481" spans="1:10" s="173" customFormat="1" ht="15.75" thickBot="1" x14ac:dyDescent="0.3">
      <c r="A481" s="8"/>
      <c r="B481" s="139" t="str">
        <f>_xlfn.CONCAT(E447:E480)</f>
        <v>SM22-</v>
      </c>
      <c r="C481" s="164"/>
      <c r="D481" s="150"/>
      <c r="E481" s="164" t="s">
        <v>146</v>
      </c>
      <c r="F481" s="164"/>
      <c r="G481" s="150">
        <f>SUM(G447:G480)</f>
        <v>2.0528000000000009E-3</v>
      </c>
      <c r="H481" s="172">
        <f>SUM(H447:H480)/G481</f>
        <v>9.3268433359314038E-3</v>
      </c>
      <c r="I481" s="72"/>
      <c r="J481" s="8">
        <f>SUM(J447:J480)</f>
        <v>0</v>
      </c>
    </row>
    <row r="482" spans="1:10" ht="15.75" thickBot="1" x14ac:dyDescent="0.3"/>
    <row r="483" spans="1:10" x14ac:dyDescent="0.25">
      <c r="B483" s="135" t="str">
        <f>'SPF IDs'!A21</f>
        <v>SM_POWER_MON_DIAG</v>
      </c>
      <c r="C483" s="153"/>
      <c r="D483" s="154"/>
      <c r="E483" s="154"/>
      <c r="F483" s="154"/>
      <c r="G483" s="154"/>
      <c r="H483" s="155"/>
      <c r="I483" s="72"/>
    </row>
    <row r="484" spans="1:10" x14ac:dyDescent="0.25">
      <c r="B484" s="136" t="s">
        <v>126</v>
      </c>
      <c r="C484" s="72" t="s">
        <v>127</v>
      </c>
      <c r="D484" s="8" t="s">
        <v>128</v>
      </c>
      <c r="E484" s="72" t="s">
        <v>129</v>
      </c>
      <c r="F484" s="72" t="s">
        <v>130</v>
      </c>
      <c r="G484" s="72" t="s">
        <v>131</v>
      </c>
      <c r="H484" s="156" t="s">
        <v>68</v>
      </c>
      <c r="I484" s="72"/>
    </row>
    <row r="485" spans="1:10" x14ac:dyDescent="0.25">
      <c r="B485" s="85"/>
      <c r="C485" s="72" t="s">
        <v>139</v>
      </c>
      <c r="E485" s="72"/>
      <c r="F485" s="72">
        <f>VLOOKUP(C485,'CMD Timing and Current'!$A$2:$I$96,9,FALSE)</f>
        <v>8.2500000000000004E-3</v>
      </c>
      <c r="G485" s="72">
        <f>VLOOKUP(C485,'CMD Timing and Current'!$A$2:$I$96,6,FALSE)</f>
        <v>8.2399999999999997E-5</v>
      </c>
      <c r="H485" s="156">
        <f>F485*G485</f>
        <v>6.7980000000000004E-7</v>
      </c>
      <c r="I485" s="72" t="s">
        <v>302</v>
      </c>
      <c r="J485" s="8">
        <f>IF(ISNA(VLOOKUP(C485,#REF!,1,FALSE)),G485,0)</f>
        <v>0</v>
      </c>
    </row>
    <row r="486" spans="1:10" x14ac:dyDescent="0.25">
      <c r="B486" s="85" t="s">
        <v>303</v>
      </c>
      <c r="C486" s="72" t="s">
        <v>135</v>
      </c>
      <c r="E486" s="72" t="s">
        <v>116</v>
      </c>
      <c r="F486" s="72">
        <f>VLOOKUP(C486,'CMD Timing and Current'!$A$2:$I$96,9,FALSE)</f>
        <v>8.2500000000000004E-3</v>
      </c>
      <c r="G486" s="72">
        <f>VLOOKUP(C486,'CMD Timing and Current'!$A$2:$I$96,6,FALSE)</f>
        <v>8.2399999999999997E-5</v>
      </c>
      <c r="H486" s="156">
        <f>F486*G486</f>
        <v>6.7980000000000004E-7</v>
      </c>
      <c r="I486" s="72" t="s">
        <v>304</v>
      </c>
      <c r="J486" s="8">
        <f>IF(ISNA(VLOOKUP(C486,#REF!,1,FALSE)),G486,0)</f>
        <v>0</v>
      </c>
    </row>
    <row r="487" spans="1:10" x14ac:dyDescent="0.25">
      <c r="B487" s="85" t="s">
        <v>305</v>
      </c>
      <c r="C487" s="167" t="s">
        <v>144</v>
      </c>
      <c r="E487" s="72"/>
      <c r="F487" s="72">
        <f>VLOOKUP(C487,'CMD Timing and Current'!$A$2:$I$99,9,FALSE)</f>
        <v>1.1259999999999999E-2</v>
      </c>
      <c r="G487" s="72">
        <f>VLOOKUP(C487,'CMD Timing and Current'!$A$2:$I$99,6,FALSE)</f>
        <v>4.0800000000000002E-5</v>
      </c>
      <c r="H487" s="156">
        <f t="shared" ref="H487:H489" si="53">F487*G487</f>
        <v>4.5940800000000001E-7</v>
      </c>
      <c r="I487" s="8" t="s">
        <v>306</v>
      </c>
      <c r="J487" s="8">
        <f>IF(ISNA(VLOOKUP(C487,#REF!,1,FALSE)),G487,0)</f>
        <v>0</v>
      </c>
    </row>
    <row r="488" spans="1:10" x14ac:dyDescent="0.25">
      <c r="B488" s="144"/>
      <c r="C488" s="167" t="s">
        <v>307</v>
      </c>
      <c r="E488" s="72"/>
      <c r="F488" s="72"/>
      <c r="G488" s="72">
        <v>2E-3</v>
      </c>
      <c r="H488" s="156"/>
      <c r="I488" s="8" t="s">
        <v>308</v>
      </c>
      <c r="J488" s="8">
        <f>IF(ISNA(VLOOKUP(C488,#REF!,1,FALSE)),G488,0)</f>
        <v>0</v>
      </c>
    </row>
    <row r="489" spans="1:10" x14ac:dyDescent="0.25">
      <c r="B489" s="130" t="s">
        <v>309</v>
      </c>
      <c r="C489" s="169" t="s">
        <v>141</v>
      </c>
      <c r="E489" s="169"/>
      <c r="F489" s="169">
        <f>VLOOKUP(C489,'CMD Timing and Current'!$A$2:$I$96,9,FALSE)</f>
        <v>8.2500000000000004E-3</v>
      </c>
      <c r="G489" s="169">
        <f>VLOOKUP(C489,'CMD Timing and Current'!$A$2:$I$96,6,FALSE)</f>
        <v>8.2399999999999997E-5</v>
      </c>
      <c r="H489" s="174">
        <f t="shared" si="53"/>
        <v>6.7980000000000004E-7</v>
      </c>
      <c r="I489" s="72" t="s">
        <v>310</v>
      </c>
      <c r="J489" s="8">
        <f>IF(ISNA(VLOOKUP(C489,#REF!,1,FALSE)),G489,0)</f>
        <v>0</v>
      </c>
    </row>
    <row r="490" spans="1:10" x14ac:dyDescent="0.25">
      <c r="B490" s="85" t="s">
        <v>311</v>
      </c>
      <c r="C490" s="72" t="s">
        <v>135</v>
      </c>
      <c r="E490" s="72"/>
      <c r="F490" s="72">
        <f>VLOOKUP(C490,'CMD Timing and Current'!$A$2:$I$96,9,FALSE)</f>
        <v>8.2500000000000004E-3</v>
      </c>
      <c r="G490" s="72">
        <f>VLOOKUP(C490,'CMD Timing and Current'!$A$2:$I$96,6,FALSE)</f>
        <v>8.2399999999999997E-5</v>
      </c>
      <c r="H490" s="156">
        <f>F490*G490</f>
        <v>6.7980000000000004E-7</v>
      </c>
      <c r="I490" s="72" t="s">
        <v>312</v>
      </c>
      <c r="J490" s="8">
        <f>IF(ISNA(VLOOKUP(C490,#REF!,1,FALSE)),G490,0)</f>
        <v>0</v>
      </c>
    </row>
    <row r="491" spans="1:10" x14ac:dyDescent="0.25">
      <c r="B491" s="85" t="s">
        <v>313</v>
      </c>
      <c r="C491" s="167" t="s">
        <v>144</v>
      </c>
      <c r="E491" s="72"/>
      <c r="F491" s="72">
        <f>VLOOKUP(C491,'CMD Timing and Current'!$A$2:$I$99,9,FALSE)</f>
        <v>1.1259999999999999E-2</v>
      </c>
      <c r="G491" s="72">
        <f>VLOOKUP(C491,'CMD Timing and Current'!$A$2:$I$99,6,FALSE)</f>
        <v>4.0800000000000002E-5</v>
      </c>
      <c r="H491" s="156">
        <f t="shared" ref="H491" si="54">F491*G491</f>
        <v>4.5940800000000001E-7</v>
      </c>
      <c r="I491" s="8" t="s">
        <v>314</v>
      </c>
      <c r="J491" s="8">
        <f>IF(ISNA(VLOOKUP(C491,#REF!,1,FALSE)),G491,0)</f>
        <v>0</v>
      </c>
    </row>
    <row r="492" spans="1:10" x14ac:dyDescent="0.25">
      <c r="B492" s="144"/>
      <c r="C492" s="167" t="s">
        <v>307</v>
      </c>
      <c r="E492" s="72"/>
      <c r="F492" s="72"/>
      <c r="G492" s="72">
        <v>2E-3</v>
      </c>
      <c r="H492" s="156"/>
      <c r="I492" s="8" t="s">
        <v>308</v>
      </c>
      <c r="J492" s="8">
        <f>IF(ISNA(VLOOKUP(C492,#REF!,1,FALSE)),G492,0)</f>
        <v>0</v>
      </c>
    </row>
    <row r="493" spans="1:10" x14ac:dyDescent="0.25">
      <c r="B493" s="130" t="s">
        <v>315</v>
      </c>
      <c r="C493" s="169" t="s">
        <v>141</v>
      </c>
      <c r="E493" s="169"/>
      <c r="F493" s="169">
        <f>VLOOKUP(C493,'CMD Timing and Current'!$A$2:$I$96,9,FALSE)</f>
        <v>8.2500000000000004E-3</v>
      </c>
      <c r="G493" s="169">
        <f>VLOOKUP(C493,'CMD Timing and Current'!$A$2:$I$96,6,FALSE)</f>
        <v>8.2399999999999997E-5</v>
      </c>
      <c r="H493" s="174">
        <f t="shared" ref="H493" si="55">F493*G493</f>
        <v>6.7980000000000004E-7</v>
      </c>
      <c r="I493" s="72" t="s">
        <v>316</v>
      </c>
      <c r="J493" s="8">
        <f>IF(ISNA(VLOOKUP(C493,#REF!,1,FALSE)),G493,0)</f>
        <v>0</v>
      </c>
    </row>
    <row r="494" spans="1:10" x14ac:dyDescent="0.25">
      <c r="B494" s="85" t="s">
        <v>317</v>
      </c>
      <c r="C494" s="72" t="s">
        <v>135</v>
      </c>
      <c r="E494" s="72"/>
      <c r="F494" s="72">
        <f>VLOOKUP(C494,'CMD Timing and Current'!$A$2:$I$100,9,FALSE)</f>
        <v>8.2500000000000004E-3</v>
      </c>
      <c r="G494" s="72">
        <f>VLOOKUP(C494,'CMD Timing and Current'!$A$2:$I$100,6,FALSE)</f>
        <v>8.2399999999999997E-5</v>
      </c>
      <c r="H494" s="156">
        <f>F494*G494</f>
        <v>6.7980000000000004E-7</v>
      </c>
      <c r="I494" s="72" t="s">
        <v>318</v>
      </c>
      <c r="J494" s="8">
        <f>IF(ISNA(VLOOKUP(C494,#REF!,1,FALSE)),G494,0)</f>
        <v>0</v>
      </c>
    </row>
    <row r="495" spans="1:10" x14ac:dyDescent="0.25">
      <c r="B495" s="85"/>
      <c r="C495" s="72" t="s">
        <v>139</v>
      </c>
      <c r="E495" s="72"/>
      <c r="F495" s="72">
        <f>VLOOKUP(C495,'CMD Timing and Current'!$A$2:$I$96,9,FALSE)</f>
        <v>8.2500000000000004E-3</v>
      </c>
      <c r="G495" s="72">
        <f>VLOOKUP(C495,'CMD Timing and Current'!$A$2:$I$96,6,FALSE)</f>
        <v>8.2399999999999997E-5</v>
      </c>
      <c r="H495" s="156">
        <f t="shared" ref="H495:H496" si="56">F495*G495</f>
        <v>6.7980000000000004E-7</v>
      </c>
      <c r="I495" s="72" t="s">
        <v>319</v>
      </c>
      <c r="J495" s="8">
        <f>IF(ISNA(VLOOKUP(C495,#REF!,1,FALSE)),G495,0)</f>
        <v>0</v>
      </c>
    </row>
    <row r="496" spans="1:10" x14ac:dyDescent="0.25">
      <c r="B496" s="130" t="s">
        <v>320</v>
      </c>
      <c r="C496" s="169" t="s">
        <v>141</v>
      </c>
      <c r="E496" s="169"/>
      <c r="F496" s="169">
        <f>VLOOKUP(C496,'CMD Timing and Current'!$A$2:$I$96,9,FALSE)</f>
        <v>8.2500000000000004E-3</v>
      </c>
      <c r="G496" s="169">
        <f>VLOOKUP(C496,'CMD Timing and Current'!$A$2:$I$96,6,FALSE)</f>
        <v>8.2399999999999997E-5</v>
      </c>
      <c r="H496" s="174">
        <f t="shared" si="56"/>
        <v>6.7980000000000004E-7</v>
      </c>
      <c r="I496" s="72" t="s">
        <v>321</v>
      </c>
      <c r="J496" s="8">
        <f>IF(ISNA(VLOOKUP(C496,#REF!,1,FALSE)),G496,0)</f>
        <v>0</v>
      </c>
    </row>
    <row r="497" spans="2:10" ht="15.75" thickBot="1" x14ac:dyDescent="0.3">
      <c r="B497" s="139" t="str">
        <f>_xlfn.CONCAT(E485:E496)</f>
        <v>SM23-</v>
      </c>
      <c r="C497" s="164"/>
      <c r="D497" s="150"/>
      <c r="E497" s="164" t="s">
        <v>146</v>
      </c>
      <c r="F497" s="164"/>
      <c r="G497" s="150">
        <f>SUM(G485:G496)</f>
        <v>4.7407999999999999E-3</v>
      </c>
      <c r="H497" s="172">
        <f>SUM(H485:H496)/G497</f>
        <v>1.3409584880188998E-3</v>
      </c>
      <c r="I497" s="72"/>
      <c r="J497" s="8">
        <f>SUM(J485:J496)</f>
        <v>0</v>
      </c>
    </row>
    <row r="498" spans="2:10" ht="15.75" thickBot="1" x14ac:dyDescent="0.3">
      <c r="B498" s="72"/>
      <c r="C498" s="127"/>
      <c r="D498" s="72"/>
      <c r="E498" s="72"/>
      <c r="F498" s="72"/>
      <c r="G498" s="72"/>
      <c r="H498" s="72"/>
      <c r="I498" s="72"/>
    </row>
    <row r="499" spans="2:10" x14ac:dyDescent="0.25">
      <c r="B499" s="135" t="str">
        <f>'SPF IDs'!A22</f>
        <v>SM_CLOCK_MON_DIAG</v>
      </c>
      <c r="C499" s="153"/>
      <c r="D499" s="154"/>
      <c r="E499" s="154"/>
      <c r="F499" s="154"/>
      <c r="G499" s="154"/>
      <c r="H499" s="155"/>
      <c r="I499" s="72"/>
    </row>
    <row r="500" spans="2:10" x14ac:dyDescent="0.25">
      <c r="B500" s="136" t="s">
        <v>126</v>
      </c>
      <c r="C500" s="72" t="s">
        <v>127</v>
      </c>
      <c r="D500" s="8" t="s">
        <v>128</v>
      </c>
      <c r="E500" s="72" t="s">
        <v>129</v>
      </c>
      <c r="F500" s="72" t="s">
        <v>130</v>
      </c>
      <c r="G500" s="72" t="s">
        <v>131</v>
      </c>
      <c r="H500" s="156" t="s">
        <v>68</v>
      </c>
      <c r="I500" s="72"/>
    </row>
    <row r="501" spans="2:10" x14ac:dyDescent="0.25">
      <c r="B501" s="85"/>
      <c r="C501" s="72" t="s">
        <v>139</v>
      </c>
      <c r="E501" s="72"/>
      <c r="F501" s="72">
        <f>VLOOKUP(C501,'CMD Timing and Current'!$A$2:$I$96,9,FALSE)</f>
        <v>8.2500000000000004E-3</v>
      </c>
      <c r="G501" s="72">
        <f>VLOOKUP(C501,'CMD Timing and Current'!$A$2:$I$96,6,FALSE)</f>
        <v>8.2399999999999997E-5</v>
      </c>
      <c r="H501" s="156">
        <f>F501*G501</f>
        <v>6.7980000000000004E-7</v>
      </c>
      <c r="I501" s="72" t="s">
        <v>302</v>
      </c>
      <c r="J501" s="8">
        <f>IF(ISNA(VLOOKUP(C501,#REF!,1,FALSE)),G501,0)</f>
        <v>0</v>
      </c>
    </row>
    <row r="502" spans="2:10" x14ac:dyDescent="0.25">
      <c r="B502" s="85" t="s">
        <v>322</v>
      </c>
      <c r="C502" s="72" t="s">
        <v>135</v>
      </c>
      <c r="E502" s="72" t="s">
        <v>117</v>
      </c>
      <c r="F502" s="72">
        <f>VLOOKUP(C502,'CMD Timing and Current'!$A$2:$I$96,9,FALSE)</f>
        <v>8.2500000000000004E-3</v>
      </c>
      <c r="G502" s="72">
        <f>VLOOKUP(C502,'CMD Timing and Current'!$A$2:$I$96,6,FALSE)</f>
        <v>8.2399999999999997E-5</v>
      </c>
      <c r="H502" s="156">
        <f>F502*G502</f>
        <v>6.7980000000000004E-7</v>
      </c>
      <c r="I502" s="72" t="s">
        <v>323</v>
      </c>
      <c r="J502" s="8">
        <f>IF(ISNA(VLOOKUP(C502,#REF!,1,FALSE)),G502,0)</f>
        <v>0</v>
      </c>
    </row>
    <row r="503" spans="2:10" x14ac:dyDescent="0.25">
      <c r="B503" s="85" t="s">
        <v>324</v>
      </c>
      <c r="C503" s="167" t="s">
        <v>144</v>
      </c>
      <c r="E503" s="72"/>
      <c r="F503" s="72">
        <f>VLOOKUP(C503,'CMD Timing and Current'!$A$2:$I$99,9,FALSE)</f>
        <v>1.1259999999999999E-2</v>
      </c>
      <c r="G503" s="72">
        <f>VLOOKUP(C503,'CMD Timing and Current'!$A$2:$I$99,6,FALSE)</f>
        <v>4.0800000000000002E-5</v>
      </c>
      <c r="H503" s="156">
        <f t="shared" ref="H503" si="57">F503*G503</f>
        <v>4.5940800000000001E-7</v>
      </c>
      <c r="I503" s="8" t="s">
        <v>306</v>
      </c>
      <c r="J503" s="8">
        <f>IF(ISNA(VLOOKUP(C503,#REF!,1,FALSE)),G503,0)</f>
        <v>0</v>
      </c>
    </row>
    <row r="504" spans="2:10" x14ac:dyDescent="0.25">
      <c r="B504" s="144"/>
      <c r="C504" s="167" t="s">
        <v>307</v>
      </c>
      <c r="E504" s="72"/>
      <c r="F504" s="72"/>
      <c r="G504" s="72">
        <v>2E-3</v>
      </c>
      <c r="H504" s="156"/>
      <c r="I504" s="8" t="s">
        <v>308</v>
      </c>
      <c r="J504" s="8">
        <f>IF(ISNA(VLOOKUP(C504,#REF!,1,FALSE)),G504,0)</f>
        <v>0</v>
      </c>
    </row>
    <row r="505" spans="2:10" x14ac:dyDescent="0.25">
      <c r="B505" s="130" t="s">
        <v>325</v>
      </c>
      <c r="C505" s="169" t="s">
        <v>141</v>
      </c>
      <c r="E505" s="169"/>
      <c r="F505" s="169">
        <f>VLOOKUP(C505,'CMD Timing and Current'!$A$2:$I$96,9,FALSE)</f>
        <v>8.2500000000000004E-3</v>
      </c>
      <c r="G505" s="169">
        <f>VLOOKUP(C505,'CMD Timing and Current'!$A$2:$I$96,6,FALSE)</f>
        <v>8.2399999999999997E-5</v>
      </c>
      <c r="H505" s="174">
        <f t="shared" ref="H505" si="58">F505*G505</f>
        <v>6.7980000000000004E-7</v>
      </c>
      <c r="I505" s="72" t="s">
        <v>326</v>
      </c>
      <c r="J505" s="8">
        <f>IF(ISNA(VLOOKUP(C505,#REF!,1,FALSE)),G505,0)</f>
        <v>0</v>
      </c>
    </row>
    <row r="506" spans="2:10" x14ac:dyDescent="0.25">
      <c r="B506" s="85"/>
      <c r="C506" s="72" t="s">
        <v>135</v>
      </c>
      <c r="E506" s="72"/>
      <c r="F506" s="72">
        <f>VLOOKUP(C506,'CMD Timing and Current'!$A$2:$I$96,9,FALSE)</f>
        <v>8.2500000000000004E-3</v>
      </c>
      <c r="G506" s="72">
        <f>VLOOKUP(C506,'CMD Timing and Current'!$A$2:$I$96,6,FALSE)</f>
        <v>8.2399999999999997E-5</v>
      </c>
      <c r="H506" s="156">
        <f>F506*G506</f>
        <v>6.7980000000000004E-7</v>
      </c>
      <c r="I506" s="72" t="s">
        <v>327</v>
      </c>
      <c r="J506" s="8">
        <f>IF(ISNA(VLOOKUP(C506,#REF!,1,FALSE)),G506,0)</f>
        <v>0</v>
      </c>
    </row>
    <row r="507" spans="2:10" x14ac:dyDescent="0.25">
      <c r="B507" s="85"/>
      <c r="C507" s="72" t="s">
        <v>139</v>
      </c>
      <c r="E507" s="72"/>
      <c r="F507" s="72">
        <f>VLOOKUP(C507,'CMD Timing and Current'!$A$2:$I$96,9,FALSE)</f>
        <v>8.2500000000000004E-3</v>
      </c>
      <c r="G507" s="72">
        <f>VLOOKUP(C507,'CMD Timing and Current'!$A$2:$I$96,6,FALSE)</f>
        <v>8.2399999999999997E-5</v>
      </c>
      <c r="H507" s="156">
        <f>F507*G507</f>
        <v>6.7980000000000004E-7</v>
      </c>
      <c r="I507" s="72" t="s">
        <v>328</v>
      </c>
      <c r="J507" s="8">
        <f>IF(ISNA(VLOOKUP(C507,#REF!,1,FALSE)),G507,0)</f>
        <v>0</v>
      </c>
    </row>
    <row r="508" spans="2:10" x14ac:dyDescent="0.25">
      <c r="B508" s="85" t="s">
        <v>324</v>
      </c>
      <c r="C508" s="167" t="s">
        <v>144</v>
      </c>
      <c r="E508" s="72"/>
      <c r="F508" s="72">
        <f>VLOOKUP(C508,'CMD Timing and Current'!$A$2:$I$99,9,FALSE)</f>
        <v>1.1259999999999999E-2</v>
      </c>
      <c r="G508" s="72">
        <f>VLOOKUP(C508,'CMD Timing and Current'!$A$2:$I$99,6,FALSE)</f>
        <v>4.0800000000000002E-5</v>
      </c>
      <c r="H508" s="156">
        <f t="shared" ref="H508" si="59">F508*G508</f>
        <v>4.5940800000000001E-7</v>
      </c>
      <c r="I508" s="8" t="s">
        <v>306</v>
      </c>
      <c r="J508" s="8">
        <f>IF(ISNA(VLOOKUP(C508,#REF!,1,FALSE)),G508,0)</f>
        <v>0</v>
      </c>
    </row>
    <row r="509" spans="2:10" x14ac:dyDescent="0.25">
      <c r="B509" s="144"/>
      <c r="C509" s="167" t="s">
        <v>307</v>
      </c>
      <c r="E509" s="72"/>
      <c r="F509" s="72"/>
      <c r="G509" s="72">
        <v>2E-3</v>
      </c>
      <c r="H509" s="156"/>
      <c r="I509" s="8" t="s">
        <v>308</v>
      </c>
      <c r="J509" s="8">
        <f>IF(ISNA(VLOOKUP(C509,#REF!,1,FALSE)),G509,0)</f>
        <v>0</v>
      </c>
    </row>
    <row r="510" spans="2:10" x14ac:dyDescent="0.25">
      <c r="B510" s="130" t="s">
        <v>325</v>
      </c>
      <c r="C510" s="169" t="s">
        <v>141</v>
      </c>
      <c r="E510" s="169"/>
      <c r="F510" s="169">
        <f>VLOOKUP(C510,'CMD Timing and Current'!$A$2:$I$96,9,FALSE)</f>
        <v>8.2500000000000004E-3</v>
      </c>
      <c r="G510" s="169">
        <f>VLOOKUP(C510,'CMD Timing and Current'!$A$2:$I$96,6,FALSE)</f>
        <v>8.2399999999999997E-5</v>
      </c>
      <c r="H510" s="174">
        <f t="shared" ref="H510:H513" si="60">F510*G510</f>
        <v>6.7980000000000004E-7</v>
      </c>
      <c r="I510" s="72" t="s">
        <v>326</v>
      </c>
      <c r="J510" s="8">
        <f>IF(ISNA(VLOOKUP(C510,#REF!,1,FALSE)),G510,0)</f>
        <v>0</v>
      </c>
    </row>
    <row r="511" spans="2:10" x14ac:dyDescent="0.25">
      <c r="B511" s="85" t="s">
        <v>329</v>
      </c>
      <c r="C511" s="72" t="s">
        <v>135</v>
      </c>
      <c r="E511" s="72"/>
      <c r="F511" s="72">
        <f>VLOOKUP(C511,'CMD Timing and Current'!$A$2:$I$100,9,FALSE)</f>
        <v>8.2500000000000004E-3</v>
      </c>
      <c r="G511" s="72">
        <f>VLOOKUP(C511,'CMD Timing and Current'!$A$2:$I$100,6,FALSE)</f>
        <v>8.2399999999999997E-5</v>
      </c>
      <c r="H511" s="156">
        <f>F511*G511</f>
        <v>6.7980000000000004E-7</v>
      </c>
      <c r="I511" s="72" t="s">
        <v>330</v>
      </c>
      <c r="J511" s="8">
        <f>IF(ISNA(VLOOKUP(C511,#REF!,1,FALSE)),G511,0)</f>
        <v>0</v>
      </c>
    </row>
    <row r="512" spans="2:10" x14ac:dyDescent="0.25">
      <c r="B512" s="85"/>
      <c r="C512" s="72" t="s">
        <v>139</v>
      </c>
      <c r="E512" s="72"/>
      <c r="F512" s="72">
        <f>VLOOKUP(C512,'CMD Timing and Current'!$A$2:$I$96,9,FALSE)</f>
        <v>8.2500000000000004E-3</v>
      </c>
      <c r="G512" s="72">
        <f>VLOOKUP(C512,'CMD Timing and Current'!$A$2:$I$96,6,FALSE)</f>
        <v>8.2399999999999997E-5</v>
      </c>
      <c r="H512" s="156">
        <f t="shared" si="60"/>
        <v>6.7980000000000004E-7</v>
      </c>
      <c r="I512" s="72" t="s">
        <v>328</v>
      </c>
      <c r="J512" s="8">
        <f>IF(ISNA(VLOOKUP(C512,#REF!,1,FALSE)),G512,0)</f>
        <v>0</v>
      </c>
    </row>
    <row r="513" spans="2:10" x14ac:dyDescent="0.25">
      <c r="B513" s="130" t="s">
        <v>331</v>
      </c>
      <c r="C513" s="169" t="s">
        <v>141</v>
      </c>
      <c r="E513" s="169"/>
      <c r="F513" s="169">
        <f>VLOOKUP(C513,'CMD Timing and Current'!$A$2:$I$96,9,FALSE)</f>
        <v>8.2500000000000004E-3</v>
      </c>
      <c r="G513" s="169">
        <f>VLOOKUP(C513,'CMD Timing and Current'!$A$2:$I$96,6,FALSE)</f>
        <v>8.2399999999999997E-5</v>
      </c>
      <c r="H513" s="174">
        <f t="shared" si="60"/>
        <v>6.7980000000000004E-7</v>
      </c>
      <c r="I513" s="72" t="s">
        <v>332</v>
      </c>
      <c r="J513" s="8">
        <f>IF(ISNA(VLOOKUP(C513,#REF!,1,FALSE)),G513,0)</f>
        <v>0</v>
      </c>
    </row>
    <row r="514" spans="2:10" ht="15.75" thickBot="1" x14ac:dyDescent="0.3">
      <c r="B514" s="139" t="str">
        <f>_xlfn.CONCAT(E501:E513)</f>
        <v>SM24-</v>
      </c>
      <c r="C514" s="164"/>
      <c r="D514" s="150"/>
      <c r="E514" s="164" t="s">
        <v>146</v>
      </c>
      <c r="F514" s="150"/>
      <c r="G514" s="150">
        <f>SUM(G501:G513)</f>
        <v>4.8231999999999997E-3</v>
      </c>
      <c r="H514" s="172">
        <f>SUM(H501:H513)/G514</f>
        <v>1.458993199535578E-3</v>
      </c>
      <c r="I514" s="72"/>
      <c r="J514" s="8">
        <f>SUM(J501:J513)</f>
        <v>0</v>
      </c>
    </row>
    <row r="515" spans="2:10" ht="15.75" thickBot="1" x14ac:dyDescent="0.3"/>
    <row r="516" spans="2:10" x14ac:dyDescent="0.25">
      <c r="B516" s="135" t="str">
        <f>'SPF IDs'!A23</f>
        <v>SM_SPI_RED_DIAG</v>
      </c>
      <c r="C516" s="153"/>
      <c r="D516" s="154"/>
      <c r="E516" s="154"/>
      <c r="F516" s="154"/>
      <c r="G516" s="154"/>
      <c r="H516" s="155"/>
      <c r="I516" s="72"/>
    </row>
    <row r="517" spans="2:10" x14ac:dyDescent="0.25">
      <c r="B517" s="136" t="s">
        <v>126</v>
      </c>
      <c r="C517" s="72" t="s">
        <v>127</v>
      </c>
      <c r="D517" s="8" t="s">
        <v>128</v>
      </c>
      <c r="E517" s="72" t="s">
        <v>129</v>
      </c>
      <c r="F517" s="72" t="s">
        <v>130</v>
      </c>
      <c r="G517" s="72" t="s">
        <v>131</v>
      </c>
      <c r="H517" s="156" t="s">
        <v>68</v>
      </c>
      <c r="I517" s="72"/>
    </row>
    <row r="518" spans="2:10" x14ac:dyDescent="0.25">
      <c r="B518" s="85"/>
      <c r="C518" s="72" t="s">
        <v>139</v>
      </c>
      <c r="E518" s="72" t="s">
        <v>118</v>
      </c>
      <c r="F518" s="72">
        <f>VLOOKUP(C518,'CMD Timing and Current'!$A$2:$I$96,9,FALSE)</f>
        <v>8.2500000000000004E-3</v>
      </c>
      <c r="G518" s="72">
        <f>VLOOKUP(C518,'CMD Timing and Current'!$A$2:$I$96,6,FALSE)</f>
        <v>8.2399999999999997E-5</v>
      </c>
      <c r="H518" s="156">
        <f>F518*G518</f>
        <v>6.7980000000000004E-7</v>
      </c>
      <c r="I518" s="72" t="s">
        <v>302</v>
      </c>
      <c r="J518" s="8">
        <f>IF(ISNA(VLOOKUP(C518,#REF!,1,FALSE)),G518,0)</f>
        <v>0</v>
      </c>
    </row>
    <row r="519" spans="2:10" x14ac:dyDescent="0.25">
      <c r="B519" s="130" t="s">
        <v>333</v>
      </c>
      <c r="C519" s="169" t="s">
        <v>141</v>
      </c>
      <c r="E519" s="169"/>
      <c r="F519" s="169">
        <f>VLOOKUP(C519,'CMD Timing and Current'!$A$2:$I$96,9,FALSE)</f>
        <v>8.2500000000000004E-3</v>
      </c>
      <c r="G519" s="169">
        <f>VLOOKUP(C519,'CMD Timing and Current'!$A$2:$I$96,6,FALSE)</f>
        <v>8.2399999999999997E-5</v>
      </c>
      <c r="H519" s="174">
        <f t="shared" ref="H519" si="61">F519*G519</f>
        <v>6.7980000000000004E-7</v>
      </c>
      <c r="I519" s="72" t="s">
        <v>334</v>
      </c>
      <c r="J519" s="8">
        <f>IF(ISNA(VLOOKUP(C519,#REF!,1,FALSE)),G519,0)</f>
        <v>0</v>
      </c>
    </row>
    <row r="520" spans="2:10" x14ac:dyDescent="0.25">
      <c r="B520" s="85"/>
      <c r="C520" s="72" t="s">
        <v>139</v>
      </c>
      <c r="E520" s="72"/>
      <c r="F520" s="72">
        <f>VLOOKUP(C520,'CMD Timing and Current'!$A$2:$I$96,9,FALSE)</f>
        <v>8.2500000000000004E-3</v>
      </c>
      <c r="G520" s="72">
        <f>VLOOKUP(C520,'CMD Timing and Current'!$A$2:$I$96,6,FALSE)</f>
        <v>8.2399999999999997E-5</v>
      </c>
      <c r="H520" s="156">
        <f t="shared" ref="H520:H521" si="62">F520*G520</f>
        <v>6.7980000000000004E-7</v>
      </c>
      <c r="I520" s="72" t="s">
        <v>335</v>
      </c>
      <c r="J520" s="8">
        <f>IF(ISNA(VLOOKUP(C520,#REF!,1,FALSE)),G520,0)</f>
        <v>0</v>
      </c>
    </row>
    <row r="521" spans="2:10" x14ac:dyDescent="0.25">
      <c r="B521" s="130" t="s">
        <v>336</v>
      </c>
      <c r="C521" s="169" t="s">
        <v>141</v>
      </c>
      <c r="E521" s="169"/>
      <c r="F521" s="169">
        <f>VLOOKUP(C521,'CMD Timing and Current'!$A$2:$I$96,9,FALSE)</f>
        <v>8.2500000000000004E-3</v>
      </c>
      <c r="G521" s="169">
        <f>VLOOKUP(C521,'CMD Timing and Current'!$A$2:$I$96,6,FALSE)</f>
        <v>8.2399999999999997E-5</v>
      </c>
      <c r="H521" s="174">
        <f t="shared" si="62"/>
        <v>6.7980000000000004E-7</v>
      </c>
      <c r="I521" s="72" t="s">
        <v>337</v>
      </c>
      <c r="J521" s="8">
        <f>IF(ISNA(VLOOKUP(C521,#REF!,1,FALSE)),G521,0)</f>
        <v>0</v>
      </c>
    </row>
    <row r="522" spans="2:10" ht="15.75" thickBot="1" x14ac:dyDescent="0.3">
      <c r="B522" s="139" t="str">
        <f>_xlfn.CONCAT(E518:E521)</f>
        <v>SM25-</v>
      </c>
      <c r="C522" s="164"/>
      <c r="D522" s="150"/>
      <c r="E522" s="164" t="s">
        <v>146</v>
      </c>
      <c r="F522" s="150"/>
      <c r="G522" s="150">
        <f>SUM(G518:G521)</f>
        <v>3.2959999999999999E-4</v>
      </c>
      <c r="H522" s="172">
        <f>SUM(H518:H521)/G522</f>
        <v>8.2500000000000004E-3</v>
      </c>
      <c r="I522" s="72"/>
      <c r="J522" s="8">
        <f>SUM(J518:J521)</f>
        <v>0</v>
      </c>
    </row>
    <row r="523" spans="2:10" ht="15.75" thickBot="1" x14ac:dyDescent="0.3"/>
    <row r="524" spans="2:10" x14ac:dyDescent="0.25">
      <c r="B524" s="135" t="str">
        <f>'SPF IDs'!A24</f>
        <v>SM_TMOD_IND_DIAG</v>
      </c>
      <c r="C524" s="153"/>
      <c r="D524" s="154"/>
      <c r="E524" s="154"/>
      <c r="F524" s="154"/>
      <c r="G524" s="154"/>
      <c r="H524" s="155"/>
      <c r="I524" s="72"/>
    </row>
    <row r="525" spans="2:10" x14ac:dyDescent="0.25">
      <c r="B525" s="136" t="s">
        <v>126</v>
      </c>
      <c r="C525" s="72" t="s">
        <v>127</v>
      </c>
      <c r="D525" s="8" t="s">
        <v>128</v>
      </c>
      <c r="E525" s="72" t="s">
        <v>129</v>
      </c>
      <c r="F525" s="72" t="s">
        <v>130</v>
      </c>
      <c r="G525" s="72" t="s">
        <v>131</v>
      </c>
      <c r="H525" s="156" t="s">
        <v>68</v>
      </c>
      <c r="I525" s="72"/>
    </row>
    <row r="526" spans="2:10" x14ac:dyDescent="0.25">
      <c r="B526" s="85"/>
      <c r="C526" s="72" t="s">
        <v>139</v>
      </c>
      <c r="E526" s="72"/>
      <c r="F526" s="72">
        <f>VLOOKUP(C526,'CMD Timing and Current'!$A$2:$I$96,9,FALSE)</f>
        <v>8.2500000000000004E-3</v>
      </c>
      <c r="G526" s="72">
        <f>VLOOKUP(C526,'CMD Timing and Current'!$A$2:$I$96,6,FALSE)</f>
        <v>8.2399999999999997E-5</v>
      </c>
      <c r="H526" s="156">
        <f>F526*G526</f>
        <v>6.7980000000000004E-7</v>
      </c>
      <c r="I526" s="72" t="s">
        <v>302</v>
      </c>
      <c r="J526" s="8">
        <f>IF(ISNA(VLOOKUP(C526,#REF!,1,FALSE)),G526,0)</f>
        <v>0</v>
      </c>
    </row>
    <row r="527" spans="2:10" x14ac:dyDescent="0.25">
      <c r="B527" s="85" t="s">
        <v>338</v>
      </c>
      <c r="C527" s="72" t="s">
        <v>135</v>
      </c>
      <c r="E527" s="72" t="s">
        <v>119</v>
      </c>
      <c r="F527" s="72">
        <f>VLOOKUP(C527,'CMD Timing and Current'!$A$2:$I$96,9,FALSE)</f>
        <v>8.2500000000000004E-3</v>
      </c>
      <c r="G527" s="72">
        <f>VLOOKUP(C527,'CMD Timing and Current'!$A$2:$I$96,6,FALSE)</f>
        <v>8.2399999999999997E-5</v>
      </c>
      <c r="H527" s="156">
        <f>F527*G527</f>
        <v>6.7980000000000004E-7</v>
      </c>
      <c r="I527" s="72" t="s">
        <v>339</v>
      </c>
      <c r="J527" s="8">
        <f>IF(ISNA(VLOOKUP(C527,#REF!,1,FALSE)),G527,0)</f>
        <v>0</v>
      </c>
    </row>
    <row r="528" spans="2:10" x14ac:dyDescent="0.25">
      <c r="B528" s="130" t="s">
        <v>340</v>
      </c>
      <c r="C528" s="169" t="s">
        <v>141</v>
      </c>
      <c r="E528" s="169"/>
      <c r="F528" s="169">
        <f>VLOOKUP(C528,'CMD Timing and Current'!$A$2:$I$96,9,FALSE)</f>
        <v>8.2500000000000004E-3</v>
      </c>
      <c r="G528" s="169">
        <f>VLOOKUP(C528,'CMD Timing and Current'!$A$2:$I$96,6,FALSE)</f>
        <v>8.2399999999999997E-5</v>
      </c>
      <c r="H528" s="174">
        <f t="shared" ref="H528:H531" si="63">F528*G528</f>
        <v>6.7980000000000004E-7</v>
      </c>
      <c r="I528" s="72" t="s">
        <v>341</v>
      </c>
      <c r="J528" s="8">
        <f>IF(ISNA(VLOOKUP(C528,#REF!,1,FALSE)),G528,0)</f>
        <v>0</v>
      </c>
    </row>
    <row r="529" spans="2:10" s="123" customFormat="1" x14ac:dyDescent="0.25">
      <c r="B529" s="85" t="s">
        <v>342</v>
      </c>
      <c r="C529" s="160" t="s">
        <v>135</v>
      </c>
      <c r="E529" s="160"/>
      <c r="F529" s="160">
        <f>VLOOKUP(C529,'CMD Timing and Current'!$A$2:$I$96,9,FALSE)</f>
        <v>8.2500000000000004E-3</v>
      </c>
      <c r="G529" s="160">
        <f>VLOOKUP(C529,'CMD Timing and Current'!$A$2:$I$96,6,FALSE)</f>
        <v>8.2399999999999997E-5</v>
      </c>
      <c r="H529" s="353">
        <f>F529*G529</f>
        <v>6.7980000000000004E-7</v>
      </c>
      <c r="I529" s="160" t="s">
        <v>343</v>
      </c>
      <c r="J529" s="123">
        <f>IF(ISNA(VLOOKUP(C529,#REF!,1,FALSE)),G529,0)</f>
        <v>0</v>
      </c>
    </row>
    <row r="530" spans="2:10" x14ac:dyDescent="0.25">
      <c r="B530" s="85"/>
      <c r="C530" s="72" t="s">
        <v>139</v>
      </c>
      <c r="E530" s="72"/>
      <c r="F530" s="72">
        <f>VLOOKUP(C530,'CMD Timing and Current'!$A$2:$I$96,9,FALSE)</f>
        <v>8.2500000000000004E-3</v>
      </c>
      <c r="G530" s="72">
        <f>VLOOKUP(C530,'CMD Timing and Current'!$A$2:$I$96,6,FALSE)</f>
        <v>8.2399999999999997E-5</v>
      </c>
      <c r="H530" s="156">
        <f t="shared" si="63"/>
        <v>6.7980000000000004E-7</v>
      </c>
      <c r="I530" s="72" t="s">
        <v>344</v>
      </c>
      <c r="J530" s="8">
        <f>IF(ISNA(VLOOKUP(C530,#REF!,1,FALSE)),G530,0)</f>
        <v>0</v>
      </c>
    </row>
    <row r="531" spans="2:10" x14ac:dyDescent="0.25">
      <c r="B531" s="130" t="s">
        <v>345</v>
      </c>
      <c r="C531" s="169" t="s">
        <v>141</v>
      </c>
      <c r="E531" s="169"/>
      <c r="F531" s="169">
        <f>VLOOKUP(C531,'CMD Timing and Current'!$A$2:$I$96,9,FALSE)</f>
        <v>8.2500000000000004E-3</v>
      </c>
      <c r="G531" s="169">
        <f>VLOOKUP(C531,'CMD Timing and Current'!$A$2:$I$96,6,FALSE)</f>
        <v>8.2399999999999997E-5</v>
      </c>
      <c r="H531" s="174">
        <f t="shared" si="63"/>
        <v>6.7980000000000004E-7</v>
      </c>
      <c r="I531" s="72" t="s">
        <v>346</v>
      </c>
      <c r="J531" s="8">
        <f>IF(ISNA(VLOOKUP(C531,#REF!,1,FALSE)),G531,0)</f>
        <v>0</v>
      </c>
    </row>
    <row r="532" spans="2:10" ht="15.75" thickBot="1" x14ac:dyDescent="0.3">
      <c r="B532" s="139" t="str">
        <f>_xlfn.CONCAT(E526:E531)</f>
        <v>SM26-</v>
      </c>
      <c r="C532" s="164"/>
      <c r="D532" s="150"/>
      <c r="E532" s="164" t="s">
        <v>146</v>
      </c>
      <c r="F532" s="150"/>
      <c r="G532" s="150">
        <f>SUM(G526:G531)</f>
        <v>4.9439999999999998E-4</v>
      </c>
      <c r="H532" s="172">
        <f>SUM(H526:H531)/G532</f>
        <v>8.2500000000000004E-3</v>
      </c>
      <c r="I532" s="72"/>
      <c r="J532" s="8">
        <f>SUM(J526:J531)</f>
        <v>0</v>
      </c>
    </row>
    <row r="533" spans="2:10" ht="15.75" thickBot="1" x14ac:dyDescent="0.3"/>
    <row r="534" spans="2:10" x14ac:dyDescent="0.25">
      <c r="B534" s="135" t="str">
        <f>'SPF IDs'!A25</f>
        <v>SM_THSD_IND_DIAG</v>
      </c>
      <c r="C534" s="153"/>
      <c r="D534" s="154"/>
      <c r="E534" s="154"/>
      <c r="F534" s="154"/>
      <c r="G534" s="154"/>
      <c r="H534" s="155"/>
      <c r="I534" s="72"/>
    </row>
    <row r="535" spans="2:10" x14ac:dyDescent="0.25">
      <c r="B535" s="136" t="s">
        <v>126</v>
      </c>
      <c r="C535" s="72" t="s">
        <v>127</v>
      </c>
      <c r="D535" s="8" t="s">
        <v>128</v>
      </c>
      <c r="E535" s="72" t="s">
        <v>129</v>
      </c>
      <c r="F535" s="72" t="s">
        <v>130</v>
      </c>
      <c r="G535" s="72" t="s">
        <v>131</v>
      </c>
      <c r="H535" s="156" t="s">
        <v>68</v>
      </c>
      <c r="I535" s="72"/>
    </row>
    <row r="536" spans="2:10" x14ac:dyDescent="0.25">
      <c r="B536" s="85"/>
      <c r="C536" s="72" t="s">
        <v>139</v>
      </c>
      <c r="E536" s="72"/>
      <c r="F536" s="72">
        <f>VLOOKUP(C536,'CMD Timing and Current'!$A$2:$I$96,9,FALSE)</f>
        <v>8.2500000000000004E-3</v>
      </c>
      <c r="G536" s="72">
        <f>VLOOKUP(C536,'CMD Timing and Current'!$A$2:$I$96,6,FALSE)</f>
        <v>8.2399999999999997E-5</v>
      </c>
      <c r="H536" s="156">
        <f>F536*G536</f>
        <v>6.7980000000000004E-7</v>
      </c>
      <c r="I536" s="72" t="s">
        <v>302</v>
      </c>
      <c r="J536" s="8">
        <f>IF(ISNA(VLOOKUP(C536,#REF!,1,FALSE)),G536,0)</f>
        <v>0</v>
      </c>
    </row>
    <row r="537" spans="2:10" x14ac:dyDescent="0.25">
      <c r="B537" s="85" t="s">
        <v>347</v>
      </c>
      <c r="C537" s="72" t="s">
        <v>135</v>
      </c>
      <c r="E537" s="72" t="s">
        <v>120</v>
      </c>
      <c r="F537" s="72">
        <f>VLOOKUP(C537,'CMD Timing and Current'!$A$2:$I$96,9,FALSE)</f>
        <v>8.2500000000000004E-3</v>
      </c>
      <c r="G537" s="72">
        <f>VLOOKUP(C537,'CMD Timing and Current'!$A$2:$I$96,6,FALSE)</f>
        <v>8.2399999999999997E-5</v>
      </c>
      <c r="H537" s="156">
        <f>F537*G537</f>
        <v>6.7980000000000004E-7</v>
      </c>
      <c r="I537" s="72" t="s">
        <v>348</v>
      </c>
      <c r="J537" s="8">
        <f>IF(ISNA(VLOOKUP(C537,#REF!,1,FALSE)),G537,0)</f>
        <v>0</v>
      </c>
    </row>
    <row r="538" spans="2:10" x14ac:dyDescent="0.25">
      <c r="B538" s="130" t="s">
        <v>349</v>
      </c>
      <c r="C538" s="169" t="s">
        <v>141</v>
      </c>
      <c r="E538" s="169"/>
      <c r="F538" s="169">
        <f>VLOOKUP(C538,'CMD Timing and Current'!$A$2:$I$96,9,FALSE)</f>
        <v>8.2500000000000004E-3</v>
      </c>
      <c r="G538" s="169">
        <f>VLOOKUP(C538,'CMD Timing and Current'!$A$2:$I$96,6,FALSE)</f>
        <v>8.2399999999999997E-5</v>
      </c>
      <c r="H538" s="174">
        <f t="shared" ref="H538" si="64">F538*G538</f>
        <v>6.7980000000000004E-7</v>
      </c>
      <c r="I538" s="72" t="s">
        <v>350</v>
      </c>
      <c r="J538" s="8">
        <f>IF(ISNA(VLOOKUP(C538,#REF!,1,FALSE)),G538,0)</f>
        <v>0</v>
      </c>
    </row>
    <row r="539" spans="2:10" s="123" customFormat="1" x14ac:dyDescent="0.25">
      <c r="B539" s="85" t="s">
        <v>351</v>
      </c>
      <c r="C539" s="160" t="s">
        <v>135</v>
      </c>
      <c r="E539" s="160"/>
      <c r="F539" s="160">
        <f>VLOOKUP(C539,'CMD Timing and Current'!$A$2:$I$96,9,FALSE)</f>
        <v>8.2500000000000004E-3</v>
      </c>
      <c r="G539" s="160">
        <f>VLOOKUP(C539,'CMD Timing and Current'!$A$2:$I$96,6,FALSE)</f>
        <v>8.2399999999999997E-5</v>
      </c>
      <c r="H539" s="353">
        <f>F539*G539</f>
        <v>6.7980000000000004E-7</v>
      </c>
      <c r="I539" s="160" t="s">
        <v>352</v>
      </c>
      <c r="J539" s="123">
        <f>IF(ISNA(VLOOKUP(C539,#REF!,1,FALSE)),G539,0)</f>
        <v>0</v>
      </c>
    </row>
    <row r="540" spans="2:10" x14ac:dyDescent="0.25">
      <c r="B540" s="85"/>
      <c r="C540" s="72" t="s">
        <v>139</v>
      </c>
      <c r="E540" s="72"/>
      <c r="F540" s="72">
        <f>VLOOKUP(C540,'CMD Timing and Current'!$A$2:$I$96,9,FALSE)</f>
        <v>8.2500000000000004E-3</v>
      </c>
      <c r="G540" s="72">
        <f>VLOOKUP(C540,'CMD Timing and Current'!$A$2:$I$96,6,FALSE)</f>
        <v>8.2399999999999997E-5</v>
      </c>
      <c r="H540" s="156">
        <f t="shared" ref="H540:H541" si="65">F540*G540</f>
        <v>6.7980000000000004E-7</v>
      </c>
      <c r="I540" s="72" t="s">
        <v>353</v>
      </c>
      <c r="J540" s="8">
        <f>IF(ISNA(VLOOKUP(C540,#REF!,1,FALSE)),G540,0)</f>
        <v>0</v>
      </c>
    </row>
    <row r="541" spans="2:10" x14ac:dyDescent="0.25">
      <c r="B541" s="130" t="s">
        <v>354</v>
      </c>
      <c r="C541" s="169" t="s">
        <v>141</v>
      </c>
      <c r="E541" s="169"/>
      <c r="F541" s="169">
        <f>VLOOKUP(C541,'CMD Timing and Current'!$A$2:$I$96,9,FALSE)</f>
        <v>8.2500000000000004E-3</v>
      </c>
      <c r="G541" s="169">
        <f>VLOOKUP(C541,'CMD Timing and Current'!$A$2:$I$96,6,FALSE)</f>
        <v>8.2399999999999997E-5</v>
      </c>
      <c r="H541" s="174">
        <f t="shared" si="65"/>
        <v>6.7980000000000004E-7</v>
      </c>
      <c r="I541" s="72" t="s">
        <v>355</v>
      </c>
      <c r="J541" s="8">
        <f>IF(ISNA(VLOOKUP(C541,#REF!,1,FALSE)),G541,0)</f>
        <v>0</v>
      </c>
    </row>
    <row r="542" spans="2:10" ht="15.75" thickBot="1" x14ac:dyDescent="0.3">
      <c r="B542" s="139" t="str">
        <f>_xlfn.CONCAT(E536:E541)</f>
        <v>SM27-</v>
      </c>
      <c r="C542" s="164"/>
      <c r="D542" s="150"/>
      <c r="E542" s="164" t="s">
        <v>146</v>
      </c>
      <c r="F542" s="150"/>
      <c r="G542" s="150">
        <f>SUM(G536:G541)</f>
        <v>4.9439999999999998E-4</v>
      </c>
      <c r="H542" s="172">
        <f>SUM(H536:H541)/G542</f>
        <v>8.2500000000000004E-3</v>
      </c>
      <c r="I542" s="72"/>
      <c r="J542" s="8">
        <f>SUM(J536:J541)</f>
        <v>0</v>
      </c>
    </row>
    <row r="543" spans="2:10" ht="15.75" thickBot="1" x14ac:dyDescent="0.3"/>
    <row r="544" spans="2:10" x14ac:dyDescent="0.25">
      <c r="B544" s="135" t="str">
        <f>'SPF IDs'!A26</f>
        <v>SM_VCELL_CMP_DIAG</v>
      </c>
      <c r="C544" s="153"/>
      <c r="D544" s="154"/>
      <c r="E544" s="154"/>
      <c r="F544" s="154"/>
      <c r="G544" s="154"/>
      <c r="H544" s="155"/>
    </row>
    <row r="545" spans="2:10" x14ac:dyDescent="0.25">
      <c r="B545" s="136" t="s">
        <v>126</v>
      </c>
      <c r="C545" s="72" t="s">
        <v>127</v>
      </c>
      <c r="D545" s="8" t="s">
        <v>128</v>
      </c>
      <c r="E545" s="72" t="s">
        <v>129</v>
      </c>
      <c r="F545" s="72" t="s">
        <v>130</v>
      </c>
      <c r="G545" s="72" t="s">
        <v>131</v>
      </c>
      <c r="H545" s="156" t="s">
        <v>68</v>
      </c>
    </row>
    <row r="546" spans="2:10" s="123" customFormat="1" x14ac:dyDescent="0.25">
      <c r="B546" s="136" t="s">
        <v>356</v>
      </c>
      <c r="C546" s="160" t="s">
        <v>144</v>
      </c>
      <c r="E546" s="160" t="s">
        <v>121</v>
      </c>
      <c r="F546" s="160">
        <f>VLOOKUP(C546,'CMD Timing and Current'!$A$2:$I$99,9,FALSE)</f>
        <v>1.1259999999999999E-2</v>
      </c>
      <c r="G546" s="160">
        <f>VLOOKUP(C546,'CMD Timing and Current'!$A$2:$I$99,6,FALSE)</f>
        <v>4.0800000000000002E-5</v>
      </c>
      <c r="H546" s="353">
        <f t="shared" ref="H546" si="66">F546*G546</f>
        <v>4.5940800000000001E-7</v>
      </c>
      <c r="I546" s="123" t="s">
        <v>357</v>
      </c>
      <c r="J546" s="123">
        <f>IF(ISNA(VLOOKUP(C546,#REF!,1,FALSE)),G546,0)</f>
        <v>0</v>
      </c>
    </row>
    <row r="547" spans="2:10" x14ac:dyDescent="0.25">
      <c r="B547" s="144"/>
      <c r="C547" s="167" t="s">
        <v>307</v>
      </c>
      <c r="E547" s="72"/>
      <c r="F547" s="72"/>
      <c r="G547" s="72">
        <v>2E-3</v>
      </c>
      <c r="H547" s="156"/>
      <c r="I547" s="8" t="s">
        <v>308</v>
      </c>
      <c r="J547" s="8">
        <f>IF(ISNA(VLOOKUP(C547,#REF!,1,FALSE)),G547,0)</f>
        <v>0</v>
      </c>
    </row>
    <row r="548" spans="2:10" s="123" customFormat="1" x14ac:dyDescent="0.25">
      <c r="B548" s="130" t="s">
        <v>358</v>
      </c>
      <c r="C548" s="354" t="s">
        <v>141</v>
      </c>
      <c r="E548" s="354"/>
      <c r="F548" s="354">
        <f>VLOOKUP(C548,'CMD Timing and Current'!$A$2:$I$96,9,FALSE)</f>
        <v>8.2500000000000004E-3</v>
      </c>
      <c r="G548" s="354">
        <f>VLOOKUP(C548,'CMD Timing and Current'!$A$2:$I$96,6,FALSE)</f>
        <v>8.2399999999999997E-5</v>
      </c>
      <c r="H548" s="355">
        <f t="shared" ref="H548:H549" si="67">F548*G548</f>
        <v>6.7980000000000004E-7</v>
      </c>
      <c r="I548" s="160" t="s">
        <v>359</v>
      </c>
      <c r="J548" s="123">
        <f>IF(ISNA(VLOOKUP(C548,#REF!,1,FALSE)),G548,0)</f>
        <v>0</v>
      </c>
    </row>
    <row r="549" spans="2:10" s="123" customFormat="1" x14ac:dyDescent="0.25">
      <c r="B549" s="136" t="s">
        <v>360</v>
      </c>
      <c r="C549" s="160" t="s">
        <v>144</v>
      </c>
      <c r="E549" s="160"/>
      <c r="F549" s="160">
        <f>VLOOKUP(C549,'CMD Timing and Current'!$A$2:$I$99,9,FALSE)</f>
        <v>1.1259999999999999E-2</v>
      </c>
      <c r="G549" s="160">
        <f>VLOOKUP(C549,'CMD Timing and Current'!$A$2:$I$99,6,FALSE)</f>
        <v>4.0800000000000002E-5</v>
      </c>
      <c r="H549" s="353">
        <f t="shared" si="67"/>
        <v>4.5940800000000001E-7</v>
      </c>
      <c r="I549" s="123" t="s">
        <v>361</v>
      </c>
      <c r="J549" s="123">
        <f>IF(ISNA(VLOOKUP(C549,#REF!,1,FALSE)),G549,0)</f>
        <v>0</v>
      </c>
    </row>
    <row r="550" spans="2:10" x14ac:dyDescent="0.25">
      <c r="B550" s="144"/>
      <c r="C550" s="167" t="s">
        <v>307</v>
      </c>
      <c r="E550" s="72"/>
      <c r="F550" s="72"/>
      <c r="G550" s="72">
        <v>2E-3</v>
      </c>
      <c r="H550" s="156"/>
      <c r="I550" s="8" t="s">
        <v>308</v>
      </c>
      <c r="J550" s="8">
        <f>IF(ISNA(VLOOKUP(C550,#REF!,1,FALSE)),G550,0)</f>
        <v>0</v>
      </c>
    </row>
    <row r="551" spans="2:10" s="123" customFormat="1" x14ac:dyDescent="0.25">
      <c r="B551" s="130" t="s">
        <v>362</v>
      </c>
      <c r="C551" s="354" t="s">
        <v>141</v>
      </c>
      <c r="E551" s="354"/>
      <c r="F551" s="354">
        <f>VLOOKUP(C551,'CMD Timing and Current'!$A$2:$I$96,9,FALSE)</f>
        <v>8.2500000000000004E-3</v>
      </c>
      <c r="G551" s="354">
        <f>VLOOKUP(C551,'CMD Timing and Current'!$A$2:$I$96,6,FALSE)</f>
        <v>8.2399999999999997E-5</v>
      </c>
      <c r="H551" s="355">
        <f t="shared" ref="H551" si="68">F551*G551</f>
        <v>6.7980000000000004E-7</v>
      </c>
      <c r="I551" s="160" t="s">
        <v>363</v>
      </c>
      <c r="J551" s="123">
        <f>IF(ISNA(VLOOKUP(C551,#REF!,1,FALSE)),G551,0)</f>
        <v>0</v>
      </c>
    </row>
    <row r="552" spans="2:10" ht="15.75" thickBot="1" x14ac:dyDescent="0.3">
      <c r="B552" s="139" t="str">
        <f>_xlfn.CONCAT(E546:E551)</f>
        <v>SM28-</v>
      </c>
      <c r="C552" s="164"/>
      <c r="D552" s="150"/>
      <c r="E552" s="164" t="s">
        <v>146</v>
      </c>
      <c r="F552" s="150"/>
      <c r="G552" s="150">
        <f>SUM(G546:G551)</f>
        <v>4.2464E-3</v>
      </c>
      <c r="H552" s="172">
        <f>SUM(H546:H551)/G552</f>
        <v>5.3655237377543338E-4</v>
      </c>
      <c r="J552" s="8">
        <f>SUM(J546:J551)</f>
        <v>0</v>
      </c>
    </row>
    <row r="553" spans="2:10" ht="15.75" thickBot="1" x14ac:dyDescent="0.3"/>
    <row r="554" spans="2:10" x14ac:dyDescent="0.25">
      <c r="B554" s="135" t="str">
        <f>'SPF IDs'!A27</f>
        <v>SM_CELL_OWD_DIAG</v>
      </c>
      <c r="C554" s="153"/>
      <c r="D554" s="154"/>
      <c r="E554" s="154"/>
      <c r="F554" s="154"/>
      <c r="G554" s="154"/>
      <c r="H554" s="155"/>
    </row>
    <row r="555" spans="2:10" x14ac:dyDescent="0.25">
      <c r="B555" s="136" t="s">
        <v>126</v>
      </c>
      <c r="C555" s="72" t="s">
        <v>127</v>
      </c>
      <c r="D555" s="8" t="s">
        <v>128</v>
      </c>
      <c r="E555" s="72" t="s">
        <v>129</v>
      </c>
      <c r="F555" s="72" t="s">
        <v>130</v>
      </c>
      <c r="G555" s="72" t="s">
        <v>131</v>
      </c>
      <c r="H555" s="156" t="s">
        <v>68</v>
      </c>
    </row>
    <row r="556" spans="2:10" x14ac:dyDescent="0.25">
      <c r="B556" s="85" t="s">
        <v>102</v>
      </c>
      <c r="C556" s="127"/>
      <c r="D556" s="127"/>
      <c r="E556" s="72" t="s">
        <v>122</v>
      </c>
      <c r="F556" s="72"/>
      <c r="G556" s="72"/>
      <c r="H556" s="156"/>
    </row>
    <row r="557" spans="2:10" ht="15.75" thickBot="1" x14ac:dyDescent="0.3">
      <c r="B557" s="139" t="str">
        <f>_xlfn.CONCAT(E556)</f>
        <v>SM29-</v>
      </c>
      <c r="C557" s="164"/>
      <c r="D557" s="150"/>
      <c r="E557" s="164" t="s">
        <v>146</v>
      </c>
      <c r="F557" s="150"/>
      <c r="G557" s="150">
        <f>SUM(G556:G556)</f>
        <v>0</v>
      </c>
      <c r="H557" s="172">
        <v>0</v>
      </c>
    </row>
    <row r="558" spans="2:10" ht="15.75" thickBot="1" x14ac:dyDescent="0.3"/>
    <row r="559" spans="2:10" x14ac:dyDescent="0.25">
      <c r="B559" s="135" t="str">
        <f>'SPF IDs'!A28</f>
        <v>SM_AUXREGS_DIAG</v>
      </c>
      <c r="C559" s="153"/>
      <c r="D559" s="154"/>
      <c r="E559" s="154"/>
      <c r="F559" s="154"/>
      <c r="G559" s="154"/>
      <c r="H559" s="155"/>
    </row>
    <row r="560" spans="2:10" x14ac:dyDescent="0.25">
      <c r="B560" s="136" t="s">
        <v>126</v>
      </c>
      <c r="C560" s="72" t="s">
        <v>127</v>
      </c>
      <c r="D560" s="8" t="s">
        <v>128</v>
      </c>
      <c r="E560" s="72" t="s">
        <v>129</v>
      </c>
      <c r="F560" s="72" t="s">
        <v>130</v>
      </c>
      <c r="G560" s="72" t="s">
        <v>131</v>
      </c>
      <c r="H560" s="156" t="s">
        <v>68</v>
      </c>
    </row>
    <row r="561" spans="2:10" s="123" customFormat="1" x14ac:dyDescent="0.25">
      <c r="B561" s="138"/>
      <c r="C561" s="356" t="s">
        <v>207</v>
      </c>
      <c r="E561" s="160" t="s">
        <v>123</v>
      </c>
      <c r="F561" s="161">
        <f>VLOOKUP(C561,'CMD Timing and Current'!$A$2:$I$96,9,FALSE)</f>
        <v>8.2500000000000004E-3</v>
      </c>
      <c r="G561" s="161">
        <f>VLOOKUP(C561,'CMD Timing and Current'!$A$2:$I$96,6,FALSE)</f>
        <v>4.0800000000000002E-5</v>
      </c>
      <c r="H561" s="162">
        <f>F561*G561</f>
        <v>3.3660000000000004E-7</v>
      </c>
      <c r="I561" s="163" t="s">
        <v>208</v>
      </c>
      <c r="J561" s="163">
        <v>0</v>
      </c>
    </row>
    <row r="562" spans="2:10" s="123" customFormat="1" x14ac:dyDescent="0.25">
      <c r="B562" s="138"/>
      <c r="C562" s="160" t="s">
        <v>209</v>
      </c>
      <c r="E562" s="160"/>
      <c r="F562" s="161">
        <f>VLOOKUP(C562,'CMD Timing and Current'!$A$2:$I$96,9,FALSE)</f>
        <v>1.1259999999999999E-2</v>
      </c>
      <c r="G562" s="161">
        <f>VLOOKUP(C562,'CMD Timing and Current'!$A$2:$I$96,6,FALSE)</f>
        <v>4.0800000000000002E-5</v>
      </c>
      <c r="H562" s="162">
        <f>F562*G562</f>
        <v>4.5940800000000001E-7</v>
      </c>
      <c r="I562" s="163" t="s">
        <v>210</v>
      </c>
      <c r="J562" s="163">
        <v>0</v>
      </c>
    </row>
    <row r="563" spans="2:10" x14ac:dyDescent="0.25">
      <c r="B563" s="144"/>
      <c r="C563" s="167" t="s">
        <v>307</v>
      </c>
      <c r="E563" s="72"/>
      <c r="F563" s="72"/>
      <c r="G563" s="72">
        <v>0.02</v>
      </c>
      <c r="H563" s="156"/>
      <c r="I563" s="8" t="s">
        <v>364</v>
      </c>
      <c r="J563" s="8">
        <f>IF(ISNA(VLOOKUP(C563,#REF!,1,FALSE)),G563,0)</f>
        <v>0</v>
      </c>
    </row>
    <row r="564" spans="2:10" s="123" customFormat="1" x14ac:dyDescent="0.25">
      <c r="B564" s="138"/>
      <c r="C564" s="160" t="s">
        <v>228</v>
      </c>
      <c r="E564" s="160"/>
      <c r="F564" s="161">
        <f>VLOOKUP(C564,'CMD Timing and Current'!$A$2:$I$96,9,FALSE)</f>
        <v>8.2500000000000004E-3</v>
      </c>
      <c r="G564" s="161">
        <f>VLOOKUP(C564,'CMD Timing and Current'!$A$2:$I$96,6,FALSE)</f>
        <v>8.2399999999999997E-5</v>
      </c>
      <c r="H564" s="162">
        <f t="shared" ref="H564:H565" si="69">F564*G564</f>
        <v>6.7980000000000004E-7</v>
      </c>
      <c r="I564" s="163" t="s">
        <v>365</v>
      </c>
      <c r="J564" s="163">
        <f>J314</f>
        <v>0</v>
      </c>
    </row>
    <row r="565" spans="2:10" s="123" customFormat="1" x14ac:dyDescent="0.25">
      <c r="B565" s="138"/>
      <c r="C565" s="160" t="s">
        <v>224</v>
      </c>
      <c r="E565" s="160"/>
      <c r="F565" s="161">
        <f>VLOOKUP(C565,'CMD Timing and Current'!$A$2:$I$96,9,FALSE)</f>
        <v>8.2500000000000004E-3</v>
      </c>
      <c r="G565" s="161">
        <f>VLOOKUP(C565,'CMD Timing and Current'!$A$2:$I$96,6,FALSE)</f>
        <v>8.2399999999999997E-5</v>
      </c>
      <c r="H565" s="162">
        <f t="shared" si="69"/>
        <v>6.7980000000000004E-7</v>
      </c>
      <c r="I565" s="163" t="s">
        <v>366</v>
      </c>
      <c r="J565" s="163">
        <f>J360</f>
        <v>0</v>
      </c>
    </row>
    <row r="566" spans="2:10" s="123" customFormat="1" x14ac:dyDescent="0.25">
      <c r="B566" s="138"/>
      <c r="C566" s="356" t="s">
        <v>207</v>
      </c>
      <c r="E566" s="160"/>
      <c r="F566" s="161">
        <f>VLOOKUP(C566,'CMD Timing and Current'!$A$2:$I$96,9,FALSE)</f>
        <v>8.2500000000000004E-3</v>
      </c>
      <c r="G566" s="161">
        <f>VLOOKUP(C566,'CMD Timing and Current'!$A$2:$I$96,6,FALSE)</f>
        <v>4.0800000000000002E-5</v>
      </c>
      <c r="H566" s="162">
        <f>F566*G566</f>
        <v>3.3660000000000004E-7</v>
      </c>
      <c r="I566" s="163" t="s">
        <v>208</v>
      </c>
      <c r="J566" s="163">
        <v>0</v>
      </c>
    </row>
    <row r="567" spans="2:10" s="123" customFormat="1" x14ac:dyDescent="0.25">
      <c r="B567" s="138"/>
      <c r="C567" s="160" t="s">
        <v>228</v>
      </c>
      <c r="E567" s="160"/>
      <c r="F567" s="161">
        <f>VLOOKUP(C567,'CMD Timing and Current'!$A$2:$I$96,9,FALSE)</f>
        <v>8.2500000000000004E-3</v>
      </c>
      <c r="G567" s="161">
        <f>VLOOKUP(C567,'CMD Timing and Current'!$A$2:$I$96,6,FALSE)</f>
        <v>8.2399999999999997E-5</v>
      </c>
      <c r="H567" s="162">
        <f t="shared" ref="H567:H568" si="70">F567*G567</f>
        <v>6.7980000000000004E-7</v>
      </c>
      <c r="I567" s="163" t="s">
        <v>367</v>
      </c>
      <c r="J567" s="163">
        <f>J317</f>
        <v>0</v>
      </c>
    </row>
    <row r="568" spans="2:10" s="123" customFormat="1" x14ac:dyDescent="0.25">
      <c r="B568" s="138"/>
      <c r="C568" s="160" t="s">
        <v>224</v>
      </c>
      <c r="E568" s="160"/>
      <c r="F568" s="161">
        <f>VLOOKUP(C568,'CMD Timing and Current'!$A$2:$I$96,9,FALSE)</f>
        <v>8.2500000000000004E-3</v>
      </c>
      <c r="G568" s="161">
        <f>VLOOKUP(C568,'CMD Timing and Current'!$A$2:$I$96,6,FALSE)</f>
        <v>8.2399999999999997E-5</v>
      </c>
      <c r="H568" s="162">
        <f t="shared" si="70"/>
        <v>6.7980000000000004E-7</v>
      </c>
      <c r="I568" s="163" t="s">
        <v>368</v>
      </c>
      <c r="J568" s="163" t="str">
        <f>J363</f>
        <v xml:space="preserve">PWM Disabled time </v>
      </c>
    </row>
    <row r="569" spans="2:10" ht="15.75" thickBot="1" x14ac:dyDescent="0.3">
      <c r="B569" s="139" t="str">
        <f>_xlfn.CONCAT(E561:E568)</f>
        <v>SM30-</v>
      </c>
      <c r="C569" s="164"/>
      <c r="D569" s="150"/>
      <c r="E569" s="164" t="s">
        <v>146</v>
      </c>
      <c r="F569" s="150"/>
      <c r="G569" s="150">
        <f>SUM(G561:G568)</f>
        <v>2.0452000000000001E-2</v>
      </c>
      <c r="H569" s="172">
        <f>SUM(H561:H568)/G569</f>
        <v>1.8833405045961274E-4</v>
      </c>
    </row>
    <row r="570" spans="2:10" ht="15.75" thickBot="1" x14ac:dyDescent="0.3"/>
    <row r="571" spans="2:10" x14ac:dyDescent="0.25">
      <c r="B571" s="135" t="str">
        <f>'SPF IDs'!A29</f>
        <v>SM_NVM_ECC_DIAG</v>
      </c>
      <c r="C571" s="176"/>
      <c r="D571" s="154"/>
      <c r="E571" s="154"/>
      <c r="F571" s="154"/>
      <c r="G571" s="154"/>
      <c r="H571" s="155"/>
    </row>
    <row r="572" spans="2:10" x14ac:dyDescent="0.25">
      <c r="B572" s="136" t="s">
        <v>126</v>
      </c>
      <c r="C572" s="72" t="s">
        <v>127</v>
      </c>
      <c r="D572" s="8" t="s">
        <v>128</v>
      </c>
      <c r="E572" s="72" t="s">
        <v>129</v>
      </c>
      <c r="F572" s="72" t="s">
        <v>130</v>
      </c>
      <c r="G572" s="72" t="s">
        <v>131</v>
      </c>
      <c r="H572" s="156" t="s">
        <v>68</v>
      </c>
    </row>
    <row r="573" spans="2:10" x14ac:dyDescent="0.25">
      <c r="B573" s="85"/>
      <c r="C573" s="72" t="s">
        <v>139</v>
      </c>
      <c r="E573" s="72" t="s">
        <v>124</v>
      </c>
      <c r="F573" s="72">
        <f>VLOOKUP(C573,'CMD Timing and Current'!$A$2:$I$96,9,FALSE)</f>
        <v>8.2500000000000004E-3</v>
      </c>
      <c r="G573" s="72">
        <f>VLOOKUP(C573,'CMD Timing and Current'!$A$2:$I$96,6,FALSE)</f>
        <v>8.2399999999999997E-5</v>
      </c>
      <c r="H573" s="156">
        <f>F573*G573</f>
        <v>6.7980000000000004E-7</v>
      </c>
      <c r="I573" s="72" t="s">
        <v>302</v>
      </c>
      <c r="J573" s="8">
        <f>IF(ISNA(VLOOKUP(C573,#REF!,1,FALSE)),G573,0)</f>
        <v>0</v>
      </c>
    </row>
    <row r="574" spans="2:10" x14ac:dyDescent="0.25">
      <c r="B574" s="85" t="s">
        <v>369</v>
      </c>
      <c r="C574" s="72" t="s">
        <v>135</v>
      </c>
      <c r="E574" s="72"/>
      <c r="F574" s="72">
        <f>VLOOKUP(C574,'CMD Timing and Current'!$A$2:$I$96,9,FALSE)</f>
        <v>8.2500000000000004E-3</v>
      </c>
      <c r="G574" s="72">
        <f>VLOOKUP(C574,'CMD Timing and Current'!$A$2:$I$96,6,FALSE)</f>
        <v>8.2399999999999997E-5</v>
      </c>
      <c r="H574" s="156">
        <f>F574*G574</f>
        <v>6.7980000000000004E-7</v>
      </c>
      <c r="I574" s="72" t="s">
        <v>370</v>
      </c>
      <c r="J574" s="8">
        <f>IF(ISNA(VLOOKUP(C574,#REF!,1,FALSE)),G574,0)</f>
        <v>0</v>
      </c>
    </row>
    <row r="575" spans="2:10" x14ac:dyDescent="0.25">
      <c r="B575" s="130" t="s">
        <v>371</v>
      </c>
      <c r="C575" s="169" t="s">
        <v>141</v>
      </c>
      <c r="E575" s="169"/>
      <c r="F575" s="169">
        <f>VLOOKUP(C575,'CMD Timing and Current'!$A$2:$I$96,9,FALSE)</f>
        <v>8.2500000000000004E-3</v>
      </c>
      <c r="G575" s="169">
        <f>VLOOKUP(C575,'CMD Timing and Current'!$A$2:$I$96,6,FALSE)</f>
        <v>8.2399999999999997E-5</v>
      </c>
      <c r="H575" s="174">
        <f t="shared" ref="H575" si="71">F575*G575</f>
        <v>6.7980000000000004E-7</v>
      </c>
      <c r="I575" s="72" t="s">
        <v>350</v>
      </c>
      <c r="J575" s="8">
        <f>IF(ISNA(VLOOKUP(C575,#REF!,1,FALSE)),G575,0)</f>
        <v>0</v>
      </c>
    </row>
    <row r="576" spans="2:10" s="123" customFormat="1" x14ac:dyDescent="0.25">
      <c r="B576" s="85" t="s">
        <v>372</v>
      </c>
      <c r="C576" s="160" t="s">
        <v>135</v>
      </c>
      <c r="E576" s="160"/>
      <c r="F576" s="160">
        <f>VLOOKUP(C576,'CMD Timing and Current'!$A$2:$I$96,9,FALSE)</f>
        <v>8.2500000000000004E-3</v>
      </c>
      <c r="G576" s="160">
        <f>VLOOKUP(C576,'CMD Timing and Current'!$A$2:$I$96,6,FALSE)</f>
        <v>8.2399999999999997E-5</v>
      </c>
      <c r="H576" s="353">
        <f>F576*G576</f>
        <v>6.7980000000000004E-7</v>
      </c>
      <c r="I576" s="160" t="s">
        <v>373</v>
      </c>
      <c r="J576" s="123">
        <f>IF(ISNA(VLOOKUP(C576,#REF!,1,FALSE)),G576,0)</f>
        <v>0</v>
      </c>
    </row>
    <row r="577" spans="2:10" x14ac:dyDescent="0.25">
      <c r="B577" s="85"/>
      <c r="C577" s="72" t="s">
        <v>139</v>
      </c>
      <c r="E577" s="72"/>
      <c r="F577" s="72">
        <f>VLOOKUP(C577,'CMD Timing and Current'!$A$2:$I$96,9,FALSE)</f>
        <v>8.2500000000000004E-3</v>
      </c>
      <c r="G577" s="72">
        <f>VLOOKUP(C577,'CMD Timing and Current'!$A$2:$I$96,6,FALSE)</f>
        <v>8.2399999999999997E-5</v>
      </c>
      <c r="H577" s="156">
        <f t="shared" ref="H577:H578" si="72">F577*G577</f>
        <v>6.7980000000000004E-7</v>
      </c>
      <c r="I577" s="72" t="s">
        <v>374</v>
      </c>
      <c r="J577" s="8">
        <f>IF(ISNA(VLOOKUP(C577,#REF!,1,FALSE)),G577,0)</f>
        <v>0</v>
      </c>
    </row>
    <row r="578" spans="2:10" x14ac:dyDescent="0.25">
      <c r="B578" s="130" t="s">
        <v>375</v>
      </c>
      <c r="C578" s="169" t="s">
        <v>141</v>
      </c>
      <c r="E578" s="169"/>
      <c r="F578" s="169">
        <f>VLOOKUP(C578,'CMD Timing and Current'!$A$2:$I$96,9,FALSE)</f>
        <v>8.2500000000000004E-3</v>
      </c>
      <c r="G578" s="169">
        <f>VLOOKUP(C578,'CMD Timing and Current'!$A$2:$I$96,6,FALSE)</f>
        <v>8.2399999999999997E-5</v>
      </c>
      <c r="H578" s="174">
        <f t="shared" si="72"/>
        <v>6.7980000000000004E-7</v>
      </c>
      <c r="I578" s="72" t="s">
        <v>376</v>
      </c>
      <c r="J578" s="8">
        <f>IF(ISNA(VLOOKUP(C578,#REF!,1,FALSE)),G578,0)</f>
        <v>0</v>
      </c>
    </row>
    <row r="579" spans="2:10" ht="15.75" thickBot="1" x14ac:dyDescent="0.3">
      <c r="B579" s="139" t="str">
        <f>_xlfn.CONCAT(E573:E578)</f>
        <v>SM31-</v>
      </c>
      <c r="C579" s="164"/>
      <c r="D579" s="150"/>
      <c r="E579" s="164" t="s">
        <v>146</v>
      </c>
      <c r="F579" s="150"/>
      <c r="G579" s="150">
        <f>SUM(G573:G578)</f>
        <v>4.9439999999999998E-4</v>
      </c>
      <c r="H579" s="172">
        <f>SUM(H573:H578)/G579</f>
        <v>8.2500000000000004E-3</v>
      </c>
    </row>
  </sheetData>
  <sheetProtection formatCells="0" formatColumns="0" formatRows="0" insertColumns="0" insertRows="0" insertHyperlinks="0" deleteColumns="0" deleteRows="0" sort="0" autoFilter="0"/>
  <mergeCells count="1">
    <mergeCell ref="A442:H442"/>
  </mergeCells>
  <phoneticPr fontId="30" type="noConversion"/>
  <hyperlinks>
    <hyperlink ref="B445" location="'Safety Mechanism Timing'!B11" display="'Safety Mechanism Timing'!B11" xr:uid="{00000000-0004-0000-0200-000000000000}"/>
    <hyperlink ref="B45" location="'Safety Mechanism Timing'!B5" display="Cell Measurements with SM6" xr:uid="{00000000-0004-0000-0200-000001000000}"/>
    <hyperlink ref="B11" location="'Safety Mechanism Timing'!B445" display="'Safety Mechanism Timing'!B445" xr:uid="{00000000-0004-0000-0200-000002000000}"/>
    <hyperlink ref="B483" location="'Safety Mechanism Timing'!B12" display="'Safety Mechanism Timing'!B12" xr:uid="{00000000-0004-0000-0200-000003000000}"/>
    <hyperlink ref="B12" location="'Safety Mechanism Timing'!B483" display="'Safety Mechanism Timing'!B483" xr:uid="{00000000-0004-0000-0200-000004000000}"/>
    <hyperlink ref="B499" location="'Safety Mechanism Timing'!B13" display="'Safety Mechanism Timing'!B13" xr:uid="{00000000-0004-0000-0200-000005000000}"/>
    <hyperlink ref="B13" location="'Safety Mechanism Timing'!B499" display="'Safety Mechanism Timing'!B499" xr:uid="{00000000-0004-0000-0200-000006000000}"/>
    <hyperlink ref="B516" location="'Safety Mechanism Timing'!B14" display="'Safety Mechanism Timing'!B14" xr:uid="{00000000-0004-0000-0200-000007000000}"/>
    <hyperlink ref="B14" location="'Safety Mechanism Timing'!B516" display="'Safety Mechanism Timing'!B516" xr:uid="{00000000-0004-0000-0200-000008000000}"/>
    <hyperlink ref="B524" location="'Safety Mechanism Timing'!B15" display="'Safety Mechanism Timing'!B15" xr:uid="{00000000-0004-0000-0200-000009000000}"/>
    <hyperlink ref="B15" location="'Safety Mechanism Timing'!B524" display="'Safety Mechanism Timing'!B524" xr:uid="{00000000-0004-0000-0200-00000A000000}"/>
    <hyperlink ref="B534" location="'Safety Mechanism Timing'!B16" display="'Safety Mechanism Timing'!B16" xr:uid="{00000000-0004-0000-0200-00000B000000}"/>
    <hyperlink ref="B16" location="'Safety Mechanism Timing'!B534" display="'Safety Mechanism Timing'!B534" xr:uid="{00000000-0004-0000-0200-00000C000000}"/>
    <hyperlink ref="B544" location="'Safety Mechanism Timing'!B17" display="'Safety Mechanism Timing'!B17" xr:uid="{00000000-0004-0000-0200-00000D000000}"/>
    <hyperlink ref="B17" location="'Safety Mechanism Timing'!B544" display="'Safety Mechanism Timing'!B544" xr:uid="{00000000-0004-0000-0200-00000E000000}"/>
    <hyperlink ref="B554" location="'Safety Mechanism Timing'!A18" display="'Safety Mechanism Timing'!A18" xr:uid="{00000000-0004-0000-0200-00000F000000}"/>
    <hyperlink ref="B32" location="'Safety Mechanism Timing'!B4" display="Cell Measurement Normal Operation" xr:uid="{00000000-0004-0000-0200-000010000000}"/>
    <hyperlink ref="B199" location="'Safety Mechanism Timing'!B64" display="SM6 - Initialization" xr:uid="{00000000-0004-0000-0200-000011000000}"/>
    <hyperlink ref="B64" location="'Safety Mechanism Timing'!B6" display="Cell Measurement with SM1 &amp; SM9" xr:uid="{00000000-0004-0000-0200-000012000000}"/>
    <hyperlink ref="B205" location="'Safety Mechanism Timing'!B64" display="SM6 - 2ms Delay" xr:uid="{00000000-0004-0000-0200-000013000000}"/>
    <hyperlink ref="B210" location="'Safety Mechanism Timing'!B64" display="SM6 - cell value Out of range test" xr:uid="{00000000-0004-0000-0200-000014000000}"/>
    <hyperlink ref="B221" location="'Safety Mechanism Timing'!B64" display="Cell Measurements for SM6 - DATA Delay" xr:uid="{00000000-0004-0000-0200-000015000000}"/>
    <hyperlink ref="B226" location="'Safety Mechanism Timing'!B64" display="Cell Measurements - Cycle 2" xr:uid="{00000000-0004-0000-0200-000016000000}"/>
    <hyperlink ref="B238" location="'Safety Mechanism Timing'!B64" display="Auxiliary-ADC - Initialization" xr:uid="{00000000-0004-0000-0200-000017000000}"/>
    <hyperlink ref="B390" location="'Safety Mechanism Timing'!B149" display="Cell Measurements - Cycle 9 &amp; Read AUX &amp; Redundant AUX Data" xr:uid="{00000000-0004-0000-0200-000018000000}"/>
    <hyperlink ref="B149" location="'Safety Mechanism Timing'!B7" display="Cell Measurement with AUX-ADC" xr:uid="{00000000-0004-0000-0200-000019000000}"/>
    <hyperlink ref="B245" location="'Safety Mechanism Timing'!B64" display="SM1 - Trigger Cell Redundant Measuments" xr:uid="{00000000-0004-0000-0200-00001A000000}"/>
    <hyperlink ref="B250" location="'Safety Mechanism Timing'!B64" display="Cycle 2 Margin" xr:uid="{00000000-0004-0000-0200-00001B000000}"/>
    <hyperlink ref="B255" location="'Safety Mechanism Timing'!B64" display="Cell Measurements - Cycle 3" xr:uid="{00000000-0004-0000-0200-00001C000000}"/>
    <hyperlink ref="B267" location="'Safety Mechanism Timing'!B64" display="Cycle 3 Margin" xr:uid="{00000000-0004-0000-0200-00001D000000}"/>
    <hyperlink ref="B272" location="'Safety Mechanism Timing'!B64" display="Cell Measurements - Cycle 4" xr:uid="{00000000-0004-0000-0200-00001E000000}"/>
    <hyperlink ref="B289" location="'Safety Mechanism Timing'!B64" display="SM9 - Trigger OW Even Ch &amp; Read Even Ch OW Baseline" xr:uid="{00000000-0004-0000-0200-00001F000000}"/>
    <hyperlink ref="B303" location="'Safety Mechanism Timing'!B64" display="Cycle 4 Margin" xr:uid="{00000000-0004-0000-0200-000020000000}"/>
    <hyperlink ref="B308" location="'Safety Mechanism Timing'!B64" display="Cell Measurements - Cycle 5" xr:uid="{00000000-0004-0000-0200-000021000000}"/>
    <hyperlink ref="B320" location="'Safety Mechanism Timing'!B64" display="Cycle 5 Margin" xr:uid="{00000000-0004-0000-0200-000022000000}"/>
    <hyperlink ref="B325" location="'Safety Mechanism Timing'!B64" display="Cell Measurements - Cycle 6 &amp; SM9 - Trigger OW Odd Ch &amp; Read Odd Ch OW Baseline &amp; Even Ch OW Data" xr:uid="{00000000-0004-0000-0200-000023000000}"/>
    <hyperlink ref="B345" location="'Safety Mechanism Timing'!B64" display="Cycle 6 Margin" xr:uid="{00000000-0004-0000-0200-000024000000}"/>
    <hyperlink ref="B350" location="'Safety Mechanism Timing'!B64" display="Cell Measurements - Cycle 7" xr:uid="{00000000-0004-0000-0200-000025000000}"/>
    <hyperlink ref="B362" location="'Safety Mechanism Timing'!B64" display="Cycle 7 Margin" xr:uid="{00000000-0004-0000-0200-000026000000}"/>
    <hyperlink ref="B367" location="'Safety Mechanism Timing'!B64" display="Cell Measurements - Cycle 8 &amp; SM9 -Read Odd Ch OW Data" xr:uid="{00000000-0004-0000-0200-000027000000}"/>
    <hyperlink ref="B385" location="'Safety Mechanism Timing'!B149" display="Cycle 8 Margin" xr:uid="{00000000-0004-0000-0200-000028000000}"/>
    <hyperlink ref="B410" location="'Safety Mechanism Timing'!B149" display="Cycle 9 Margin" xr:uid="{00000000-0004-0000-0200-000029000000}"/>
    <hyperlink ref="B416" location="'Safety Mechanism Timing'!B149" display="Cell Measurements - Cycle 10 &amp; Read STATUS A, B &amp; Read AUXE(ADBMS6832 Only)" xr:uid="{00000000-0004-0000-0200-00002A000000}"/>
    <hyperlink ref="B431" location="'Safety Mechanism Timing'!B149" display="Read/Clear Diagnostic Flags" xr:uid="{00000000-0004-0000-0200-00002B000000}"/>
    <hyperlink ref="B216" location="'Safety Mechanism Timing'!B64" display="SM6 - cell value in-range test" xr:uid="{00000000-0004-0000-0200-00002C000000}"/>
    <hyperlink ref="B22" location="'Safety Mechanism Timing'!B3" display="Initialization" xr:uid="{00000000-0004-0000-0200-00002D000000}"/>
    <hyperlink ref="B187" location="'Safety Mechanism Timing'!B32" display="Cell Measurements - Cycle 1" xr:uid="{00000000-0004-0000-0200-00002E000000}"/>
    <hyperlink ref="B284" location="'Safety Mechanism Timing'!B64" display="Redundant Measurement 16ms Delay" xr:uid="{00000000-0004-0000-0200-00002F000000}"/>
    <hyperlink ref="B559" location="'Safety Mechanism Timing'!A19" display="'Safety Mechanism Timing'!A19" xr:uid="{00000000-0004-0000-0200-000030000000}"/>
    <hyperlink ref="B18" location="'Safety Mechanism Timing'!B554" display="'Safety Mechanism Timing'!B554" xr:uid="{00000000-0004-0000-0200-000031000000}"/>
    <hyperlink ref="B571" location="'Safety Mechanism Timing'!B20" display="'Safety Mechanism Timing'!B20" xr:uid="{00000000-0004-0000-0200-000032000000}"/>
    <hyperlink ref="B19" location="'Safety Mechanism Timing'!B559" display="'Safety Mechanism Timing'!B559" xr:uid="{00000000-0004-0000-0200-000033000000}"/>
    <hyperlink ref="B20" location="'Safety Mechanism Timing'!B571" display="'Safety Mechanism Timing'!B571" xr:uid="{00000000-0004-0000-0200-000034000000}"/>
  </hyperlink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F0000"/>
  </sheetPr>
  <dimension ref="A1:N53"/>
  <sheetViews>
    <sheetView zoomScale="85" zoomScaleNormal="85" workbookViewId="0">
      <selection activeCell="P5" sqref="P5"/>
    </sheetView>
  </sheetViews>
  <sheetFormatPr defaultColWidth="8.7109375" defaultRowHeight="15" x14ac:dyDescent="0.25"/>
  <cols>
    <col min="1" max="1" width="2.42578125" style="82" customWidth="1"/>
    <col min="2" max="2" width="60.140625" style="1" customWidth="1"/>
    <col min="3" max="3" width="52.5703125" style="1" bestFit="1" customWidth="1"/>
    <col min="4" max="4" width="17" style="1" customWidth="1"/>
    <col min="5" max="14" width="4.28515625" style="1" customWidth="1"/>
    <col min="15" max="16384" width="8.7109375" style="1"/>
  </cols>
  <sheetData>
    <row r="1" spans="1:14" ht="192.95" customHeight="1" x14ac:dyDescent="0.25">
      <c r="A1" s="81"/>
      <c r="B1" s="409"/>
      <c r="C1" s="409"/>
      <c r="D1" s="223"/>
      <c r="E1" s="4" t="str">
        <f>B7</f>
        <v>SM_ SPI_PEC_DIAG</v>
      </c>
      <c r="F1" s="4" t="str">
        <f>B8</f>
        <v>SM_POWER_MON_DIAG</v>
      </c>
      <c r="G1" s="4" t="str">
        <f>B9</f>
        <v>SM_CLOCK_MON_DIAG</v>
      </c>
      <c r="H1" s="4" t="str">
        <f>B10</f>
        <v>SM_SPI_RED_DIAG</v>
      </c>
      <c r="I1" s="4" t="str">
        <f>B11</f>
        <v>SM_TMOD_IND_DIAG</v>
      </c>
      <c r="J1" s="4" t="str">
        <f>B12</f>
        <v>SM_THSD_IND_DIAG</v>
      </c>
      <c r="K1" s="4" t="str">
        <f>B13</f>
        <v>SM_VCELL_CMP_DIAG</v>
      </c>
      <c r="L1" s="4" t="str">
        <f>B14</f>
        <v>SM_CELL_OWD_DIAG</v>
      </c>
      <c r="M1" s="4" t="str">
        <f>B15</f>
        <v>SM_AUXREGS_DIAG</v>
      </c>
      <c r="N1" s="4" t="str">
        <f>B16</f>
        <v>SM_NVM_ECC_DIAG</v>
      </c>
    </row>
    <row r="2" spans="1:14" ht="34.5" x14ac:dyDescent="0.25">
      <c r="B2" s="410"/>
      <c r="C2" s="411"/>
      <c r="D2" s="224"/>
      <c r="E2" s="6" t="s">
        <v>115</v>
      </c>
      <c r="F2" s="6" t="s">
        <v>116</v>
      </c>
      <c r="G2" s="6" t="s">
        <v>117</v>
      </c>
      <c r="H2" s="6" t="s">
        <v>118</v>
      </c>
      <c r="I2" s="6" t="s">
        <v>119</v>
      </c>
      <c r="J2" s="6" t="s">
        <v>120</v>
      </c>
      <c r="K2" s="6" t="s">
        <v>121</v>
      </c>
      <c r="L2" s="6" t="s">
        <v>122</v>
      </c>
      <c r="M2" s="6" t="s">
        <v>123</v>
      </c>
      <c r="N2" s="6" t="s">
        <v>124</v>
      </c>
    </row>
    <row r="3" spans="1:14" ht="40.5" customHeight="1" x14ac:dyDescent="0.25">
      <c r="B3" s="410"/>
      <c r="C3" s="411"/>
      <c r="D3" s="225"/>
      <c r="E3" s="83"/>
      <c r="F3" s="83"/>
      <c r="G3" s="83"/>
      <c r="H3" s="83"/>
      <c r="I3" s="83"/>
      <c r="J3" s="83"/>
      <c r="K3" s="83"/>
      <c r="L3" s="83"/>
      <c r="M3" s="83"/>
      <c r="N3" s="83"/>
    </row>
    <row r="4" spans="1:14" ht="25.5" x14ac:dyDescent="0.35">
      <c r="B4" s="376"/>
      <c r="C4" s="226"/>
      <c r="D4" s="225"/>
      <c r="E4" s="83"/>
      <c r="F4" s="83"/>
      <c r="G4" s="83"/>
      <c r="H4" s="83"/>
      <c r="I4" s="83"/>
      <c r="J4" s="83"/>
      <c r="K4" s="83"/>
      <c r="L4" s="83"/>
      <c r="M4" s="83"/>
      <c r="N4" s="83"/>
    </row>
    <row r="5" spans="1:14" x14ac:dyDescent="0.25">
      <c r="B5" s="2"/>
      <c r="C5" s="2"/>
      <c r="D5" s="224"/>
    </row>
    <row r="6" spans="1:14" ht="15.75" thickBot="1" x14ac:dyDescent="0.3">
      <c r="B6" s="3"/>
      <c r="C6" s="3"/>
      <c r="D6" s="3"/>
    </row>
    <row r="7" spans="1:14" x14ac:dyDescent="0.25">
      <c r="B7" s="227" t="str">
        <f>'Safety Mechanism Timing'!B11</f>
        <v>SM_ SPI_PEC_DIAG</v>
      </c>
      <c r="C7" s="228" t="str">
        <f>'Safety Mechanism Timing'!D11</f>
        <v>SM22-</v>
      </c>
      <c r="D7" s="229">
        <f>'Safety Mechanism Timing'!F11</f>
        <v>2.0528000000000009E-3</v>
      </c>
    </row>
    <row r="8" spans="1:14" x14ac:dyDescent="0.25">
      <c r="B8" s="230" t="str">
        <f>'Safety Mechanism Timing'!B12</f>
        <v>SM_POWER_MON_DIAG</v>
      </c>
      <c r="C8" s="3" t="str">
        <f>'Safety Mechanism Timing'!D12</f>
        <v>SM23-</v>
      </c>
      <c r="D8" s="231">
        <f>'Safety Mechanism Timing'!F12</f>
        <v>4.7407999999999999E-3</v>
      </c>
    </row>
    <row r="9" spans="1:14" x14ac:dyDescent="0.25">
      <c r="B9" s="230" t="str">
        <f>'Safety Mechanism Timing'!B13</f>
        <v>SM_CLOCK_MON_DIAG</v>
      </c>
      <c r="C9" s="3" t="str">
        <f>'Safety Mechanism Timing'!D13</f>
        <v>SM24-</v>
      </c>
      <c r="D9" s="231">
        <f>'Safety Mechanism Timing'!F13</f>
        <v>4.8231999999999997E-3</v>
      </c>
    </row>
    <row r="10" spans="1:14" x14ac:dyDescent="0.25">
      <c r="B10" s="230" t="str">
        <f>'Safety Mechanism Timing'!B14</f>
        <v>SM_SPI_RED_DIAG</v>
      </c>
      <c r="C10" s="3" t="str">
        <f>'Safety Mechanism Timing'!D14</f>
        <v>SM25-</v>
      </c>
      <c r="D10" s="231">
        <f>'Safety Mechanism Timing'!F14</f>
        <v>3.2959999999999999E-4</v>
      </c>
    </row>
    <row r="11" spans="1:14" x14ac:dyDescent="0.25">
      <c r="B11" s="230" t="str">
        <f>'Safety Mechanism Timing'!B15</f>
        <v>SM_TMOD_IND_DIAG</v>
      </c>
      <c r="C11" s="3" t="str">
        <f>'Safety Mechanism Timing'!D15</f>
        <v>SM26-</v>
      </c>
      <c r="D11" s="231">
        <f>'Safety Mechanism Timing'!F15</f>
        <v>4.9439999999999998E-4</v>
      </c>
    </row>
    <row r="12" spans="1:14" x14ac:dyDescent="0.25">
      <c r="B12" s="230" t="str">
        <f>'Safety Mechanism Timing'!B16</f>
        <v>SM_THSD_IND_DIAG</v>
      </c>
      <c r="C12" s="3" t="str">
        <f>'Safety Mechanism Timing'!D16</f>
        <v>SM27-</v>
      </c>
      <c r="D12" s="231">
        <f>'Safety Mechanism Timing'!F16</f>
        <v>4.9439999999999998E-4</v>
      </c>
    </row>
    <row r="13" spans="1:14" x14ac:dyDescent="0.25">
      <c r="B13" s="230" t="str">
        <f>'Safety Mechanism Timing'!B17</f>
        <v>SM_VCELL_CMP_DIAG</v>
      </c>
      <c r="C13" s="3" t="str">
        <f>'Safety Mechanism Timing'!D17</f>
        <v>SM28-</v>
      </c>
      <c r="D13" s="231">
        <f>'Safety Mechanism Timing'!F17</f>
        <v>4.2464E-3</v>
      </c>
    </row>
    <row r="14" spans="1:14" x14ac:dyDescent="0.25">
      <c r="B14" s="230" t="str">
        <f>'Safety Mechanism Timing'!B18</f>
        <v>SM_CELL_OWD_DIAG</v>
      </c>
      <c r="C14" s="3" t="str">
        <f>'Safety Mechanism Timing'!D18</f>
        <v>SM29-</v>
      </c>
      <c r="D14" s="231">
        <f>'Safety Mechanism Timing'!F18</f>
        <v>0</v>
      </c>
    </row>
    <row r="15" spans="1:14" x14ac:dyDescent="0.25">
      <c r="B15" s="230" t="str">
        <f>'Safety Mechanism Timing'!B19</f>
        <v>SM_AUXREGS_DIAG</v>
      </c>
      <c r="C15" s="3" t="str">
        <f>'Safety Mechanism Timing'!D19</f>
        <v>SM30-</v>
      </c>
      <c r="D15" s="231">
        <f>'Safety Mechanism Timing'!F19</f>
        <v>2.0452000000000001E-2</v>
      </c>
    </row>
    <row r="16" spans="1:14" ht="15.75" thickBot="1" x14ac:dyDescent="0.3">
      <c r="B16" s="232" t="str">
        <f>'Safety Mechanism Timing'!B20</f>
        <v>SM_NVM_ECC_DIAG</v>
      </c>
      <c r="C16" s="233" t="str">
        <f>'Safety Mechanism Timing'!D20</f>
        <v>SM31-</v>
      </c>
      <c r="D16" s="234">
        <f>'Safety Mechanism Timing'!F20</f>
        <v>4.9439999999999998E-4</v>
      </c>
    </row>
    <row r="17" spans="1:4" ht="15.75" thickBot="1" x14ac:dyDescent="0.3">
      <c r="B17" s="232"/>
      <c r="C17" s="233" t="s">
        <v>377</v>
      </c>
      <c r="D17" s="234">
        <f>SUM(D7:D16)</f>
        <v>3.8128000000000002E-2</v>
      </c>
    </row>
    <row r="21" spans="1:4" x14ac:dyDescent="0.25">
      <c r="A21" s="114"/>
      <c r="B21" s="2"/>
      <c r="C21" s="2"/>
      <c r="D21" s="2"/>
    </row>
    <row r="22" spans="1:4" x14ac:dyDescent="0.25">
      <c r="A22" s="114"/>
      <c r="B22" s="115"/>
      <c r="C22" s="115"/>
      <c r="D22" s="115"/>
    </row>
    <row r="23" spans="1:4" x14ac:dyDescent="0.25">
      <c r="A23" s="114"/>
      <c r="B23" s="115"/>
      <c r="C23" s="115"/>
      <c r="D23" s="115"/>
    </row>
    <row r="24" spans="1:4" x14ac:dyDescent="0.25">
      <c r="A24" s="114"/>
      <c r="B24" s="115"/>
      <c r="C24" s="115"/>
      <c r="D24" s="115"/>
    </row>
    <row r="25" spans="1:4" x14ac:dyDescent="0.25">
      <c r="A25" s="114"/>
      <c r="B25" s="115"/>
      <c r="C25" s="115"/>
      <c r="D25" s="115"/>
    </row>
    <row r="26" spans="1:4" x14ac:dyDescent="0.25">
      <c r="A26" s="114"/>
      <c r="B26" s="115"/>
      <c r="C26" s="115"/>
      <c r="D26" s="115"/>
    </row>
    <row r="27" spans="1:4" x14ac:dyDescent="0.25">
      <c r="A27" s="114"/>
      <c r="B27" s="115"/>
      <c r="C27" s="115"/>
      <c r="D27" s="115"/>
    </row>
    <row r="28" spans="1:4" x14ac:dyDescent="0.25">
      <c r="A28" s="114"/>
      <c r="B28" s="115"/>
      <c r="C28" s="115"/>
      <c r="D28" s="115"/>
    </row>
    <row r="29" spans="1:4" x14ac:dyDescent="0.25">
      <c r="A29" s="114"/>
      <c r="B29" s="115"/>
      <c r="C29" s="115"/>
      <c r="D29" s="115"/>
    </row>
    <row r="30" spans="1:4" x14ac:dyDescent="0.25">
      <c r="A30" s="114"/>
      <c r="B30" s="115"/>
      <c r="C30" s="115"/>
      <c r="D30" s="115"/>
    </row>
    <row r="31" spans="1:4" x14ac:dyDescent="0.25">
      <c r="A31" s="114"/>
      <c r="B31" s="115"/>
      <c r="C31" s="115"/>
      <c r="D31" s="115"/>
    </row>
    <row r="32" spans="1:4" x14ac:dyDescent="0.25">
      <c r="A32" s="114"/>
      <c r="B32" s="115"/>
      <c r="C32" s="115"/>
      <c r="D32" s="115"/>
    </row>
    <row r="33" spans="1:4" x14ac:dyDescent="0.25">
      <c r="A33" s="114"/>
      <c r="B33" s="115"/>
      <c r="C33" s="115"/>
      <c r="D33" s="115"/>
    </row>
    <row r="34" spans="1:4" x14ac:dyDescent="0.25">
      <c r="A34" s="114"/>
      <c r="B34" s="115"/>
      <c r="C34" s="115"/>
      <c r="D34" s="115"/>
    </row>
    <row r="35" spans="1:4" x14ac:dyDescent="0.25">
      <c r="A35" s="114"/>
      <c r="B35" s="115"/>
      <c r="C35" s="115"/>
      <c r="D35" s="115"/>
    </row>
    <row r="36" spans="1:4" x14ac:dyDescent="0.25">
      <c r="A36" s="114"/>
      <c r="B36" s="115"/>
      <c r="C36" s="115"/>
      <c r="D36" s="115"/>
    </row>
    <row r="37" spans="1:4" x14ac:dyDescent="0.25">
      <c r="A37" s="114"/>
      <c r="B37" s="115"/>
      <c r="C37" s="115"/>
      <c r="D37" s="115"/>
    </row>
    <row r="38" spans="1:4" x14ac:dyDescent="0.25">
      <c r="A38" s="114"/>
      <c r="B38" s="115"/>
      <c r="C38" s="115"/>
      <c r="D38" s="115"/>
    </row>
    <row r="39" spans="1:4" x14ac:dyDescent="0.25">
      <c r="A39" s="114"/>
      <c r="B39" s="115"/>
      <c r="C39" s="115"/>
      <c r="D39" s="115"/>
    </row>
    <row r="40" spans="1:4" x14ac:dyDescent="0.25">
      <c r="A40" s="114"/>
      <c r="B40" s="115"/>
      <c r="C40" s="115"/>
      <c r="D40" s="115"/>
    </row>
    <row r="41" spans="1:4" x14ac:dyDescent="0.25">
      <c r="A41" s="114"/>
      <c r="B41" s="115"/>
      <c r="C41" s="115"/>
      <c r="D41" s="115"/>
    </row>
    <row r="42" spans="1:4" x14ac:dyDescent="0.25">
      <c r="A42" s="114"/>
      <c r="B42" s="115"/>
      <c r="C42" s="115"/>
      <c r="D42" s="115"/>
    </row>
    <row r="43" spans="1:4" x14ac:dyDescent="0.25">
      <c r="A43" s="114"/>
      <c r="B43" s="115"/>
      <c r="C43" s="115"/>
      <c r="D43" s="115"/>
    </row>
    <row r="44" spans="1:4" ht="24" customHeight="1" x14ac:dyDescent="0.25">
      <c r="A44" s="114"/>
      <c r="B44" s="115"/>
      <c r="C44" s="115"/>
      <c r="D44" s="115"/>
    </row>
    <row r="45" spans="1:4" x14ac:dyDescent="0.25">
      <c r="A45" s="114"/>
      <c r="B45" s="115"/>
      <c r="C45" s="115"/>
      <c r="D45" s="115"/>
    </row>
    <row r="46" spans="1:4" x14ac:dyDescent="0.25">
      <c r="A46" s="114"/>
      <c r="B46" s="115"/>
      <c r="C46" s="115"/>
      <c r="D46" s="115"/>
    </row>
    <row r="47" spans="1:4" x14ac:dyDescent="0.25">
      <c r="A47" s="114"/>
      <c r="B47" s="115"/>
      <c r="C47" s="115"/>
      <c r="D47" s="115"/>
    </row>
    <row r="48" spans="1:4" x14ac:dyDescent="0.25">
      <c r="A48" s="114"/>
      <c r="B48" s="115"/>
      <c r="C48" s="115"/>
      <c r="D48" s="115"/>
    </row>
    <row r="49" spans="1:4" x14ac:dyDescent="0.25">
      <c r="A49" s="114"/>
      <c r="B49" s="115"/>
      <c r="C49" s="115"/>
      <c r="D49" s="115"/>
    </row>
    <row r="50" spans="1:4" x14ac:dyDescent="0.25">
      <c r="A50" s="114"/>
      <c r="B50" s="115"/>
      <c r="C50" s="115"/>
      <c r="D50" s="115"/>
    </row>
    <row r="51" spans="1:4" x14ac:dyDescent="0.25">
      <c r="A51" s="114"/>
      <c r="B51" s="115"/>
      <c r="C51" s="115"/>
      <c r="D51" s="115"/>
    </row>
    <row r="52" spans="1:4" x14ac:dyDescent="0.25">
      <c r="A52" s="114"/>
      <c r="B52" s="2"/>
      <c r="C52" s="2"/>
      <c r="D52" s="2"/>
    </row>
    <row r="53" spans="1:4" x14ac:dyDescent="0.25">
      <c r="A53" s="114"/>
      <c r="B53" s="2"/>
      <c r="C53" s="2"/>
      <c r="D53" s="2"/>
    </row>
  </sheetData>
  <mergeCells count="3">
    <mergeCell ref="B1:C1"/>
    <mergeCell ref="B2:B3"/>
    <mergeCell ref="C2:C3"/>
  </mergeCells>
  <phoneticPr fontId="30" type="noConversion"/>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4">
    <tabColor rgb="FFFF0000"/>
  </sheetPr>
  <dimension ref="A1:AT200"/>
  <sheetViews>
    <sheetView zoomScale="85" zoomScaleNormal="85" workbookViewId="0">
      <selection activeCell="Q1" sqref="Q1"/>
    </sheetView>
  </sheetViews>
  <sheetFormatPr defaultRowHeight="15" x14ac:dyDescent="0.25"/>
  <cols>
    <col min="1" max="1" width="13.140625" customWidth="1"/>
    <col min="2" max="3" width="12.7109375" bestFit="1" customWidth="1"/>
    <col min="4" max="4" width="13" bestFit="1" customWidth="1"/>
    <col min="5" max="5" width="18.140625" bestFit="1" customWidth="1"/>
    <col min="6" max="6" width="14.42578125" bestFit="1" customWidth="1"/>
    <col min="7" max="7" width="11.5703125" bestFit="1" customWidth="1"/>
    <col min="8" max="8" width="9.28515625" bestFit="1" customWidth="1"/>
    <col min="9" max="9" width="10.140625" bestFit="1" customWidth="1"/>
    <col min="10" max="10" width="13.28515625" customWidth="1"/>
    <col min="11" max="11" width="12" bestFit="1" customWidth="1"/>
    <col min="12" max="12" width="49.7109375" bestFit="1" customWidth="1"/>
    <col min="13" max="13" width="10.85546875" bestFit="1" customWidth="1"/>
    <col min="14" max="14" width="10.28515625" customWidth="1"/>
    <col min="15" max="15" width="14" customWidth="1"/>
    <col min="16" max="16" width="27" customWidth="1"/>
    <col min="17" max="17" width="13.140625" customWidth="1"/>
  </cols>
  <sheetData>
    <row r="1" spans="1:18" ht="42.75" x14ac:dyDescent="0.25">
      <c r="A1" s="9" t="s">
        <v>378</v>
      </c>
      <c r="B1" s="10" t="s">
        <v>379</v>
      </c>
      <c r="C1" s="10" t="s">
        <v>380</v>
      </c>
      <c r="D1" s="10" t="s">
        <v>381</v>
      </c>
      <c r="E1" s="10" t="s">
        <v>382</v>
      </c>
      <c r="F1" s="9" t="s">
        <v>383</v>
      </c>
      <c r="G1" s="9" t="s">
        <v>384</v>
      </c>
      <c r="H1" s="9" t="s">
        <v>385</v>
      </c>
      <c r="I1" s="9" t="s">
        <v>386</v>
      </c>
      <c r="J1" s="9"/>
      <c r="K1" s="22" t="s">
        <v>387</v>
      </c>
      <c r="L1" s="22" t="s">
        <v>388</v>
      </c>
      <c r="M1" s="23"/>
      <c r="N1" s="63"/>
      <c r="O1" s="23"/>
      <c r="P1" s="84" t="s">
        <v>389</v>
      </c>
      <c r="Q1" s="285">
        <f>1+(Configuration!C6)</f>
        <v>1.3</v>
      </c>
      <c r="R1" s="22"/>
    </row>
    <row r="2" spans="1:18" x14ac:dyDescent="0.25">
      <c r="A2" s="11" t="s">
        <v>135</v>
      </c>
      <c r="B2" s="12">
        <v>4</v>
      </c>
      <c r="C2" s="13">
        <f>8*Configuration!$C$2</f>
        <v>8</v>
      </c>
      <c r="D2" s="14">
        <f>((B2*8*Configuration!$C$4)+(C2*8*Configuration!$C$4))*$Q$1</f>
        <v>6.2399999999999999E-5</v>
      </c>
      <c r="E2" s="15">
        <v>0</v>
      </c>
      <c r="F2" s="16">
        <f>(D2+E2+$Q$3)</f>
        <v>8.2399999999999997E-5</v>
      </c>
      <c r="G2" s="17" t="s">
        <v>390</v>
      </c>
      <c r="H2" s="11" t="s">
        <v>391</v>
      </c>
      <c r="I2" s="17">
        <f>VLOOKUP(G2,$M$19:$N$23,2,FALSE) + VLOOKUP(H2,$M$19:$N$24,2,FALSE)</f>
        <v>8.2500000000000004E-3</v>
      </c>
      <c r="J2" s="69"/>
      <c r="K2" s="22">
        <f t="shared" ref="K2:K50" si="0">SUM(B2:C2)</f>
        <v>12</v>
      </c>
      <c r="L2" s="86" t="s">
        <v>392</v>
      </c>
      <c r="M2" s="23"/>
      <c r="N2" s="63"/>
      <c r="O2" s="23"/>
      <c r="P2" s="22"/>
      <c r="Q2" s="22"/>
      <c r="R2" s="22"/>
    </row>
    <row r="3" spans="1:18" ht="28.5" x14ac:dyDescent="0.25">
      <c r="A3" s="11" t="s">
        <v>393</v>
      </c>
      <c r="B3" s="12">
        <v>4</v>
      </c>
      <c r="C3" s="13">
        <f>8*Configuration!$C$2</f>
        <v>8</v>
      </c>
      <c r="D3" s="14">
        <f>((B3*8*Configuration!$C$4)+(C3*8*Configuration!$C$4))*$Q$1</f>
        <v>6.2399999999999999E-5</v>
      </c>
      <c r="E3" s="15">
        <v>0</v>
      </c>
      <c r="F3" s="16">
        <f t="shared" ref="F3:F50" si="1">(D3+E3+$Q$3)</f>
        <v>8.2399999999999997E-5</v>
      </c>
      <c r="G3" s="17" t="s">
        <v>390</v>
      </c>
      <c r="H3" s="11" t="s">
        <v>391</v>
      </c>
      <c r="I3" s="17">
        <f t="shared" ref="I3:I66" si="2">VLOOKUP(G3,$M$19:$N$23,2,FALSE) + VLOOKUP(H3,$M$19:$N$24,2,FALSE)</f>
        <v>8.2500000000000004E-3</v>
      </c>
      <c r="J3" s="17"/>
      <c r="K3" s="22">
        <f t="shared" si="0"/>
        <v>12</v>
      </c>
      <c r="L3" s="86" t="s">
        <v>394</v>
      </c>
      <c r="M3" s="23"/>
      <c r="N3" s="63"/>
      <c r="O3" s="22"/>
      <c r="P3" s="84" t="s">
        <v>395</v>
      </c>
      <c r="Q3" s="16">
        <f>Configuration!C7</f>
        <v>2.0000000000000002E-5</v>
      </c>
      <c r="R3" s="22"/>
    </row>
    <row r="4" spans="1:18" x14ac:dyDescent="0.25">
      <c r="A4" s="11" t="s">
        <v>137</v>
      </c>
      <c r="B4" s="12">
        <v>4</v>
      </c>
      <c r="C4" s="13">
        <f>8*Configuration!$C$2</f>
        <v>8</v>
      </c>
      <c r="D4" s="14">
        <f>((B4*8*Configuration!$C$4)+(C4*8*Configuration!$C$4))*$Q$1</f>
        <v>6.2399999999999999E-5</v>
      </c>
      <c r="E4" s="15">
        <v>0</v>
      </c>
      <c r="F4" s="16">
        <f t="shared" si="1"/>
        <v>8.2399999999999997E-5</v>
      </c>
      <c r="G4" s="17" t="s">
        <v>390</v>
      </c>
      <c r="H4" s="11" t="s">
        <v>391</v>
      </c>
      <c r="I4" s="17">
        <f t="shared" si="2"/>
        <v>8.2500000000000004E-3</v>
      </c>
      <c r="J4" s="17"/>
      <c r="K4" s="22">
        <f t="shared" si="0"/>
        <v>12</v>
      </c>
      <c r="L4" s="86" t="s">
        <v>396</v>
      </c>
      <c r="M4" s="23"/>
      <c r="N4" s="22"/>
      <c r="O4" s="22"/>
      <c r="P4" s="22"/>
      <c r="Q4" s="22"/>
      <c r="R4" s="24"/>
    </row>
    <row r="5" spans="1:18" x14ac:dyDescent="0.25">
      <c r="A5" s="11" t="s">
        <v>397</v>
      </c>
      <c r="B5" s="12">
        <v>4</v>
      </c>
      <c r="C5" s="13">
        <f>8*Configuration!$C$2</f>
        <v>8</v>
      </c>
      <c r="D5" s="14">
        <f>((B5*8*Configuration!$C$4)+(C5*8*Configuration!$C$4))*$Q$1</f>
        <v>6.2399999999999999E-5</v>
      </c>
      <c r="E5" s="15">
        <v>0</v>
      </c>
      <c r="F5" s="16">
        <f t="shared" si="1"/>
        <v>8.2399999999999997E-5</v>
      </c>
      <c r="G5" s="17" t="s">
        <v>390</v>
      </c>
      <c r="H5" s="11" t="s">
        <v>391</v>
      </c>
      <c r="I5" s="17">
        <f t="shared" si="2"/>
        <v>8.2500000000000004E-3</v>
      </c>
      <c r="J5" s="17"/>
      <c r="K5" s="22">
        <f t="shared" si="0"/>
        <v>12</v>
      </c>
      <c r="L5" s="86" t="s">
        <v>398</v>
      </c>
      <c r="M5" s="23"/>
      <c r="N5" s="23"/>
      <c r="O5" s="25"/>
      <c r="P5" s="26"/>
      <c r="Q5" s="27"/>
      <c r="R5" s="27"/>
    </row>
    <row r="6" spans="1:18" x14ac:dyDescent="0.25">
      <c r="A6" s="11" t="s">
        <v>169</v>
      </c>
      <c r="B6" s="12">
        <v>4</v>
      </c>
      <c r="C6" s="13">
        <f>8*Configuration!$C$2</f>
        <v>8</v>
      </c>
      <c r="D6" s="14">
        <f>((B6*8*Configuration!$C$4)+(C6*8*Configuration!$C$4))*$Q$1</f>
        <v>6.2399999999999999E-5</v>
      </c>
      <c r="E6" s="15">
        <v>0</v>
      </c>
      <c r="F6" s="16">
        <f t="shared" si="1"/>
        <v>8.2399999999999997E-5</v>
      </c>
      <c r="G6" s="17" t="s">
        <v>390</v>
      </c>
      <c r="H6" s="11" t="s">
        <v>391</v>
      </c>
      <c r="I6" s="17">
        <f t="shared" si="2"/>
        <v>8.2500000000000004E-3</v>
      </c>
      <c r="J6" s="17"/>
      <c r="K6" s="22">
        <f t="shared" si="0"/>
        <v>12</v>
      </c>
      <c r="L6" s="86" t="s">
        <v>399</v>
      </c>
      <c r="M6" s="23"/>
      <c r="N6" s="28"/>
      <c r="O6" s="25"/>
      <c r="P6" s="26"/>
      <c r="Q6" s="29"/>
      <c r="R6" s="26"/>
    </row>
    <row r="7" spans="1:18" x14ac:dyDescent="0.25">
      <c r="A7" s="11" t="s">
        <v>400</v>
      </c>
      <c r="B7" s="12">
        <v>4</v>
      </c>
      <c r="C7" s="13">
        <f>8*Configuration!$C$2</f>
        <v>8</v>
      </c>
      <c r="D7" s="14">
        <f>((B7*8*Configuration!$C$4)+(C7*8*Configuration!$C$4))*$Q$1</f>
        <v>6.2399999999999999E-5</v>
      </c>
      <c r="E7" s="15">
        <v>0</v>
      </c>
      <c r="F7" s="16">
        <f t="shared" si="1"/>
        <v>8.2399999999999997E-5</v>
      </c>
      <c r="G7" s="17" t="s">
        <v>390</v>
      </c>
      <c r="H7" s="11" t="s">
        <v>391</v>
      </c>
      <c r="I7" s="17">
        <f t="shared" si="2"/>
        <v>8.2500000000000004E-3</v>
      </c>
      <c r="J7" s="17"/>
      <c r="K7" s="22">
        <f t="shared" si="0"/>
        <v>12</v>
      </c>
      <c r="L7" s="86" t="s">
        <v>401</v>
      </c>
      <c r="M7" s="23"/>
      <c r="N7" s="23"/>
      <c r="O7" s="25"/>
      <c r="P7" s="26"/>
      <c r="Q7" s="27"/>
      <c r="R7" s="27"/>
    </row>
    <row r="8" spans="1:18" x14ac:dyDescent="0.25">
      <c r="A8" s="11" t="s">
        <v>402</v>
      </c>
      <c r="B8" s="12">
        <v>4</v>
      </c>
      <c r="C8" s="13">
        <f>8*Configuration!$C$2</f>
        <v>8</v>
      </c>
      <c r="D8" s="14">
        <f>((B8*8*Configuration!$C$4)+(C8*8*Configuration!$C$4))*$Q$1</f>
        <v>6.2399999999999999E-5</v>
      </c>
      <c r="E8" s="15">
        <v>0</v>
      </c>
      <c r="F8" s="16">
        <f t="shared" si="1"/>
        <v>8.2399999999999997E-5</v>
      </c>
      <c r="G8" s="17" t="s">
        <v>390</v>
      </c>
      <c r="H8" s="11" t="s">
        <v>391</v>
      </c>
      <c r="I8" s="17">
        <f t="shared" si="2"/>
        <v>8.2500000000000004E-3</v>
      </c>
      <c r="J8" s="17"/>
      <c r="K8" s="22">
        <f t="shared" si="0"/>
        <v>12</v>
      </c>
      <c r="L8" s="86" t="s">
        <v>403</v>
      </c>
      <c r="M8" s="23"/>
      <c r="N8" s="23"/>
      <c r="O8" s="25"/>
      <c r="P8" s="26"/>
      <c r="Q8" s="27"/>
      <c r="R8" s="27"/>
    </row>
    <row r="9" spans="1:18" x14ac:dyDescent="0.25">
      <c r="A9" s="11" t="s">
        <v>404</v>
      </c>
      <c r="B9" s="12">
        <v>4</v>
      </c>
      <c r="C9" s="13">
        <f>8*Configuration!$C$2</f>
        <v>8</v>
      </c>
      <c r="D9" s="14">
        <f>((B9*8*Configuration!$C$4)+(C9*8*Configuration!$C$4))*$Q$1</f>
        <v>6.2399999999999999E-5</v>
      </c>
      <c r="E9" s="15">
        <v>0</v>
      </c>
      <c r="F9" s="16">
        <f t="shared" si="1"/>
        <v>8.2399999999999997E-5</v>
      </c>
      <c r="G9" s="17" t="s">
        <v>390</v>
      </c>
      <c r="H9" s="11" t="s">
        <v>391</v>
      </c>
      <c r="I9" s="17">
        <f t="shared" si="2"/>
        <v>8.2500000000000004E-3</v>
      </c>
      <c r="J9" s="17"/>
      <c r="K9" s="22">
        <f t="shared" si="0"/>
        <v>12</v>
      </c>
      <c r="L9" s="86" t="s">
        <v>405</v>
      </c>
      <c r="M9" s="23"/>
      <c r="N9" s="23"/>
      <c r="O9" s="25"/>
      <c r="P9" s="26"/>
      <c r="Q9" s="30"/>
      <c r="R9" s="27"/>
    </row>
    <row r="10" spans="1:18" x14ac:dyDescent="0.25">
      <c r="A10" s="11" t="s">
        <v>406</v>
      </c>
      <c r="B10" s="12">
        <v>4</v>
      </c>
      <c r="C10" s="13">
        <f>8*Configuration!$C$2</f>
        <v>8</v>
      </c>
      <c r="D10" s="14">
        <f>((B10*8*Configuration!$C$4)+(C10*8*Configuration!$C$4))*$Q$1</f>
        <v>6.2399999999999999E-5</v>
      </c>
      <c r="E10" s="15">
        <v>0</v>
      </c>
      <c r="F10" s="16">
        <f t="shared" ref="F10" si="3">(D10+E10+$Q$3)</f>
        <v>8.2399999999999997E-5</v>
      </c>
      <c r="G10" s="17" t="s">
        <v>390</v>
      </c>
      <c r="H10" s="11" t="s">
        <v>391</v>
      </c>
      <c r="I10" s="17">
        <f t="shared" si="2"/>
        <v>8.2500000000000004E-3</v>
      </c>
      <c r="J10" s="17"/>
      <c r="K10" s="22">
        <f t="shared" ref="K10" si="4">SUM(B10:C10)</f>
        <v>12</v>
      </c>
      <c r="L10" s="86" t="s">
        <v>407</v>
      </c>
      <c r="M10" s="23"/>
      <c r="N10" s="23"/>
      <c r="O10" s="25"/>
      <c r="P10" s="26"/>
      <c r="Q10" s="30"/>
      <c r="R10" s="27"/>
    </row>
    <row r="11" spans="1:18" x14ac:dyDescent="0.25">
      <c r="A11" s="11" t="s">
        <v>408</v>
      </c>
      <c r="B11" s="12">
        <v>4</v>
      </c>
      <c r="C11" s="13">
        <f>8*Configuration!$C$2</f>
        <v>8</v>
      </c>
      <c r="D11" s="14">
        <f>((B11*8*Configuration!$C$4)+(C11*8*Configuration!$C$4))*$Q$1</f>
        <v>6.2399999999999999E-5</v>
      </c>
      <c r="E11" s="15">
        <v>0</v>
      </c>
      <c r="F11" s="16">
        <f t="shared" ref="F11" si="5">(D11+E11+$Q$3)</f>
        <v>8.2399999999999997E-5</v>
      </c>
      <c r="G11" s="17" t="s">
        <v>390</v>
      </c>
      <c r="H11" s="11" t="s">
        <v>391</v>
      </c>
      <c r="I11" s="17">
        <f t="shared" si="2"/>
        <v>8.2500000000000004E-3</v>
      </c>
      <c r="J11" s="17"/>
      <c r="K11" s="22">
        <f t="shared" ref="K11" si="6">SUM(B11:C11)</f>
        <v>12</v>
      </c>
      <c r="L11" s="86" t="s">
        <v>409</v>
      </c>
      <c r="M11" s="23"/>
      <c r="N11" s="23"/>
      <c r="O11" s="25"/>
      <c r="P11" s="26"/>
      <c r="Q11" s="30"/>
      <c r="R11" s="27"/>
    </row>
    <row r="12" spans="1:18" x14ac:dyDescent="0.25">
      <c r="A12" s="11" t="s">
        <v>410</v>
      </c>
      <c r="B12" s="12">
        <v>4</v>
      </c>
      <c r="C12" s="13">
        <f>36*Configuration!$C$2+2</f>
        <v>38</v>
      </c>
      <c r="D12" s="14">
        <f>((B12*8*Configuration!$C$4)+(C12*8*Configuration!$C$4))*$Q$1</f>
        <v>2.184E-4</v>
      </c>
      <c r="E12" s="15">
        <v>0</v>
      </c>
      <c r="F12" s="16">
        <f t="shared" si="1"/>
        <v>2.3839999999999999E-4</v>
      </c>
      <c r="G12" s="17" t="s">
        <v>390</v>
      </c>
      <c r="H12" s="11" t="s">
        <v>391</v>
      </c>
      <c r="I12" s="17">
        <f t="shared" si="2"/>
        <v>8.2500000000000004E-3</v>
      </c>
      <c r="J12" s="69"/>
      <c r="K12" s="22">
        <f t="shared" si="0"/>
        <v>42</v>
      </c>
      <c r="L12" s="22" t="s">
        <v>411</v>
      </c>
      <c r="M12" s="23"/>
      <c r="N12" s="23"/>
      <c r="O12" s="25"/>
      <c r="P12" s="26"/>
      <c r="Q12" s="27"/>
      <c r="R12" s="27"/>
    </row>
    <row r="13" spans="1:18" x14ac:dyDescent="0.25">
      <c r="A13" s="11" t="s">
        <v>412</v>
      </c>
      <c r="B13" s="12">
        <v>4</v>
      </c>
      <c r="C13" s="13">
        <f>8*Configuration!$C$2</f>
        <v>8</v>
      </c>
      <c r="D13" s="14">
        <f>((B13*8*Configuration!$C$4)+(C13*8*Configuration!$C$4))*$Q$1</f>
        <v>6.2399999999999999E-5</v>
      </c>
      <c r="E13" s="15">
        <v>0</v>
      </c>
      <c r="F13" s="16">
        <f t="shared" si="1"/>
        <v>8.2399999999999997E-5</v>
      </c>
      <c r="G13" s="17" t="s">
        <v>390</v>
      </c>
      <c r="H13" s="11" t="s">
        <v>391</v>
      </c>
      <c r="I13" s="17">
        <f t="shared" si="2"/>
        <v>8.2500000000000004E-3</v>
      </c>
      <c r="J13" s="17"/>
      <c r="K13" s="22">
        <f t="shared" si="0"/>
        <v>12</v>
      </c>
      <c r="L13" s="22" t="s">
        <v>413</v>
      </c>
      <c r="M13" s="22"/>
      <c r="N13" s="22"/>
      <c r="O13" s="22"/>
      <c r="P13" s="22"/>
      <c r="Q13" s="22"/>
      <c r="R13" s="22"/>
    </row>
    <row r="14" spans="1:18" x14ac:dyDescent="0.25">
      <c r="A14" s="11" t="s">
        <v>414</v>
      </c>
      <c r="B14" s="12">
        <v>4</v>
      </c>
      <c r="C14" s="13">
        <f>8*Configuration!$C$2</f>
        <v>8</v>
      </c>
      <c r="D14" s="14">
        <f>((B14*8*Configuration!$C$4)+(C14*8*Configuration!$C$4))*$Q$1</f>
        <v>6.2399999999999999E-5</v>
      </c>
      <c r="E14" s="15">
        <v>0</v>
      </c>
      <c r="F14" s="16">
        <f t="shared" si="1"/>
        <v>8.2399999999999997E-5</v>
      </c>
      <c r="G14" s="17" t="s">
        <v>390</v>
      </c>
      <c r="H14" s="11" t="s">
        <v>391</v>
      </c>
      <c r="I14" s="17">
        <f t="shared" si="2"/>
        <v>8.2500000000000004E-3</v>
      </c>
      <c r="J14" s="17"/>
      <c r="K14" s="22">
        <f t="shared" si="0"/>
        <v>12</v>
      </c>
      <c r="L14" s="22" t="s">
        <v>415</v>
      </c>
      <c r="M14" s="22"/>
      <c r="N14" s="22"/>
      <c r="O14" s="22"/>
      <c r="P14" s="22"/>
      <c r="Q14" s="22"/>
      <c r="R14" s="22"/>
    </row>
    <row r="15" spans="1:18" x14ac:dyDescent="0.25">
      <c r="A15" s="11" t="s">
        <v>416</v>
      </c>
      <c r="B15" s="12">
        <v>4</v>
      </c>
      <c r="C15" s="13">
        <f>8*Configuration!$C$2</f>
        <v>8</v>
      </c>
      <c r="D15" s="14">
        <f>((B15*8*Configuration!$C$4)+(C15*8*Configuration!$C$4))*$Q$1</f>
        <v>6.2399999999999999E-5</v>
      </c>
      <c r="E15" s="15">
        <v>0</v>
      </c>
      <c r="F15" s="16">
        <f t="shared" si="1"/>
        <v>8.2399999999999997E-5</v>
      </c>
      <c r="G15" s="17" t="s">
        <v>390</v>
      </c>
      <c r="H15" s="11" t="s">
        <v>391</v>
      </c>
      <c r="I15" s="17">
        <f t="shared" si="2"/>
        <v>8.2500000000000004E-3</v>
      </c>
      <c r="J15" s="17"/>
      <c r="K15" s="22">
        <f t="shared" si="0"/>
        <v>12</v>
      </c>
      <c r="L15" s="22" t="s">
        <v>417</v>
      </c>
      <c r="M15" s="22"/>
      <c r="N15" s="22"/>
      <c r="O15" s="22"/>
      <c r="P15" s="22"/>
      <c r="Q15" s="22"/>
      <c r="R15" s="22"/>
    </row>
    <row r="16" spans="1:18" x14ac:dyDescent="0.25">
      <c r="A16" s="11" t="s">
        <v>418</v>
      </c>
      <c r="B16" s="12">
        <v>4</v>
      </c>
      <c r="C16" s="13">
        <f>8*Configuration!$C$2</f>
        <v>8</v>
      </c>
      <c r="D16" s="14">
        <f>((B16*8*Configuration!$C$4)+(C16*8*Configuration!$C$4))*$Q$1</f>
        <v>6.2399999999999999E-5</v>
      </c>
      <c r="E16" s="15">
        <v>0</v>
      </c>
      <c r="F16" s="16">
        <f t="shared" si="1"/>
        <v>8.2399999999999997E-5</v>
      </c>
      <c r="G16" s="17" t="s">
        <v>390</v>
      </c>
      <c r="H16" s="11" t="s">
        <v>391</v>
      </c>
      <c r="I16" s="17">
        <f t="shared" si="2"/>
        <v>8.2500000000000004E-3</v>
      </c>
      <c r="J16" s="17"/>
      <c r="K16" s="22">
        <f t="shared" si="0"/>
        <v>12</v>
      </c>
      <c r="L16" s="22" t="s">
        <v>419</v>
      </c>
      <c r="M16" s="22"/>
      <c r="N16" s="22"/>
      <c r="O16" s="22"/>
      <c r="P16" s="22"/>
      <c r="Q16" s="22"/>
      <c r="R16" s="22"/>
    </row>
    <row r="17" spans="1:36" ht="15.75" thickBot="1" x14ac:dyDescent="0.3">
      <c r="A17" s="11" t="s">
        <v>420</v>
      </c>
      <c r="B17" s="12">
        <v>4</v>
      </c>
      <c r="C17" s="13">
        <f>8*Configuration!$C$2</f>
        <v>8</v>
      </c>
      <c r="D17" s="14">
        <f>((B17*8*Configuration!$C$4)+(C17*8*Configuration!$C$4))*$Q$1</f>
        <v>6.2399999999999999E-5</v>
      </c>
      <c r="E17" s="15">
        <v>0</v>
      </c>
      <c r="F17" s="16">
        <f t="shared" ref="F17:F23" si="7">(D17+E17+$Q$3)</f>
        <v>8.2399999999999997E-5</v>
      </c>
      <c r="G17" s="17" t="s">
        <v>390</v>
      </c>
      <c r="H17" s="11" t="s">
        <v>391</v>
      </c>
      <c r="I17" s="17">
        <f t="shared" si="2"/>
        <v>8.2500000000000004E-3</v>
      </c>
      <c r="J17" s="17"/>
      <c r="K17" s="22">
        <f t="shared" ref="K17:K23" si="8">SUM(B17:C17)</f>
        <v>12</v>
      </c>
      <c r="L17" s="22" t="s">
        <v>421</v>
      </c>
      <c r="M17" s="22"/>
      <c r="N17" s="22"/>
      <c r="O17" s="22"/>
      <c r="P17" s="22"/>
      <c r="Q17" s="22"/>
      <c r="R17" s="22"/>
    </row>
    <row r="18" spans="1:36" x14ac:dyDescent="0.25">
      <c r="A18" s="11" t="s">
        <v>422</v>
      </c>
      <c r="B18" s="12">
        <v>4</v>
      </c>
      <c r="C18" s="13">
        <f>8*Configuration!$C$2</f>
        <v>8</v>
      </c>
      <c r="D18" s="14">
        <f>((B18*8*Configuration!$C$4)+(C18*8*Configuration!$C$4))*$Q$1</f>
        <v>6.2399999999999999E-5</v>
      </c>
      <c r="E18" s="15">
        <v>0</v>
      </c>
      <c r="F18" s="16">
        <f t="shared" si="7"/>
        <v>8.2399999999999997E-5</v>
      </c>
      <c r="G18" s="17" t="s">
        <v>390</v>
      </c>
      <c r="H18" s="11" t="s">
        <v>391</v>
      </c>
      <c r="I18" s="17">
        <f t="shared" si="2"/>
        <v>8.2500000000000004E-3</v>
      </c>
      <c r="J18" s="17"/>
      <c r="K18" s="22">
        <f t="shared" si="8"/>
        <v>12</v>
      </c>
      <c r="L18" s="22" t="s">
        <v>423</v>
      </c>
      <c r="M18" s="105" t="s">
        <v>424</v>
      </c>
      <c r="N18" s="106"/>
      <c r="O18" s="22"/>
      <c r="P18" s="107" t="s">
        <v>425</v>
      </c>
      <c r="Q18" s="22" t="s">
        <v>3</v>
      </c>
      <c r="R18" s="22"/>
    </row>
    <row r="19" spans="1:36" x14ac:dyDescent="0.25">
      <c r="A19" s="11" t="s">
        <v>426</v>
      </c>
      <c r="B19" s="12">
        <v>4</v>
      </c>
      <c r="C19" s="13">
        <f>36*Configuration!$C$2+2</f>
        <v>38</v>
      </c>
      <c r="D19" s="14">
        <f>((B19*8*Configuration!$C$4)+(C19*8*Configuration!$C$4))*$Q$1</f>
        <v>2.184E-4</v>
      </c>
      <c r="E19" s="15">
        <v>0</v>
      </c>
      <c r="F19" s="16">
        <f t="shared" si="7"/>
        <v>2.3839999999999999E-4</v>
      </c>
      <c r="G19" s="17" t="s">
        <v>390</v>
      </c>
      <c r="H19" s="11" t="s">
        <v>391</v>
      </c>
      <c r="I19" s="17">
        <f t="shared" si="2"/>
        <v>8.2500000000000004E-3</v>
      </c>
      <c r="J19" s="69"/>
      <c r="K19" s="22">
        <f t="shared" si="8"/>
        <v>42</v>
      </c>
      <c r="L19" s="22" t="s">
        <v>427</v>
      </c>
      <c r="M19" s="108" t="s">
        <v>428</v>
      </c>
      <c r="N19" s="109">
        <v>5.8499999999999999E-6</v>
      </c>
      <c r="O19" s="22"/>
      <c r="P19" s="110">
        <v>0</v>
      </c>
      <c r="Q19" s="420" t="s">
        <v>429</v>
      </c>
      <c r="R19" s="420"/>
    </row>
    <row r="20" spans="1:36" ht="15.75" thickBot="1" x14ac:dyDescent="0.3">
      <c r="A20" s="11" t="s">
        <v>187</v>
      </c>
      <c r="B20" s="12">
        <v>4</v>
      </c>
      <c r="C20" s="13">
        <f>8*Configuration!$C$2</f>
        <v>8</v>
      </c>
      <c r="D20" s="14">
        <f>((B20*8*Configuration!$C$4)+(C20*8*Configuration!$C$4))*$Q$1</f>
        <v>6.2399999999999999E-5</v>
      </c>
      <c r="E20" s="15">
        <v>0</v>
      </c>
      <c r="F20" s="16">
        <f t="shared" si="7"/>
        <v>8.2399999999999997E-5</v>
      </c>
      <c r="G20" s="17" t="s">
        <v>390</v>
      </c>
      <c r="H20" s="11" t="s">
        <v>391</v>
      </c>
      <c r="I20" s="17">
        <f t="shared" si="2"/>
        <v>8.2500000000000004E-3</v>
      </c>
      <c r="J20" s="17"/>
      <c r="K20" s="22">
        <f t="shared" si="8"/>
        <v>12</v>
      </c>
      <c r="L20" s="22" t="s">
        <v>430</v>
      </c>
      <c r="M20" s="108" t="s">
        <v>431</v>
      </c>
      <c r="N20" s="109">
        <v>6.0000000000000002E-5</v>
      </c>
      <c r="O20" s="22"/>
      <c r="P20" s="110">
        <v>0</v>
      </c>
      <c r="Q20" s="22" t="s">
        <v>432</v>
      </c>
      <c r="R20" s="22"/>
    </row>
    <row r="21" spans="1:36" ht="15.75" thickBot="1" x14ac:dyDescent="0.3">
      <c r="A21" s="11" t="s">
        <v>189</v>
      </c>
      <c r="B21" s="12">
        <v>4</v>
      </c>
      <c r="C21" s="13">
        <f>8*Configuration!$C$2</f>
        <v>8</v>
      </c>
      <c r="D21" s="14">
        <f>((B21*8*Configuration!$C$4)+(C21*8*Configuration!$C$4))*$Q$1</f>
        <v>6.2399999999999999E-5</v>
      </c>
      <c r="E21" s="15">
        <v>0</v>
      </c>
      <c r="F21" s="16">
        <f t="shared" si="7"/>
        <v>8.2399999999999997E-5</v>
      </c>
      <c r="G21" s="17" t="s">
        <v>390</v>
      </c>
      <c r="H21" s="11" t="s">
        <v>391</v>
      </c>
      <c r="I21" s="17">
        <f t="shared" si="2"/>
        <v>8.2500000000000004E-3</v>
      </c>
      <c r="J21" s="17"/>
      <c r="K21" s="22">
        <f t="shared" si="8"/>
        <v>12</v>
      </c>
      <c r="L21" s="22" t="s">
        <v>433</v>
      </c>
      <c r="M21" s="108" t="s">
        <v>390</v>
      </c>
      <c r="N21" s="109">
        <v>1.25E-3</v>
      </c>
      <c r="O21" s="39"/>
      <c r="P21" s="110">
        <v>4</v>
      </c>
      <c r="Q21" s="39" t="s">
        <v>434</v>
      </c>
      <c r="R21" s="22"/>
    </row>
    <row r="22" spans="1:36" x14ac:dyDescent="0.25">
      <c r="A22" s="11" t="s">
        <v>190</v>
      </c>
      <c r="B22" s="12">
        <v>4</v>
      </c>
      <c r="C22" s="13">
        <f>8*Configuration!$C$2</f>
        <v>8</v>
      </c>
      <c r="D22" s="14">
        <f>((B22*8*Configuration!$C$4)+(C22*8*Configuration!$C$4))*$Q$1</f>
        <v>6.2399999999999999E-5</v>
      </c>
      <c r="E22" s="15">
        <v>0</v>
      </c>
      <c r="F22" s="16">
        <f t="shared" si="7"/>
        <v>8.2399999999999997E-5</v>
      </c>
      <c r="G22" s="17" t="s">
        <v>390</v>
      </c>
      <c r="H22" s="11" t="s">
        <v>391</v>
      </c>
      <c r="I22" s="17">
        <f t="shared" si="2"/>
        <v>8.2500000000000004E-3</v>
      </c>
      <c r="J22" s="17"/>
      <c r="K22" s="22">
        <f t="shared" si="8"/>
        <v>12</v>
      </c>
      <c r="L22" s="22" t="s">
        <v>435</v>
      </c>
      <c r="M22" s="108" t="s">
        <v>436</v>
      </c>
      <c r="N22" s="109">
        <v>1.12E-2</v>
      </c>
      <c r="O22" s="39"/>
      <c r="P22" s="110">
        <v>3</v>
      </c>
      <c r="Q22" s="39" t="s">
        <v>437</v>
      </c>
      <c r="R22" s="22"/>
    </row>
    <row r="23" spans="1:36" x14ac:dyDescent="0.25">
      <c r="A23" s="11" t="s">
        <v>191</v>
      </c>
      <c r="B23" s="12">
        <v>4</v>
      </c>
      <c r="C23" s="13">
        <f>8*Configuration!$C$2</f>
        <v>8</v>
      </c>
      <c r="D23" s="14">
        <f>((B23*8*Configuration!$C$4)+(C23*8*Configuration!$C$4))*$Q$1</f>
        <v>6.2399999999999999E-5</v>
      </c>
      <c r="E23" s="15">
        <v>0</v>
      </c>
      <c r="F23" s="16">
        <f t="shared" si="7"/>
        <v>8.2399999999999997E-5</v>
      </c>
      <c r="G23" s="17" t="s">
        <v>390</v>
      </c>
      <c r="H23" s="11" t="s">
        <v>391</v>
      </c>
      <c r="I23" s="17">
        <f t="shared" si="2"/>
        <v>8.2500000000000004E-3</v>
      </c>
      <c r="J23" s="17"/>
      <c r="K23" s="22">
        <f t="shared" si="8"/>
        <v>12</v>
      </c>
      <c r="L23" s="22" t="s">
        <v>438</v>
      </c>
      <c r="M23" s="108" t="s">
        <v>439</v>
      </c>
      <c r="N23" s="31">
        <v>4.0000000000000001E-3</v>
      </c>
      <c r="O23" s="22"/>
      <c r="P23" s="110">
        <v>0</v>
      </c>
      <c r="Q23" s="22" t="s">
        <v>440</v>
      </c>
      <c r="R23" s="22"/>
    </row>
    <row r="24" spans="1:36" ht="16.5" thickBot="1" x14ac:dyDescent="0.3">
      <c r="A24" s="11" t="s">
        <v>192</v>
      </c>
      <c r="B24" s="12">
        <v>4</v>
      </c>
      <c r="C24" s="13">
        <f>8*Configuration!$C$2</f>
        <v>8</v>
      </c>
      <c r="D24" s="14">
        <f>((B24*8*Configuration!$C$4)+(C24*8*Configuration!$C$4))*$Q$1</f>
        <v>6.2399999999999999E-5</v>
      </c>
      <c r="E24" s="15">
        <v>0</v>
      </c>
      <c r="F24" s="16">
        <f t="shared" ref="F24:F26" si="9">(D24+E24+$Q$3)</f>
        <v>8.2399999999999997E-5</v>
      </c>
      <c r="G24" s="17" t="s">
        <v>390</v>
      </c>
      <c r="H24" s="11" t="s">
        <v>391</v>
      </c>
      <c r="I24" s="17">
        <f t="shared" si="2"/>
        <v>8.2500000000000004E-3</v>
      </c>
      <c r="J24" s="17"/>
      <c r="K24" s="22">
        <f t="shared" ref="K24:K26" si="10">SUM(B24:C24)</f>
        <v>12</v>
      </c>
      <c r="L24" s="22" t="s">
        <v>441</v>
      </c>
      <c r="M24" s="111" t="s">
        <v>391</v>
      </c>
      <c r="N24" s="112">
        <v>7.0000000000000001E-3</v>
      </c>
      <c r="O24" s="22"/>
      <c r="P24" s="22"/>
      <c r="Q24" s="22"/>
      <c r="R24" s="22"/>
      <c r="V24" s="421" t="s">
        <v>442</v>
      </c>
      <c r="W24" s="421"/>
      <c r="X24" s="421"/>
      <c r="Y24" s="421"/>
      <c r="Z24" s="421"/>
      <c r="AA24" s="421"/>
      <c r="AB24" s="421"/>
      <c r="AC24" s="421"/>
      <c r="AD24" s="422" t="s">
        <v>443</v>
      </c>
      <c r="AE24" s="422"/>
      <c r="AF24" s="422"/>
      <c r="AG24" s="422"/>
      <c r="AH24" s="422"/>
      <c r="AI24" s="422"/>
      <c r="AJ24" s="422"/>
    </row>
    <row r="25" spans="1:36" ht="16.5" thickBot="1" x14ac:dyDescent="0.3">
      <c r="A25" s="11" t="s">
        <v>193</v>
      </c>
      <c r="B25" s="12">
        <v>4</v>
      </c>
      <c r="C25" s="13">
        <f>8*Configuration!$C$2</f>
        <v>8</v>
      </c>
      <c r="D25" s="14">
        <f>((B25*8*Configuration!$C$4)+(C25*8*Configuration!$C$4))*$Q$1</f>
        <v>6.2399999999999999E-5</v>
      </c>
      <c r="E25" s="15">
        <v>0</v>
      </c>
      <c r="F25" s="16">
        <f t="shared" si="9"/>
        <v>8.2399999999999997E-5</v>
      </c>
      <c r="G25" s="17" t="s">
        <v>390</v>
      </c>
      <c r="H25" s="11" t="s">
        <v>391</v>
      </c>
      <c r="I25" s="17">
        <f t="shared" si="2"/>
        <v>8.2500000000000004E-3</v>
      </c>
      <c r="J25" s="17"/>
      <c r="K25" s="22">
        <f t="shared" si="10"/>
        <v>12</v>
      </c>
      <c r="L25" s="22" t="s">
        <v>444</v>
      </c>
      <c r="M25" s="22"/>
      <c r="N25" s="22"/>
      <c r="O25" s="22"/>
      <c r="P25" s="22"/>
      <c r="Q25" s="22"/>
      <c r="R25" s="22"/>
      <c r="V25" s="378"/>
      <c r="W25" s="413" t="s">
        <v>445</v>
      </c>
      <c r="X25" s="414"/>
      <c r="Y25" s="414"/>
      <c r="Z25" s="414"/>
      <c r="AA25" s="414"/>
      <c r="AB25" s="415"/>
      <c r="AC25" s="377"/>
      <c r="AE25" s="113" t="s">
        <v>446</v>
      </c>
      <c r="AF25" s="113"/>
      <c r="AG25" s="113"/>
      <c r="AH25" s="113"/>
      <c r="AI25" s="113"/>
    </row>
    <row r="26" spans="1:36" ht="16.5" thickBot="1" x14ac:dyDescent="0.3">
      <c r="A26" s="11" t="s">
        <v>447</v>
      </c>
      <c r="B26" s="12">
        <v>4</v>
      </c>
      <c r="C26" s="13">
        <f>36*Configuration!$C$2+2</f>
        <v>38</v>
      </c>
      <c r="D26" s="14">
        <f>((B26*8*Configuration!$C$4)+(C26*8*Configuration!$C$4))*$Q$1</f>
        <v>2.184E-4</v>
      </c>
      <c r="E26" s="15">
        <v>0</v>
      </c>
      <c r="F26" s="16">
        <f t="shared" si="9"/>
        <v>2.3839999999999999E-4</v>
      </c>
      <c r="G26" s="17" t="s">
        <v>390</v>
      </c>
      <c r="H26" s="11" t="s">
        <v>391</v>
      </c>
      <c r="I26" s="17">
        <f t="shared" si="2"/>
        <v>8.2500000000000004E-3</v>
      </c>
      <c r="J26" s="69"/>
      <c r="K26" s="22">
        <f t="shared" si="10"/>
        <v>42</v>
      </c>
      <c r="L26" s="22" t="s">
        <v>448</v>
      </c>
      <c r="M26" s="22"/>
      <c r="N26" s="22"/>
      <c r="O26" s="22"/>
      <c r="P26" s="22"/>
      <c r="Q26" s="22"/>
      <c r="R26" s="22"/>
      <c r="V26" s="47" t="s">
        <v>449</v>
      </c>
      <c r="W26" s="48" t="s">
        <v>450</v>
      </c>
      <c r="X26" s="48" t="s">
        <v>451</v>
      </c>
      <c r="Y26" s="48" t="s">
        <v>452</v>
      </c>
      <c r="Z26" s="48" t="s">
        <v>453</v>
      </c>
      <c r="AA26" s="48" t="s">
        <v>454</v>
      </c>
      <c r="AB26" s="49" t="s">
        <v>455</v>
      </c>
      <c r="AC26" s="49"/>
    </row>
    <row r="27" spans="1:36" ht="17.25" thickBot="1" x14ac:dyDescent="0.3">
      <c r="A27" s="11" t="s">
        <v>456</v>
      </c>
      <c r="B27" s="12">
        <v>4</v>
      </c>
      <c r="C27" s="13">
        <f>72*Configuration!$C$2+2</f>
        <v>74</v>
      </c>
      <c r="D27" s="14">
        <f>((B27*8*Configuration!$C$4)+(C27*8*Configuration!$C$4))*$Q$1</f>
        <v>4.0559999999999999E-4</v>
      </c>
      <c r="E27" s="15">
        <v>0</v>
      </c>
      <c r="F27" s="16">
        <f t="shared" ref="F27:F35" si="11">(D27+E27+$Q$3)</f>
        <v>4.2559999999999999E-4</v>
      </c>
      <c r="G27" s="17" t="s">
        <v>390</v>
      </c>
      <c r="H27" s="11" t="s">
        <v>391</v>
      </c>
      <c r="I27" s="17">
        <f t="shared" si="2"/>
        <v>8.2500000000000004E-3</v>
      </c>
      <c r="J27" s="69"/>
      <c r="K27" s="22">
        <f t="shared" ref="K27:K35" si="12">SUM(B27:C27)</f>
        <v>78</v>
      </c>
      <c r="L27" s="22" t="s">
        <v>457</v>
      </c>
      <c r="M27" s="22"/>
      <c r="N27" s="22"/>
      <c r="O27" s="22"/>
      <c r="P27" s="22"/>
      <c r="Q27" s="22"/>
      <c r="R27" s="22"/>
      <c r="V27" s="33" t="s">
        <v>458</v>
      </c>
      <c r="W27" s="34">
        <v>63</v>
      </c>
      <c r="X27" s="34">
        <v>111</v>
      </c>
      <c r="Y27" s="34">
        <v>256</v>
      </c>
      <c r="Z27" s="34">
        <v>304</v>
      </c>
      <c r="AA27" s="34">
        <v>576</v>
      </c>
      <c r="AB27" s="35">
        <v>1158</v>
      </c>
      <c r="AC27" s="75">
        <f>AA27-Z27</f>
        <v>272</v>
      </c>
      <c r="AD27">
        <f>48*6+14</f>
        <v>302</v>
      </c>
      <c r="AE27" s="75">
        <f>AC27+AD27</f>
        <v>574</v>
      </c>
    </row>
    <row r="28" spans="1:36" ht="17.25" thickBot="1" x14ac:dyDescent="0.3">
      <c r="A28" s="11" t="s">
        <v>459</v>
      </c>
      <c r="B28" s="12">
        <v>4</v>
      </c>
      <c r="C28" s="13">
        <f>72*Configuration!$C$2+2</f>
        <v>74</v>
      </c>
      <c r="D28" s="14">
        <f>((B28*8*Configuration!$C$4)+(C28*8*Configuration!$C$4))*$Q$1</f>
        <v>4.0559999999999999E-4</v>
      </c>
      <c r="E28" s="15">
        <v>0</v>
      </c>
      <c r="F28" s="16">
        <f t="shared" si="11"/>
        <v>4.2559999999999999E-4</v>
      </c>
      <c r="G28" s="17" t="s">
        <v>390</v>
      </c>
      <c r="H28" s="11" t="s">
        <v>391</v>
      </c>
      <c r="I28" s="17">
        <f t="shared" si="2"/>
        <v>8.2500000000000004E-3</v>
      </c>
      <c r="J28" s="69"/>
      <c r="K28" s="22">
        <f t="shared" si="12"/>
        <v>78</v>
      </c>
      <c r="L28" s="22" t="s">
        <v>460</v>
      </c>
      <c r="M28" s="22"/>
      <c r="N28" s="22"/>
      <c r="O28" s="22"/>
      <c r="P28" s="22"/>
      <c r="Q28" s="22"/>
      <c r="R28" s="22"/>
      <c r="V28" s="36" t="s">
        <v>461</v>
      </c>
      <c r="W28" s="37">
        <v>92</v>
      </c>
      <c r="X28" s="37">
        <v>170</v>
      </c>
      <c r="Y28" s="37">
        <v>401</v>
      </c>
      <c r="Z28" s="37">
        <v>479</v>
      </c>
      <c r="AA28" s="37">
        <v>750</v>
      </c>
      <c r="AB28" s="38">
        <v>1332</v>
      </c>
      <c r="AC28" s="75">
        <f t="shared" ref="AC28:AC34" si="13">AA28-Z28</f>
        <v>271</v>
      </c>
    </row>
    <row r="29" spans="1:36" ht="17.25" thickBot="1" x14ac:dyDescent="0.3">
      <c r="A29" s="11" t="s">
        <v>153</v>
      </c>
      <c r="B29" s="12">
        <v>4</v>
      </c>
      <c r="C29" s="13">
        <f>8*Configuration!$C$2</f>
        <v>8</v>
      </c>
      <c r="D29" s="14">
        <f>((B29*8*Configuration!$C$4)+(C29*8*Configuration!$C$4))*$Q$1</f>
        <v>6.2399999999999999E-5</v>
      </c>
      <c r="E29" s="15">
        <v>0</v>
      </c>
      <c r="F29" s="16">
        <f t="shared" si="11"/>
        <v>8.2399999999999997E-5</v>
      </c>
      <c r="G29" s="17" t="s">
        <v>390</v>
      </c>
      <c r="H29" s="11" t="s">
        <v>391</v>
      </c>
      <c r="I29" s="17">
        <f t="shared" si="2"/>
        <v>8.2500000000000004E-3</v>
      </c>
      <c r="J29" s="17"/>
      <c r="K29" s="22">
        <f t="shared" si="12"/>
        <v>12</v>
      </c>
      <c r="L29" s="22" t="s">
        <v>462</v>
      </c>
      <c r="M29" s="22"/>
      <c r="N29" s="22"/>
      <c r="O29" s="22"/>
      <c r="P29" s="22"/>
      <c r="Q29" s="22"/>
      <c r="R29" s="22"/>
      <c r="V29" s="36" t="s">
        <v>463</v>
      </c>
      <c r="W29" s="37">
        <v>150</v>
      </c>
      <c r="X29" s="37">
        <v>286</v>
      </c>
      <c r="Y29" s="37">
        <v>692</v>
      </c>
      <c r="Z29" s="37">
        <v>828</v>
      </c>
      <c r="AA29" s="37">
        <v>1216</v>
      </c>
      <c r="AB29" s="38">
        <v>2380</v>
      </c>
      <c r="AC29" s="75">
        <f t="shared" si="13"/>
        <v>388</v>
      </c>
    </row>
    <row r="30" spans="1:36" ht="17.25" thickBot="1" x14ac:dyDescent="0.3">
      <c r="A30" s="11" t="s">
        <v>155</v>
      </c>
      <c r="B30" s="12">
        <v>4</v>
      </c>
      <c r="C30" s="13">
        <f>8*Configuration!$C$2</f>
        <v>8</v>
      </c>
      <c r="D30" s="14">
        <f>((B30*8*Configuration!$C$4)+(C30*8*Configuration!$C$4))*$Q$1</f>
        <v>6.2399999999999999E-5</v>
      </c>
      <c r="E30" s="15">
        <v>0</v>
      </c>
      <c r="F30" s="16">
        <f t="shared" si="11"/>
        <v>8.2399999999999997E-5</v>
      </c>
      <c r="G30" s="17" t="s">
        <v>390</v>
      </c>
      <c r="H30" s="11" t="s">
        <v>391</v>
      </c>
      <c r="I30" s="17">
        <f t="shared" si="2"/>
        <v>8.2500000000000004E-3</v>
      </c>
      <c r="J30" s="17"/>
      <c r="K30" s="22">
        <f t="shared" si="12"/>
        <v>12</v>
      </c>
      <c r="L30" s="22" t="s">
        <v>464</v>
      </c>
      <c r="M30" s="22"/>
      <c r="N30" s="22"/>
      <c r="O30" s="22"/>
      <c r="P30" s="22"/>
      <c r="Q30" s="22"/>
      <c r="R30" s="22"/>
      <c r="V30" s="36" t="s">
        <v>465</v>
      </c>
      <c r="W30" s="37">
        <v>267</v>
      </c>
      <c r="X30" s="37">
        <v>519</v>
      </c>
      <c r="Y30" s="37">
        <v>1274</v>
      </c>
      <c r="Z30" s="37">
        <v>1526</v>
      </c>
      <c r="AA30" s="37">
        <v>1914</v>
      </c>
      <c r="AB30" s="38">
        <v>3078</v>
      </c>
      <c r="AC30" s="75">
        <f t="shared" si="13"/>
        <v>388</v>
      </c>
    </row>
    <row r="31" spans="1:36" ht="17.25" thickBot="1" x14ac:dyDescent="0.3">
      <c r="A31" s="11" t="s">
        <v>156</v>
      </c>
      <c r="B31" s="12">
        <v>4</v>
      </c>
      <c r="C31" s="13">
        <f>8*Configuration!$C$2</f>
        <v>8</v>
      </c>
      <c r="D31" s="14">
        <f>((B31*8*Configuration!$C$4)+(C31*8*Configuration!$C$4))*$Q$1</f>
        <v>6.2399999999999999E-5</v>
      </c>
      <c r="E31" s="15">
        <v>0</v>
      </c>
      <c r="F31" s="16">
        <f t="shared" si="11"/>
        <v>8.2399999999999997E-5</v>
      </c>
      <c r="G31" s="17" t="s">
        <v>390</v>
      </c>
      <c r="H31" s="11" t="s">
        <v>391</v>
      </c>
      <c r="I31" s="17">
        <f t="shared" si="2"/>
        <v>8.2500000000000004E-3</v>
      </c>
      <c r="J31" s="17"/>
      <c r="K31" s="22">
        <f t="shared" si="12"/>
        <v>12</v>
      </c>
      <c r="L31" s="22" t="s">
        <v>466</v>
      </c>
      <c r="M31" s="22"/>
      <c r="N31" s="22"/>
      <c r="Q31" s="40">
        <f>(2^((5+(6*P20)+(P21)))/(3.3*10^6))</f>
        <v>1.5515151515151516E-4</v>
      </c>
      <c r="R31" s="41" t="s">
        <v>467</v>
      </c>
      <c r="V31" s="36" t="s">
        <v>468</v>
      </c>
      <c r="W31" s="37">
        <v>500</v>
      </c>
      <c r="X31" s="37">
        <v>984</v>
      </c>
      <c r="Y31" s="37">
        <v>2438</v>
      </c>
      <c r="Z31" s="37">
        <v>2922</v>
      </c>
      <c r="AA31" s="37">
        <v>3310</v>
      </c>
      <c r="AB31" s="38">
        <v>4474</v>
      </c>
      <c r="AC31" s="75">
        <f t="shared" si="13"/>
        <v>388</v>
      </c>
    </row>
    <row r="32" spans="1:36" ht="17.25" thickBot="1" x14ac:dyDescent="0.3">
      <c r="A32" s="11" t="s">
        <v>157</v>
      </c>
      <c r="B32" s="12">
        <v>4</v>
      </c>
      <c r="C32" s="13">
        <f>8*Configuration!$C$2</f>
        <v>8</v>
      </c>
      <c r="D32" s="14">
        <f>((B32*8*Configuration!$C$4)+(C32*8*Configuration!$C$4))*$Q$1</f>
        <v>6.2399999999999999E-5</v>
      </c>
      <c r="E32" s="15">
        <v>0</v>
      </c>
      <c r="F32" s="16">
        <f t="shared" si="11"/>
        <v>8.2399999999999997E-5</v>
      </c>
      <c r="G32" s="17" t="s">
        <v>390</v>
      </c>
      <c r="H32" s="11" t="s">
        <v>391</v>
      </c>
      <c r="I32" s="17">
        <f t="shared" si="2"/>
        <v>8.2500000000000004E-3</v>
      </c>
      <c r="J32" s="17"/>
      <c r="K32" s="22">
        <f t="shared" si="12"/>
        <v>12</v>
      </c>
      <c r="L32" s="22" t="s">
        <v>469</v>
      </c>
      <c r="M32" s="22"/>
      <c r="N32" s="22"/>
      <c r="O32" s="42" t="s">
        <v>470</v>
      </c>
      <c r="P32" s="22"/>
      <c r="Q32" s="40">
        <f>VLOOKUP(P18,$V$27:$AB$34,6,FALSE)*10^-6</f>
        <v>1.2159999999999999E-3</v>
      </c>
      <c r="R32" s="40">
        <f>VLOOKUP(P18,$V$27:$AB$34,7,FALSE)*10^-6</f>
        <v>2.3799999999999997E-3</v>
      </c>
      <c r="V32" s="36" t="s">
        <v>471</v>
      </c>
      <c r="W32" s="37">
        <v>965</v>
      </c>
      <c r="X32" s="37">
        <v>1915</v>
      </c>
      <c r="Y32" s="37">
        <v>4765</v>
      </c>
      <c r="Z32" s="37">
        <v>5715</v>
      </c>
      <c r="AA32" s="37">
        <v>6103</v>
      </c>
      <c r="AB32" s="38">
        <v>7267</v>
      </c>
      <c r="AC32" s="75">
        <f t="shared" si="13"/>
        <v>388</v>
      </c>
    </row>
    <row r="33" spans="1:40" ht="30" thickBot="1" x14ac:dyDescent="0.3">
      <c r="A33" s="11" t="s">
        <v>158</v>
      </c>
      <c r="B33" s="12">
        <v>4</v>
      </c>
      <c r="C33" s="13">
        <f>8*Configuration!$C$2</f>
        <v>8</v>
      </c>
      <c r="D33" s="14">
        <f>((B33*8*Configuration!$C$4)+(C33*8*Configuration!$C$4))*$Q$1</f>
        <v>6.2399999999999999E-5</v>
      </c>
      <c r="E33" s="15">
        <v>0</v>
      </c>
      <c r="F33" s="16">
        <f t="shared" si="11"/>
        <v>8.2399999999999997E-5</v>
      </c>
      <c r="G33" s="17" t="s">
        <v>390</v>
      </c>
      <c r="H33" s="11" t="s">
        <v>391</v>
      </c>
      <c r="I33" s="17">
        <f t="shared" si="2"/>
        <v>8.2500000000000004E-3</v>
      </c>
      <c r="J33" s="17"/>
      <c r="K33" s="22">
        <f t="shared" si="12"/>
        <v>12</v>
      </c>
      <c r="L33" s="22" t="s">
        <v>472</v>
      </c>
      <c r="M33" s="22"/>
      <c r="N33" s="22" t="s">
        <v>473</v>
      </c>
      <c r="O33" s="43" t="s">
        <v>474</v>
      </c>
      <c r="P33" s="44">
        <f>INDEX(Q32:R32,1,P19+1)+6*Q31</f>
        <v>2.1469090909090908E-3</v>
      </c>
      <c r="Q33" s="45"/>
      <c r="R33" s="46"/>
      <c r="V33" s="36" t="s">
        <v>475</v>
      </c>
      <c r="W33" s="37">
        <v>1896</v>
      </c>
      <c r="X33" s="37">
        <v>3777</v>
      </c>
      <c r="Y33" s="37">
        <v>9420</v>
      </c>
      <c r="Z33" s="37">
        <v>11301</v>
      </c>
      <c r="AA33" s="37">
        <v>11689</v>
      </c>
      <c r="AB33" s="38">
        <v>12853</v>
      </c>
      <c r="AC33" s="75">
        <f t="shared" si="13"/>
        <v>388</v>
      </c>
    </row>
    <row r="34" spans="1:40" ht="17.25" thickBot="1" x14ac:dyDescent="0.3">
      <c r="A34" s="11" t="s">
        <v>159</v>
      </c>
      <c r="B34" s="12">
        <v>4</v>
      </c>
      <c r="C34" s="13">
        <f>8*Configuration!$C$2</f>
        <v>8</v>
      </c>
      <c r="D34" s="14">
        <f>((B34*8*Configuration!$C$4)+(C34*8*Configuration!$C$4))*$Q$1</f>
        <v>6.2399999999999999E-5</v>
      </c>
      <c r="E34" s="15">
        <v>0</v>
      </c>
      <c r="F34" s="16">
        <f t="shared" si="11"/>
        <v>8.2399999999999997E-5</v>
      </c>
      <c r="G34" s="17" t="s">
        <v>390</v>
      </c>
      <c r="H34" s="11" t="s">
        <v>391</v>
      </c>
      <c r="I34" s="17">
        <f t="shared" si="2"/>
        <v>8.2500000000000004E-3</v>
      </c>
      <c r="J34" s="17"/>
      <c r="K34" s="22">
        <f t="shared" si="12"/>
        <v>12</v>
      </c>
      <c r="L34" s="22" t="s">
        <v>476</v>
      </c>
      <c r="M34" s="22"/>
      <c r="N34" s="22"/>
      <c r="O34" s="22"/>
      <c r="P34" s="50"/>
      <c r="Q34" s="22"/>
      <c r="R34" s="22"/>
      <c r="V34" s="36" t="s">
        <v>477</v>
      </c>
      <c r="W34" s="37">
        <v>29823</v>
      </c>
      <c r="X34" s="37">
        <v>59632</v>
      </c>
      <c r="Y34" s="37">
        <v>149056</v>
      </c>
      <c r="Z34" s="37">
        <v>178864</v>
      </c>
      <c r="AA34" s="37">
        <v>182743</v>
      </c>
      <c r="AB34" s="38">
        <v>201362</v>
      </c>
      <c r="AC34" s="75">
        <f t="shared" si="13"/>
        <v>3879</v>
      </c>
    </row>
    <row r="35" spans="1:40" x14ac:dyDescent="0.25">
      <c r="A35" s="11" t="s">
        <v>478</v>
      </c>
      <c r="B35" s="12">
        <v>4</v>
      </c>
      <c r="C35" s="13">
        <f>36*Configuration!$C$2+2</f>
        <v>38</v>
      </c>
      <c r="D35" s="14">
        <f>((B35*8*Configuration!$C$4)+(C35*8*Configuration!$C$4))*$Q$1</f>
        <v>2.184E-4</v>
      </c>
      <c r="E35" s="15">
        <v>0</v>
      </c>
      <c r="F35" s="16">
        <f t="shared" si="11"/>
        <v>2.3839999999999999E-4</v>
      </c>
      <c r="G35" s="17" t="s">
        <v>390</v>
      </c>
      <c r="H35" s="11" t="s">
        <v>391</v>
      </c>
      <c r="I35" s="17">
        <f t="shared" si="2"/>
        <v>8.2500000000000004E-3</v>
      </c>
      <c r="J35" s="69"/>
      <c r="K35" s="22">
        <f t="shared" si="12"/>
        <v>42</v>
      </c>
      <c r="L35" s="22" t="s">
        <v>479</v>
      </c>
      <c r="M35" s="22"/>
      <c r="N35" s="22"/>
      <c r="O35" s="22"/>
      <c r="P35" s="22"/>
      <c r="Q35" s="22"/>
      <c r="R35" s="22"/>
    </row>
    <row r="36" spans="1:40" ht="16.5" thickBot="1" x14ac:dyDescent="0.3">
      <c r="A36" s="11" t="s">
        <v>214</v>
      </c>
      <c r="B36" s="12">
        <v>4</v>
      </c>
      <c r="C36" s="13">
        <f>8*Configuration!$C$2</f>
        <v>8</v>
      </c>
      <c r="D36" s="14">
        <f>((B36*8*Configuration!$C$4)+(C36*8*Configuration!$C$4))*$Q$1</f>
        <v>6.2399999999999999E-5</v>
      </c>
      <c r="E36" s="15">
        <v>0</v>
      </c>
      <c r="F36" s="16">
        <f t="shared" si="1"/>
        <v>8.2399999999999997E-5</v>
      </c>
      <c r="G36" s="17" t="s">
        <v>390</v>
      </c>
      <c r="H36" s="11" t="s">
        <v>391</v>
      </c>
      <c r="I36" s="17">
        <f t="shared" si="2"/>
        <v>8.2500000000000004E-3</v>
      </c>
      <c r="J36" s="17"/>
      <c r="K36" s="22">
        <f t="shared" si="0"/>
        <v>12</v>
      </c>
      <c r="L36" s="22" t="s">
        <v>480</v>
      </c>
      <c r="M36" s="22"/>
      <c r="N36" s="22"/>
      <c r="O36" s="22"/>
      <c r="P36" s="22"/>
      <c r="Q36" s="22"/>
      <c r="R36" s="22"/>
      <c r="AG36" s="32" t="s">
        <v>481</v>
      </c>
    </row>
    <row r="37" spans="1:40" ht="16.5" thickBot="1" x14ac:dyDescent="0.3">
      <c r="A37" s="11" t="s">
        <v>216</v>
      </c>
      <c r="B37" s="12">
        <v>4</v>
      </c>
      <c r="C37" s="13">
        <f>8*Configuration!$C$2</f>
        <v>8</v>
      </c>
      <c r="D37" s="14">
        <f>((B37*8*Configuration!$C$4)+(C37*8*Configuration!$C$4))*$Q$1</f>
        <v>6.2399999999999999E-5</v>
      </c>
      <c r="E37" s="15">
        <v>0</v>
      </c>
      <c r="F37" s="16">
        <f t="shared" si="1"/>
        <v>8.2399999999999997E-5</v>
      </c>
      <c r="G37" s="17" t="s">
        <v>390</v>
      </c>
      <c r="H37" s="11" t="s">
        <v>391</v>
      </c>
      <c r="I37" s="17">
        <f t="shared" si="2"/>
        <v>8.2500000000000004E-3</v>
      </c>
      <c r="J37" s="17"/>
      <c r="K37" s="22">
        <f t="shared" si="0"/>
        <v>12</v>
      </c>
      <c r="L37" s="22" t="s">
        <v>482</v>
      </c>
      <c r="M37" s="22"/>
      <c r="N37" s="22" t="s">
        <v>473</v>
      </c>
      <c r="O37" s="22" t="s">
        <v>483</v>
      </c>
      <c r="P37" s="44">
        <f>($P$23*$Q$31)*6+VLOOKUP(P18,$V$39:$AC$46,7+P19,FALSE)*10^-6</f>
        <v>1.2159999999999999E-3</v>
      </c>
      <c r="Q37" s="22"/>
      <c r="R37" s="22"/>
      <c r="V37" s="378"/>
      <c r="W37" s="413" t="s">
        <v>484</v>
      </c>
      <c r="X37" s="414"/>
      <c r="Y37" s="414"/>
      <c r="Z37" s="414"/>
      <c r="AA37" s="414"/>
      <c r="AB37" s="414"/>
      <c r="AC37" s="414"/>
      <c r="AF37" s="378"/>
      <c r="AG37" s="413" t="s">
        <v>445</v>
      </c>
      <c r="AH37" s="414"/>
      <c r="AI37" s="414"/>
    </row>
    <row r="38" spans="1:40" ht="16.5" thickBot="1" x14ac:dyDescent="0.3">
      <c r="A38" s="11" t="s">
        <v>218</v>
      </c>
      <c r="B38" s="12">
        <v>4</v>
      </c>
      <c r="C38" s="13">
        <f>8*Configuration!$C$2</f>
        <v>8</v>
      </c>
      <c r="D38" s="14">
        <f>((B38*8*Configuration!$C$4)+(C38*8*Configuration!$C$4))*$Q$1</f>
        <v>6.2399999999999999E-5</v>
      </c>
      <c r="E38" s="15">
        <v>0</v>
      </c>
      <c r="F38" s="16">
        <f t="shared" si="1"/>
        <v>8.2399999999999997E-5</v>
      </c>
      <c r="G38" s="17" t="s">
        <v>390</v>
      </c>
      <c r="H38" s="11" t="s">
        <v>391</v>
      </c>
      <c r="I38" s="17">
        <f t="shared" si="2"/>
        <v>8.2500000000000004E-3</v>
      </c>
      <c r="J38" s="17"/>
      <c r="K38" s="22">
        <f t="shared" si="0"/>
        <v>12</v>
      </c>
      <c r="L38" s="22" t="s">
        <v>485</v>
      </c>
      <c r="M38" s="22"/>
      <c r="N38" s="22" t="s">
        <v>486</v>
      </c>
      <c r="O38" s="22" t="s">
        <v>483</v>
      </c>
      <c r="P38" s="44">
        <f>($P$23*$Q$31)*2+VLOOKUP(P18,AF38:AI46,4,FALSE)*10^-6</f>
        <v>4.0199999999999996E-4</v>
      </c>
      <c r="Q38" s="22"/>
      <c r="R38" s="22"/>
      <c r="V38" s="47" t="s">
        <v>449</v>
      </c>
      <c r="W38" s="381" t="s">
        <v>487</v>
      </c>
      <c r="X38" s="381" t="s">
        <v>450</v>
      </c>
      <c r="Y38" s="381" t="s">
        <v>451</v>
      </c>
      <c r="Z38" s="381" t="s">
        <v>488</v>
      </c>
      <c r="AA38" s="73" t="s">
        <v>489</v>
      </c>
      <c r="AB38" s="48" t="s">
        <v>454</v>
      </c>
      <c r="AC38" s="49" t="s">
        <v>455</v>
      </c>
      <c r="AF38" s="47" t="s">
        <v>449</v>
      </c>
      <c r="AG38" s="48" t="s">
        <v>487</v>
      </c>
      <c r="AH38" s="48" t="s">
        <v>450</v>
      </c>
      <c r="AI38" s="49" t="s">
        <v>490</v>
      </c>
    </row>
    <row r="39" spans="1:40" ht="17.25" thickBot="1" x14ac:dyDescent="0.3">
      <c r="A39" s="11" t="s">
        <v>220</v>
      </c>
      <c r="B39" s="12">
        <v>4</v>
      </c>
      <c r="C39" s="13">
        <f>8*Configuration!$C$2</f>
        <v>8</v>
      </c>
      <c r="D39" s="14">
        <f>((B39*8*Configuration!$C$4)+(C39*8*Configuration!$C$4))*$Q$1</f>
        <v>6.2399999999999999E-5</v>
      </c>
      <c r="E39" s="15">
        <v>0</v>
      </c>
      <c r="F39" s="16">
        <f t="shared" ref="F39:F42" si="14">(D39+E39+$Q$3)</f>
        <v>8.2399999999999997E-5</v>
      </c>
      <c r="G39" s="17" t="s">
        <v>390</v>
      </c>
      <c r="H39" s="11" t="s">
        <v>391</v>
      </c>
      <c r="I39" s="17">
        <f t="shared" si="2"/>
        <v>8.2500000000000004E-3</v>
      </c>
      <c r="J39" s="17"/>
      <c r="K39" s="22">
        <f t="shared" ref="K39:K42" si="15">SUM(B39:C39)</f>
        <v>12</v>
      </c>
      <c r="L39" s="22" t="s">
        <v>491</v>
      </c>
      <c r="M39" s="22"/>
      <c r="N39" s="22"/>
      <c r="O39" s="22"/>
      <c r="P39" s="50"/>
      <c r="Q39" s="22"/>
      <c r="R39" s="22"/>
      <c r="V39" s="51" t="s">
        <v>458</v>
      </c>
      <c r="W39" s="52">
        <v>0</v>
      </c>
      <c r="X39" s="53">
        <v>63</v>
      </c>
      <c r="Y39" s="53">
        <v>111</v>
      </c>
      <c r="Z39" s="53">
        <v>256</v>
      </c>
      <c r="AA39" s="61">
        <v>304</v>
      </c>
      <c r="AB39" s="53">
        <v>576</v>
      </c>
      <c r="AC39" s="54">
        <v>1158</v>
      </c>
      <c r="AD39">
        <f>AB39-AA39</f>
        <v>272</v>
      </c>
      <c r="AE39" s="74">
        <f>AC39-AA39</f>
        <v>854</v>
      </c>
      <c r="AF39" s="51" t="s">
        <v>458</v>
      </c>
      <c r="AG39" s="55">
        <v>0</v>
      </c>
      <c r="AH39" s="56">
        <v>63</v>
      </c>
      <c r="AI39" s="57">
        <v>199</v>
      </c>
      <c r="AJ39">
        <f>AI39-AH39</f>
        <v>136</v>
      </c>
      <c r="AL39">
        <f>AJ39+X39</f>
        <v>199</v>
      </c>
      <c r="AM39">
        <f>AE39/6</f>
        <v>142.33333333333334</v>
      </c>
      <c r="AN39">
        <f>AL39+Y39</f>
        <v>310</v>
      </c>
    </row>
    <row r="40" spans="1:40" ht="17.25" thickBot="1" x14ac:dyDescent="0.3">
      <c r="A40" s="11" t="s">
        <v>231</v>
      </c>
      <c r="B40" s="12">
        <v>4</v>
      </c>
      <c r="C40" s="13">
        <f>8*Configuration!$C$2</f>
        <v>8</v>
      </c>
      <c r="D40" s="14">
        <f>((B40*8*Configuration!$C$4)+(C40*8*Configuration!$C$4))*$Q$1</f>
        <v>6.2399999999999999E-5</v>
      </c>
      <c r="E40" s="15">
        <v>0</v>
      </c>
      <c r="F40" s="16">
        <f t="shared" si="14"/>
        <v>8.2399999999999997E-5</v>
      </c>
      <c r="G40" s="17" t="s">
        <v>390</v>
      </c>
      <c r="H40" s="11" t="s">
        <v>391</v>
      </c>
      <c r="I40" s="17">
        <f t="shared" si="2"/>
        <v>8.2500000000000004E-3</v>
      </c>
      <c r="J40" s="17"/>
      <c r="K40" s="22">
        <f t="shared" si="15"/>
        <v>12</v>
      </c>
      <c r="L40" s="22" t="s">
        <v>492</v>
      </c>
      <c r="M40" s="22"/>
      <c r="N40" s="22"/>
      <c r="O40" s="22"/>
      <c r="P40" s="22"/>
      <c r="Q40" s="22"/>
      <c r="R40" s="22"/>
      <c r="V40" s="51" t="s">
        <v>461</v>
      </c>
      <c r="W40" s="52">
        <v>0</v>
      </c>
      <c r="X40" s="53">
        <v>92</v>
      </c>
      <c r="Y40" s="53">
        <v>170</v>
      </c>
      <c r="Z40" s="53">
        <v>401</v>
      </c>
      <c r="AA40" s="61">
        <v>479</v>
      </c>
      <c r="AB40" s="53">
        <v>750</v>
      </c>
      <c r="AC40" s="54">
        <v>1332</v>
      </c>
      <c r="AD40">
        <f t="shared" ref="AD40:AD46" si="16">AB40-AA40</f>
        <v>271</v>
      </c>
      <c r="AE40" s="74">
        <f t="shared" ref="AE40:AE46" si="17">AC40-AA40</f>
        <v>853</v>
      </c>
      <c r="AF40" s="51" t="s">
        <v>461</v>
      </c>
      <c r="AG40" s="55">
        <v>0</v>
      </c>
      <c r="AH40" s="56">
        <v>93</v>
      </c>
      <c r="AI40" s="57">
        <v>228</v>
      </c>
      <c r="AJ40">
        <f t="shared" ref="AJ40:AJ46" si="18">AI40-AH40</f>
        <v>135</v>
      </c>
      <c r="AL40">
        <f t="shared" ref="AL40:AL46" si="19">AJ40+X40</f>
        <v>227</v>
      </c>
      <c r="AM40">
        <f t="shared" ref="AM40:AM46" si="20">AE40/6</f>
        <v>142.16666666666666</v>
      </c>
      <c r="AN40">
        <f t="shared" ref="AN40:AN46" si="21">AL40+Y40</f>
        <v>397</v>
      </c>
    </row>
    <row r="41" spans="1:40" ht="17.25" thickBot="1" x14ac:dyDescent="0.3">
      <c r="A41" s="11" t="s">
        <v>233</v>
      </c>
      <c r="B41" s="12">
        <v>4</v>
      </c>
      <c r="C41" s="13">
        <f>8*Configuration!$C$2</f>
        <v>8</v>
      </c>
      <c r="D41" s="14">
        <f>((B41*8*Configuration!$C$4)+(C41*8*Configuration!$C$4))*$Q$1</f>
        <v>6.2399999999999999E-5</v>
      </c>
      <c r="E41" s="15">
        <v>0</v>
      </c>
      <c r="F41" s="16">
        <f t="shared" si="14"/>
        <v>8.2399999999999997E-5</v>
      </c>
      <c r="G41" s="17" t="s">
        <v>390</v>
      </c>
      <c r="H41" s="11" t="s">
        <v>391</v>
      </c>
      <c r="I41" s="17">
        <f t="shared" si="2"/>
        <v>8.2500000000000004E-3</v>
      </c>
      <c r="J41" s="17"/>
      <c r="K41" s="22">
        <f t="shared" si="15"/>
        <v>12</v>
      </c>
      <c r="L41" s="22" t="s">
        <v>493</v>
      </c>
      <c r="M41" s="22"/>
      <c r="N41" s="22"/>
      <c r="O41" s="22"/>
      <c r="P41" s="22"/>
      <c r="Q41" s="22"/>
      <c r="R41" s="22"/>
      <c r="V41" s="51" t="s">
        <v>463</v>
      </c>
      <c r="W41" s="52">
        <v>0</v>
      </c>
      <c r="X41" s="53">
        <v>150</v>
      </c>
      <c r="Y41" s="53">
        <v>286</v>
      </c>
      <c r="Z41" s="53">
        <v>692</v>
      </c>
      <c r="AA41" s="61">
        <v>828</v>
      </c>
      <c r="AB41" s="58">
        <v>1216</v>
      </c>
      <c r="AC41" s="54">
        <v>2380</v>
      </c>
      <c r="AD41">
        <f t="shared" si="16"/>
        <v>388</v>
      </c>
      <c r="AE41" s="74">
        <f t="shared" si="17"/>
        <v>1552</v>
      </c>
      <c r="AF41" s="51" t="s">
        <v>463</v>
      </c>
      <c r="AG41" s="55">
        <v>0</v>
      </c>
      <c r="AH41" s="56">
        <v>150</v>
      </c>
      <c r="AI41" s="57">
        <v>402</v>
      </c>
      <c r="AJ41">
        <f t="shared" si="18"/>
        <v>252</v>
      </c>
      <c r="AL41">
        <f t="shared" si="19"/>
        <v>402</v>
      </c>
      <c r="AM41">
        <f t="shared" si="20"/>
        <v>258.66666666666669</v>
      </c>
      <c r="AN41">
        <f t="shared" si="21"/>
        <v>688</v>
      </c>
    </row>
    <row r="42" spans="1:40" ht="17.25" thickBot="1" x14ac:dyDescent="0.3">
      <c r="A42" s="11" t="s">
        <v>235</v>
      </c>
      <c r="B42" s="12">
        <v>4</v>
      </c>
      <c r="C42" s="13">
        <f>8*Configuration!$C$2</f>
        <v>8</v>
      </c>
      <c r="D42" s="14">
        <f>((B42*8*Configuration!$C$4)+(C42*8*Configuration!$C$4))*$Q$1</f>
        <v>6.2399999999999999E-5</v>
      </c>
      <c r="E42" s="15">
        <v>0</v>
      </c>
      <c r="F42" s="16">
        <f t="shared" si="14"/>
        <v>8.2399999999999997E-5</v>
      </c>
      <c r="G42" s="17" t="s">
        <v>390</v>
      </c>
      <c r="H42" s="11" t="s">
        <v>391</v>
      </c>
      <c r="I42" s="17">
        <f t="shared" si="2"/>
        <v>8.2500000000000004E-3</v>
      </c>
      <c r="J42" s="17"/>
      <c r="K42" s="22">
        <f t="shared" si="15"/>
        <v>12</v>
      </c>
      <c r="L42" s="22" t="s">
        <v>494</v>
      </c>
      <c r="M42" s="22"/>
      <c r="N42" s="22"/>
      <c r="O42" s="22"/>
      <c r="P42" s="22"/>
      <c r="Q42" s="22"/>
      <c r="R42" s="22"/>
      <c r="V42" s="51" t="s">
        <v>465</v>
      </c>
      <c r="W42" s="52">
        <v>0</v>
      </c>
      <c r="X42" s="53">
        <v>267</v>
      </c>
      <c r="Y42" s="53">
        <v>519</v>
      </c>
      <c r="Z42" s="58">
        <v>1274</v>
      </c>
      <c r="AA42" s="54">
        <v>1526</v>
      </c>
      <c r="AB42" s="58">
        <v>1914</v>
      </c>
      <c r="AC42" s="54">
        <v>3078</v>
      </c>
      <c r="AD42">
        <f t="shared" si="16"/>
        <v>388</v>
      </c>
      <c r="AE42" s="74">
        <f t="shared" si="17"/>
        <v>1552</v>
      </c>
      <c r="AF42" s="51" t="s">
        <v>465</v>
      </c>
      <c r="AG42" s="55">
        <v>0</v>
      </c>
      <c r="AH42" s="56">
        <v>267</v>
      </c>
      <c r="AI42" s="57">
        <v>519</v>
      </c>
      <c r="AJ42">
        <f t="shared" si="18"/>
        <v>252</v>
      </c>
      <c r="AL42">
        <f t="shared" si="19"/>
        <v>519</v>
      </c>
      <c r="AM42">
        <f t="shared" si="20"/>
        <v>258.66666666666669</v>
      </c>
      <c r="AN42">
        <f t="shared" si="21"/>
        <v>1038</v>
      </c>
    </row>
    <row r="43" spans="1:40" ht="17.25" thickBot="1" x14ac:dyDescent="0.3">
      <c r="A43" s="11" t="s">
        <v>237</v>
      </c>
      <c r="B43" s="12">
        <v>4</v>
      </c>
      <c r="C43" s="13">
        <f>8*Configuration!$C$2</f>
        <v>8</v>
      </c>
      <c r="D43" s="14">
        <f>((B43*8*Configuration!$C$4)+(C43*8*Configuration!$C$4))*$Q$1</f>
        <v>6.2399999999999999E-5</v>
      </c>
      <c r="E43" s="15">
        <v>0</v>
      </c>
      <c r="F43" s="16">
        <f t="shared" ref="F43" si="22">(D43+E43+$Q$3)</f>
        <v>8.2399999999999997E-5</v>
      </c>
      <c r="G43" s="17" t="s">
        <v>390</v>
      </c>
      <c r="H43" s="11" t="s">
        <v>391</v>
      </c>
      <c r="I43" s="17">
        <f t="shared" si="2"/>
        <v>8.2500000000000004E-3</v>
      </c>
      <c r="J43" s="17"/>
      <c r="K43" s="22">
        <f t="shared" ref="K43" si="23">SUM(B43:C43)</f>
        <v>12</v>
      </c>
      <c r="L43" s="22" t="s">
        <v>495</v>
      </c>
      <c r="M43" s="22"/>
      <c r="N43" s="22"/>
      <c r="O43" s="22"/>
      <c r="P43" s="22"/>
      <c r="Q43" s="22"/>
      <c r="R43" s="22"/>
      <c r="V43" s="51" t="s">
        <v>468</v>
      </c>
      <c r="W43" s="52">
        <v>0</v>
      </c>
      <c r="X43" s="53">
        <v>500</v>
      </c>
      <c r="Y43" s="53">
        <v>984</v>
      </c>
      <c r="Z43" s="58">
        <v>2438</v>
      </c>
      <c r="AA43" s="54">
        <v>2922</v>
      </c>
      <c r="AB43" s="58">
        <v>3310</v>
      </c>
      <c r="AC43" s="54">
        <v>4474</v>
      </c>
      <c r="AD43">
        <f t="shared" si="16"/>
        <v>388</v>
      </c>
      <c r="AE43" s="74">
        <f t="shared" si="17"/>
        <v>1552</v>
      </c>
      <c r="AF43" s="51" t="s">
        <v>468</v>
      </c>
      <c r="AG43" s="55">
        <v>0</v>
      </c>
      <c r="AH43" s="56">
        <v>500</v>
      </c>
      <c r="AI43" s="57">
        <v>751</v>
      </c>
      <c r="AJ43">
        <f t="shared" si="18"/>
        <v>251</v>
      </c>
      <c r="AL43">
        <f t="shared" si="19"/>
        <v>751</v>
      </c>
      <c r="AM43">
        <f t="shared" si="20"/>
        <v>258.66666666666669</v>
      </c>
      <c r="AN43">
        <f t="shared" si="21"/>
        <v>1735</v>
      </c>
    </row>
    <row r="44" spans="1:40" ht="17.25" thickBot="1" x14ac:dyDescent="0.3">
      <c r="A44" s="11" t="s">
        <v>228</v>
      </c>
      <c r="B44" s="12">
        <v>4</v>
      </c>
      <c r="C44" s="13">
        <f>8*Configuration!$C$2</f>
        <v>8</v>
      </c>
      <c r="D44" s="14">
        <f>((B44*8*Configuration!$C$4)+(C44*8*Configuration!$C$4))*$Q$1</f>
        <v>6.2399999999999999E-5</v>
      </c>
      <c r="E44" s="15">
        <v>0</v>
      </c>
      <c r="F44" s="16">
        <f t="shared" si="1"/>
        <v>8.2399999999999997E-5</v>
      </c>
      <c r="G44" s="17" t="s">
        <v>390</v>
      </c>
      <c r="H44" s="11" t="s">
        <v>391</v>
      </c>
      <c r="I44" s="17">
        <f t="shared" si="2"/>
        <v>8.2500000000000004E-3</v>
      </c>
      <c r="J44" s="17"/>
      <c r="K44" s="22">
        <f t="shared" si="0"/>
        <v>12</v>
      </c>
      <c r="L44" s="22" t="s">
        <v>496</v>
      </c>
      <c r="M44" s="22"/>
      <c r="N44" s="22"/>
      <c r="O44" s="22"/>
      <c r="P44" s="22"/>
      <c r="Q44" s="22"/>
      <c r="R44" s="22"/>
      <c r="V44" s="51" t="s">
        <v>471</v>
      </c>
      <c r="W44" s="52">
        <v>0</v>
      </c>
      <c r="X44" s="53">
        <v>965</v>
      </c>
      <c r="Y44" s="58">
        <v>1915</v>
      </c>
      <c r="Z44" s="58">
        <v>4765</v>
      </c>
      <c r="AA44" s="54">
        <v>5715</v>
      </c>
      <c r="AB44" s="58">
        <v>6103</v>
      </c>
      <c r="AC44" s="54">
        <v>7267</v>
      </c>
      <c r="AD44">
        <f t="shared" si="16"/>
        <v>388</v>
      </c>
      <c r="AE44" s="74">
        <f t="shared" si="17"/>
        <v>1552</v>
      </c>
      <c r="AF44" s="51" t="s">
        <v>471</v>
      </c>
      <c r="AG44" s="55">
        <v>0</v>
      </c>
      <c r="AH44" s="56">
        <v>965</v>
      </c>
      <c r="AI44" s="59">
        <v>1217</v>
      </c>
      <c r="AJ44">
        <f t="shared" si="18"/>
        <v>252</v>
      </c>
      <c r="AL44">
        <f t="shared" si="19"/>
        <v>1217</v>
      </c>
      <c r="AM44">
        <f t="shared" si="20"/>
        <v>258.66666666666669</v>
      </c>
      <c r="AN44">
        <f t="shared" si="21"/>
        <v>3132</v>
      </c>
    </row>
    <row r="45" spans="1:40" ht="17.25" thickBot="1" x14ac:dyDescent="0.3">
      <c r="A45" s="11" t="s">
        <v>224</v>
      </c>
      <c r="B45" s="12">
        <v>4</v>
      </c>
      <c r="C45" s="13">
        <f>8*Configuration!$C$2</f>
        <v>8</v>
      </c>
      <c r="D45" s="14">
        <f>((B45*8*Configuration!$C$4)+(C45*8*Configuration!$C$4))*$Q$1</f>
        <v>6.2399999999999999E-5</v>
      </c>
      <c r="E45" s="15">
        <v>0</v>
      </c>
      <c r="F45" s="16">
        <f t="shared" si="1"/>
        <v>8.2399999999999997E-5</v>
      </c>
      <c r="G45" s="17" t="s">
        <v>390</v>
      </c>
      <c r="H45" s="11" t="s">
        <v>391</v>
      </c>
      <c r="I45" s="17">
        <f t="shared" si="2"/>
        <v>8.2500000000000004E-3</v>
      </c>
      <c r="J45" s="17"/>
      <c r="K45" s="22">
        <f t="shared" si="0"/>
        <v>12</v>
      </c>
      <c r="L45" s="22" t="s">
        <v>497</v>
      </c>
      <c r="M45" s="22"/>
      <c r="N45" s="22"/>
      <c r="O45" s="22"/>
      <c r="P45" s="22"/>
      <c r="Q45" s="22"/>
      <c r="R45" s="22"/>
      <c r="V45" s="51" t="s">
        <v>475</v>
      </c>
      <c r="W45" s="52">
        <v>0</v>
      </c>
      <c r="X45" s="58">
        <v>1896</v>
      </c>
      <c r="Y45" s="58">
        <v>3777</v>
      </c>
      <c r="Z45" s="58">
        <v>9420</v>
      </c>
      <c r="AA45" s="54">
        <v>11301</v>
      </c>
      <c r="AB45" s="58">
        <v>11689</v>
      </c>
      <c r="AC45" s="54">
        <v>12853</v>
      </c>
      <c r="AD45">
        <f t="shared" si="16"/>
        <v>388</v>
      </c>
      <c r="AE45" s="74">
        <f t="shared" si="17"/>
        <v>1552</v>
      </c>
      <c r="AF45" s="51" t="s">
        <v>475</v>
      </c>
      <c r="AG45" s="55">
        <v>0</v>
      </c>
      <c r="AH45" s="60">
        <v>1896</v>
      </c>
      <c r="AI45" s="59">
        <v>2148</v>
      </c>
      <c r="AJ45">
        <f t="shared" si="18"/>
        <v>252</v>
      </c>
      <c r="AK45">
        <f>AJ45*6</f>
        <v>1512</v>
      </c>
      <c r="AL45">
        <f t="shared" si="19"/>
        <v>2148</v>
      </c>
      <c r="AM45">
        <f t="shared" si="20"/>
        <v>258.66666666666669</v>
      </c>
      <c r="AN45">
        <f t="shared" si="21"/>
        <v>5925</v>
      </c>
    </row>
    <row r="46" spans="1:40" ht="17.25" thickBot="1" x14ac:dyDescent="0.3">
      <c r="A46" s="11" t="s">
        <v>141</v>
      </c>
      <c r="B46" s="12">
        <v>4</v>
      </c>
      <c r="C46" s="13">
        <f>8*Configuration!$C$2</f>
        <v>8</v>
      </c>
      <c r="D46" s="14">
        <f>((B46*8*Configuration!$C$4)+(C46*8*Configuration!$C$4))*$Q$1</f>
        <v>6.2399999999999999E-5</v>
      </c>
      <c r="E46" s="15">
        <v>0</v>
      </c>
      <c r="F46" s="16">
        <f>(D46+E46+$Q$3)</f>
        <v>8.2399999999999997E-5</v>
      </c>
      <c r="G46" s="17" t="s">
        <v>390</v>
      </c>
      <c r="H46" s="11" t="s">
        <v>391</v>
      </c>
      <c r="I46" s="17">
        <f t="shared" si="2"/>
        <v>8.2500000000000004E-3</v>
      </c>
      <c r="J46" s="17"/>
      <c r="K46" s="22">
        <f t="shared" si="0"/>
        <v>12</v>
      </c>
      <c r="L46" s="22" t="s">
        <v>498</v>
      </c>
      <c r="M46" s="22"/>
      <c r="N46" s="22"/>
      <c r="O46" s="22"/>
      <c r="P46" s="22"/>
      <c r="Q46" s="22"/>
      <c r="R46" s="22"/>
      <c r="V46" s="51" t="s">
        <v>477</v>
      </c>
      <c r="W46" s="52">
        <v>0</v>
      </c>
      <c r="X46" s="58">
        <v>29823</v>
      </c>
      <c r="Y46" s="58">
        <v>59632</v>
      </c>
      <c r="Z46" s="58">
        <v>149056</v>
      </c>
      <c r="AA46" s="54">
        <v>178864</v>
      </c>
      <c r="AB46" s="58">
        <v>182743</v>
      </c>
      <c r="AC46" s="54">
        <v>201362</v>
      </c>
      <c r="AD46">
        <f t="shared" si="16"/>
        <v>3879</v>
      </c>
      <c r="AE46" s="74">
        <f t="shared" si="17"/>
        <v>22498</v>
      </c>
      <c r="AF46" s="51" t="s">
        <v>477</v>
      </c>
      <c r="AG46" s="55">
        <v>0</v>
      </c>
      <c r="AH46" s="60">
        <v>29823</v>
      </c>
      <c r="AI46" s="59">
        <v>33566</v>
      </c>
      <c r="AJ46">
        <f t="shared" si="18"/>
        <v>3743</v>
      </c>
      <c r="AL46">
        <f t="shared" si="19"/>
        <v>33566</v>
      </c>
      <c r="AM46">
        <f t="shared" si="20"/>
        <v>3749.6666666666665</v>
      </c>
      <c r="AN46">
        <f t="shared" si="21"/>
        <v>93198</v>
      </c>
    </row>
    <row r="47" spans="1:40" x14ac:dyDescent="0.25">
      <c r="A47" s="11" t="s">
        <v>274</v>
      </c>
      <c r="B47" s="12">
        <v>4</v>
      </c>
      <c r="C47" s="13">
        <f>8*Configuration!$C$2</f>
        <v>8</v>
      </c>
      <c r="D47" s="14">
        <f>((B47*8*Configuration!$C$4)+(C47*8*Configuration!$C$4))*$Q$1</f>
        <v>6.2399999999999999E-5</v>
      </c>
      <c r="E47" s="15">
        <v>0</v>
      </c>
      <c r="F47" s="16">
        <f t="shared" ref="F47:F48" si="24">(D47+E47+$Q$3)</f>
        <v>8.2399999999999997E-5</v>
      </c>
      <c r="G47" s="17" t="s">
        <v>390</v>
      </c>
      <c r="H47" s="11" t="s">
        <v>391</v>
      </c>
      <c r="I47" s="17">
        <f t="shared" si="2"/>
        <v>8.2500000000000004E-3</v>
      </c>
      <c r="J47" s="17"/>
      <c r="K47" s="22">
        <f t="shared" ref="K47:K48" si="25">SUM(B47:C47)</f>
        <v>12</v>
      </c>
      <c r="L47" s="22" t="s">
        <v>499</v>
      </c>
      <c r="M47" s="108" t="s">
        <v>436</v>
      </c>
      <c r="N47" s="109">
        <v>1.12E-2</v>
      </c>
      <c r="O47" s="39"/>
      <c r="P47" s="110">
        <f>P22</f>
        <v>3</v>
      </c>
      <c r="Q47" s="39" t="s">
        <v>437</v>
      </c>
      <c r="R47" s="22"/>
    </row>
    <row r="48" spans="1:40" x14ac:dyDescent="0.25">
      <c r="A48" s="11" t="s">
        <v>500</v>
      </c>
      <c r="B48" s="12">
        <v>4</v>
      </c>
      <c r="C48" s="13">
        <f>8*Configuration!$C$2</f>
        <v>8</v>
      </c>
      <c r="D48" s="14">
        <f>((B48*8*Configuration!$C$4)+(C48*8*Configuration!$C$4))*$Q$1</f>
        <v>6.2399999999999999E-5</v>
      </c>
      <c r="E48" s="15">
        <v>0</v>
      </c>
      <c r="F48" s="16">
        <f t="shared" si="24"/>
        <v>8.2399999999999997E-5</v>
      </c>
      <c r="G48" s="17" t="s">
        <v>390</v>
      </c>
      <c r="H48" s="11" t="s">
        <v>391</v>
      </c>
      <c r="I48" s="17">
        <f t="shared" si="2"/>
        <v>8.2500000000000004E-3</v>
      </c>
      <c r="J48" s="17"/>
      <c r="K48" s="22">
        <f t="shared" si="25"/>
        <v>12</v>
      </c>
      <c r="L48" s="22" t="s">
        <v>501</v>
      </c>
      <c r="M48" s="22"/>
      <c r="N48" s="22"/>
      <c r="O48" s="22"/>
      <c r="P48" s="22"/>
      <c r="Q48" s="22"/>
      <c r="R48" s="22"/>
    </row>
    <row r="49" spans="1:36" x14ac:dyDescent="0.25">
      <c r="A49" s="11" t="s">
        <v>502</v>
      </c>
      <c r="B49" s="12">
        <v>4</v>
      </c>
      <c r="C49" s="13">
        <f>54*Configuration!$C$2+2</f>
        <v>56</v>
      </c>
      <c r="D49" s="14">
        <f>((B49*8*Configuration!$C$4)+(C49*8*Configuration!$C$4))*$Q$1</f>
        <v>3.1199999999999999E-4</v>
      </c>
      <c r="E49" s="15">
        <v>0</v>
      </c>
      <c r="F49" s="16">
        <f t="shared" si="1"/>
        <v>3.3199999999999999E-4</v>
      </c>
      <c r="G49" s="17" t="s">
        <v>390</v>
      </c>
      <c r="H49" s="11" t="s">
        <v>391</v>
      </c>
      <c r="I49" s="17">
        <f t="shared" si="2"/>
        <v>8.2500000000000004E-3</v>
      </c>
      <c r="J49" s="17"/>
      <c r="K49" s="22">
        <f t="shared" si="0"/>
        <v>60</v>
      </c>
      <c r="L49" s="22" t="s">
        <v>503</v>
      </c>
      <c r="M49" s="22"/>
      <c r="N49" s="22"/>
      <c r="O49" s="22"/>
      <c r="P49" s="22"/>
      <c r="Q49" s="22"/>
      <c r="R49" s="22"/>
    </row>
    <row r="50" spans="1:36" ht="16.5" thickBot="1" x14ac:dyDescent="0.3">
      <c r="A50" s="11" t="s">
        <v>144</v>
      </c>
      <c r="B50" s="10">
        <v>4</v>
      </c>
      <c r="C50" s="13">
        <v>0</v>
      </c>
      <c r="D50" s="14">
        <f>((B50*8*Configuration!$C$4)+(C50*8*Configuration!$C$4))*$Q$1</f>
        <v>2.0800000000000001E-5</v>
      </c>
      <c r="E50" s="15">
        <v>0</v>
      </c>
      <c r="F50" s="16">
        <f t="shared" si="1"/>
        <v>4.0800000000000002E-5</v>
      </c>
      <c r="G50" s="21" t="s">
        <v>436</v>
      </c>
      <c r="H50" s="21" t="s">
        <v>431</v>
      </c>
      <c r="I50" s="17">
        <f t="shared" si="2"/>
        <v>1.1259999999999999E-2</v>
      </c>
      <c r="J50" s="17"/>
      <c r="K50" s="22">
        <f t="shared" si="0"/>
        <v>4</v>
      </c>
      <c r="L50" s="22" t="s">
        <v>504</v>
      </c>
      <c r="M50" s="22"/>
      <c r="N50" s="22"/>
      <c r="O50" s="22"/>
      <c r="P50" s="22"/>
      <c r="Q50" s="22"/>
      <c r="R50" s="22"/>
      <c r="AG50" s="32" t="s">
        <v>505</v>
      </c>
    </row>
    <row r="51" spans="1:36" ht="16.5" thickBot="1" x14ac:dyDescent="0.3">
      <c r="A51" s="87" t="s">
        <v>178</v>
      </c>
      <c r="B51" s="10">
        <v>4</v>
      </c>
      <c r="C51" s="13">
        <v>0</v>
      </c>
      <c r="D51" s="14">
        <f>((B51*8*Configuration!$C$4)+(C51*8*Configuration!$C$4))*$Q$1</f>
        <v>2.0800000000000001E-5</v>
      </c>
      <c r="E51" s="15">
        <v>0</v>
      </c>
      <c r="F51" s="16">
        <f t="shared" ref="F51" si="26">(D51+E51+$Q$3)</f>
        <v>4.0800000000000002E-5</v>
      </c>
      <c r="G51" s="21" t="s">
        <v>436</v>
      </c>
      <c r="H51" s="21" t="s">
        <v>431</v>
      </c>
      <c r="I51" s="17">
        <f t="shared" si="2"/>
        <v>1.1259999999999999E-2</v>
      </c>
      <c r="J51" s="17"/>
      <c r="K51" s="22">
        <f t="shared" ref="K51" si="27">SUM(B51:C51)</f>
        <v>4</v>
      </c>
      <c r="L51" s="22" t="s">
        <v>506</v>
      </c>
      <c r="M51" s="22"/>
      <c r="N51" s="22" t="s">
        <v>473</v>
      </c>
      <c r="O51" s="22" t="s">
        <v>507</v>
      </c>
      <c r="P51" s="44">
        <f>($P$23*$Q$31)*6+VLOOKUP($P$18,$V$53:$AB$60,7,FALSE)*10^-6</f>
        <v>1.6739999999999999E-3</v>
      </c>
      <c r="Q51" s="22"/>
      <c r="R51" s="22"/>
      <c r="V51" s="378"/>
      <c r="W51" s="413" t="s">
        <v>508</v>
      </c>
      <c r="X51" s="414"/>
      <c r="Y51" s="414"/>
      <c r="Z51" s="414"/>
      <c r="AA51" s="414"/>
      <c r="AB51" s="414"/>
      <c r="AF51" s="378"/>
      <c r="AG51" s="413" t="s">
        <v>445</v>
      </c>
      <c r="AH51" s="414"/>
      <c r="AI51" s="414"/>
    </row>
    <row r="52" spans="1:36" ht="16.5" thickBot="1" x14ac:dyDescent="0.3">
      <c r="A52" s="11" t="s">
        <v>209</v>
      </c>
      <c r="B52" s="10">
        <v>4</v>
      </c>
      <c r="C52" s="13">
        <v>0</v>
      </c>
      <c r="D52" s="14">
        <f>((B52*8*Configuration!$C$4)+(C52*8*Configuration!$C$4))*$Q$1</f>
        <v>2.0800000000000001E-5</v>
      </c>
      <c r="E52" s="15">
        <v>0</v>
      </c>
      <c r="F52" s="16">
        <f t="shared" ref="F52" si="28">(D52+E52+$Q$3)</f>
        <v>4.0800000000000002E-5</v>
      </c>
      <c r="G52" s="21" t="s">
        <v>436</v>
      </c>
      <c r="H52" s="21" t="s">
        <v>431</v>
      </c>
      <c r="I52" s="17">
        <f t="shared" si="2"/>
        <v>1.1259999999999999E-2</v>
      </c>
      <c r="J52" s="17"/>
      <c r="K52" s="22">
        <f t="shared" ref="K52" si="29">SUM(B52:C52)</f>
        <v>4</v>
      </c>
      <c r="L52" s="22" t="s">
        <v>509</v>
      </c>
      <c r="M52" s="22"/>
      <c r="N52" s="22"/>
      <c r="O52" s="22" t="s">
        <v>510</v>
      </c>
      <c r="P52" s="50">
        <f>($Q$31)*6+VLOOKUP($P$18,$V$53:$AB$60,7,FALSE)*10^-6</f>
        <v>2.6049090909090909E-3</v>
      </c>
      <c r="Q52" s="22"/>
      <c r="R52" s="22"/>
      <c r="V52" s="47" t="s">
        <v>449</v>
      </c>
      <c r="W52" s="381" t="s">
        <v>487</v>
      </c>
      <c r="X52" s="381" t="s">
        <v>450</v>
      </c>
      <c r="Y52" s="381" t="s">
        <v>451</v>
      </c>
      <c r="Z52" s="381" t="s">
        <v>488</v>
      </c>
      <c r="AA52" s="73" t="s">
        <v>489</v>
      </c>
      <c r="AB52" s="49" t="s">
        <v>511</v>
      </c>
      <c r="AF52" s="47" t="s">
        <v>449</v>
      </c>
      <c r="AG52" s="48" t="s">
        <v>487</v>
      </c>
      <c r="AH52" s="48" t="s">
        <v>450</v>
      </c>
      <c r="AI52" s="49" t="s">
        <v>451</v>
      </c>
    </row>
    <row r="53" spans="1:36" ht="17.25" thickBot="1" x14ac:dyDescent="0.3">
      <c r="A53" s="11" t="s">
        <v>211</v>
      </c>
      <c r="B53" s="10">
        <v>4</v>
      </c>
      <c r="C53" s="13">
        <v>0</v>
      </c>
      <c r="D53" s="14">
        <f>((B53*8*Configuration!$C$4)+(C53*8*Configuration!$C$4))*$Q$1</f>
        <v>2.0800000000000001E-5</v>
      </c>
      <c r="E53" s="15">
        <v>0</v>
      </c>
      <c r="F53" s="16">
        <f>(D53+E53+$Q$3)</f>
        <v>4.0800000000000002E-5</v>
      </c>
      <c r="G53" s="21" t="s">
        <v>436</v>
      </c>
      <c r="H53" s="21" t="s">
        <v>431</v>
      </c>
      <c r="I53" s="17">
        <f t="shared" si="2"/>
        <v>1.1259999999999999E-2</v>
      </c>
      <c r="J53" s="17"/>
      <c r="K53" s="22">
        <f>SUM(B53:C53)</f>
        <v>4</v>
      </c>
      <c r="L53" s="22" t="s">
        <v>512</v>
      </c>
      <c r="M53" s="22"/>
      <c r="N53" s="22"/>
      <c r="O53" s="22"/>
      <c r="P53" s="22"/>
      <c r="Q53" s="22"/>
      <c r="R53" s="22"/>
      <c r="V53" s="51" t="s">
        <v>458</v>
      </c>
      <c r="W53" s="52">
        <v>0</v>
      </c>
      <c r="X53" s="53">
        <v>63</v>
      </c>
      <c r="Y53" s="53">
        <v>111</v>
      </c>
      <c r="Z53" s="53">
        <v>256</v>
      </c>
      <c r="AA53" s="61">
        <v>304</v>
      </c>
      <c r="AB53" s="61">
        <v>627</v>
      </c>
      <c r="AF53" s="51" t="s">
        <v>458</v>
      </c>
      <c r="AG53" s="55">
        <v>0</v>
      </c>
      <c r="AH53" s="56">
        <v>63</v>
      </c>
      <c r="AI53" s="57">
        <v>111</v>
      </c>
      <c r="AJ53">
        <f>AI53-AH53</f>
        <v>48</v>
      </c>
    </row>
    <row r="54" spans="1:36" ht="17.25" thickBot="1" x14ac:dyDescent="0.3">
      <c r="A54" s="11" t="s">
        <v>163</v>
      </c>
      <c r="B54" s="12">
        <v>4</v>
      </c>
      <c r="C54" s="13">
        <v>0</v>
      </c>
      <c r="D54" s="14">
        <f>((B54*8*Configuration!$C$4)+(C54*8*Configuration!$C$4))*$Q$1</f>
        <v>2.0800000000000001E-5</v>
      </c>
      <c r="E54" s="15">
        <v>0</v>
      </c>
      <c r="F54" s="16">
        <f>(D54+E54+$Q$3)</f>
        <v>4.0800000000000002E-5</v>
      </c>
      <c r="G54" s="17" t="s">
        <v>390</v>
      </c>
      <c r="H54" s="11" t="s">
        <v>391</v>
      </c>
      <c r="I54" s="17">
        <f t="shared" si="2"/>
        <v>8.2500000000000004E-3</v>
      </c>
      <c r="J54" s="69"/>
      <c r="K54" s="22">
        <f>SUM(B54:C54)</f>
        <v>4</v>
      </c>
      <c r="L54" s="22" t="s">
        <v>513</v>
      </c>
      <c r="M54" s="22"/>
      <c r="N54" s="22"/>
      <c r="O54" s="22"/>
      <c r="P54" s="22"/>
      <c r="Q54" s="22"/>
      <c r="R54" s="22"/>
      <c r="V54" s="51" t="s">
        <v>461</v>
      </c>
      <c r="W54" s="52">
        <v>0</v>
      </c>
      <c r="X54" s="53">
        <v>92</v>
      </c>
      <c r="Y54" s="53">
        <v>170</v>
      </c>
      <c r="Z54" s="53">
        <v>401</v>
      </c>
      <c r="AA54" s="61">
        <v>479</v>
      </c>
      <c r="AB54" s="61">
        <v>976</v>
      </c>
      <c r="AF54" s="51" t="s">
        <v>461</v>
      </c>
      <c r="AG54" s="55">
        <v>0</v>
      </c>
      <c r="AH54" s="56">
        <v>93</v>
      </c>
      <c r="AI54" s="57">
        <v>170</v>
      </c>
      <c r="AJ54">
        <f t="shared" ref="AJ54:AJ60" si="30">AI54-AH54</f>
        <v>77</v>
      </c>
    </row>
    <row r="55" spans="1:36" ht="21" customHeight="1" thickBot="1" x14ac:dyDescent="0.3">
      <c r="A55" s="11" t="s">
        <v>514</v>
      </c>
      <c r="B55" s="12">
        <v>4</v>
      </c>
      <c r="C55" s="13">
        <v>0</v>
      </c>
      <c r="D55" s="14">
        <f>((B55*8*Configuration!$C$4)+(C55*8*Configuration!$C$4))*$Q$1</f>
        <v>2.0800000000000001E-5</v>
      </c>
      <c r="E55" s="15">
        <v>0</v>
      </c>
      <c r="F55" s="16">
        <f>(D55+E55+$Q$3)</f>
        <v>4.0800000000000002E-5</v>
      </c>
      <c r="G55" s="17" t="s">
        <v>390</v>
      </c>
      <c r="H55" s="11" t="s">
        <v>391</v>
      </c>
      <c r="I55" s="17">
        <f t="shared" si="2"/>
        <v>8.2500000000000004E-3</v>
      </c>
      <c r="J55" s="69"/>
      <c r="K55" s="22">
        <f>SUM(B55:C55)</f>
        <v>4</v>
      </c>
      <c r="L55" s="22" t="s">
        <v>515</v>
      </c>
      <c r="M55" s="22"/>
      <c r="N55" s="22"/>
      <c r="O55" s="22"/>
      <c r="P55" s="22"/>
      <c r="Q55" s="22"/>
      <c r="R55" s="22"/>
      <c r="V55" s="51" t="s">
        <v>463</v>
      </c>
      <c r="W55" s="52">
        <v>0</v>
      </c>
      <c r="X55" s="53">
        <v>150</v>
      </c>
      <c r="Y55" s="53">
        <v>286</v>
      </c>
      <c r="Z55" s="53">
        <v>692</v>
      </c>
      <c r="AA55" s="61">
        <v>828</v>
      </c>
      <c r="AB55" s="54">
        <v>1674</v>
      </c>
      <c r="AF55" s="51" t="s">
        <v>463</v>
      </c>
      <c r="AG55" s="55">
        <v>0</v>
      </c>
      <c r="AH55" s="56">
        <v>150</v>
      </c>
      <c r="AI55" s="57">
        <v>286</v>
      </c>
      <c r="AJ55">
        <f t="shared" si="30"/>
        <v>136</v>
      </c>
    </row>
    <row r="56" spans="1:36" ht="17.25" thickBot="1" x14ac:dyDescent="0.3">
      <c r="A56" s="11" t="s">
        <v>207</v>
      </c>
      <c r="B56" s="12">
        <v>4</v>
      </c>
      <c r="C56" s="13">
        <v>0</v>
      </c>
      <c r="D56" s="14">
        <f>((B56*8*Configuration!$C$4)+(C56*8*Configuration!$C$4))*$Q$1</f>
        <v>2.0800000000000001E-5</v>
      </c>
      <c r="E56" s="15">
        <v>0</v>
      </c>
      <c r="F56" s="16">
        <f>(D56+E56+$Q$3)</f>
        <v>4.0800000000000002E-5</v>
      </c>
      <c r="G56" s="17" t="s">
        <v>390</v>
      </c>
      <c r="H56" s="11" t="s">
        <v>391</v>
      </c>
      <c r="I56" s="17">
        <f t="shared" si="2"/>
        <v>8.2500000000000004E-3</v>
      </c>
      <c r="J56" s="17"/>
      <c r="K56" s="22">
        <f>SUM(B56:C56)</f>
        <v>4</v>
      </c>
      <c r="L56" s="22" t="s">
        <v>516</v>
      </c>
      <c r="M56" s="22"/>
      <c r="N56" s="22"/>
      <c r="O56" s="22"/>
      <c r="P56" s="22"/>
      <c r="Q56" s="22"/>
      <c r="R56" s="22"/>
      <c r="V56" s="51" t="s">
        <v>465</v>
      </c>
      <c r="W56" s="52">
        <v>0</v>
      </c>
      <c r="X56" s="53">
        <v>267</v>
      </c>
      <c r="Y56" s="53">
        <v>519</v>
      </c>
      <c r="Z56" s="58">
        <v>1274</v>
      </c>
      <c r="AA56" s="54">
        <v>1526</v>
      </c>
      <c r="AB56" s="54">
        <v>3071</v>
      </c>
      <c r="AF56" s="51" t="s">
        <v>465</v>
      </c>
      <c r="AG56" s="55">
        <v>0</v>
      </c>
      <c r="AH56" s="56">
        <v>267</v>
      </c>
      <c r="AI56" s="57">
        <v>519</v>
      </c>
      <c r="AJ56">
        <f t="shared" si="30"/>
        <v>252</v>
      </c>
    </row>
    <row r="57" spans="1:36" ht="17.25" thickBot="1" x14ac:dyDescent="0.3">
      <c r="A57" s="11" t="s">
        <v>195</v>
      </c>
      <c r="B57" s="12">
        <v>4</v>
      </c>
      <c r="C57" s="13">
        <v>0</v>
      </c>
      <c r="D57" s="14">
        <f>((B57*8*Configuration!$C$4)+(C57*8*Configuration!$C$4))*$Q$1</f>
        <v>2.0800000000000001E-5</v>
      </c>
      <c r="E57" s="15">
        <v>0</v>
      </c>
      <c r="F57" s="16">
        <f>(D57+E57+$Q$3)</f>
        <v>4.0800000000000002E-5</v>
      </c>
      <c r="G57" s="17" t="s">
        <v>390</v>
      </c>
      <c r="H57" s="11" t="s">
        <v>391</v>
      </c>
      <c r="I57" s="17">
        <f t="shared" si="2"/>
        <v>8.2500000000000004E-3</v>
      </c>
      <c r="J57" s="69"/>
      <c r="K57" s="22">
        <f>SUM(B57:C57)</f>
        <v>4</v>
      </c>
      <c r="L57" s="22" t="s">
        <v>517</v>
      </c>
      <c r="M57" s="22"/>
      <c r="N57" s="22"/>
      <c r="O57" s="22"/>
      <c r="P57" s="22"/>
      <c r="Q57" s="22"/>
      <c r="R57" s="22"/>
      <c r="V57" s="51" t="s">
        <v>468</v>
      </c>
      <c r="W57" s="52">
        <v>0</v>
      </c>
      <c r="X57" s="53">
        <v>500</v>
      </c>
      <c r="Y57" s="53">
        <v>984</v>
      </c>
      <c r="Z57" s="58">
        <v>2438</v>
      </c>
      <c r="AA57" s="54">
        <v>2923</v>
      </c>
      <c r="AB57" s="54">
        <v>5863</v>
      </c>
      <c r="AF57" s="51" t="s">
        <v>468</v>
      </c>
      <c r="AG57" s="55">
        <v>0</v>
      </c>
      <c r="AH57" s="56">
        <v>500</v>
      </c>
      <c r="AI57" s="57">
        <v>984</v>
      </c>
      <c r="AJ57">
        <f t="shared" si="30"/>
        <v>484</v>
      </c>
    </row>
    <row r="58" spans="1:36" ht="17.25" thickBot="1" x14ac:dyDescent="0.3">
      <c r="A58" s="11" t="s">
        <v>139</v>
      </c>
      <c r="B58" s="12">
        <v>4</v>
      </c>
      <c r="C58" s="13">
        <f>8*Configuration!$C$2</f>
        <v>8</v>
      </c>
      <c r="D58" s="14">
        <f>((B58*8*Configuration!$C$4)+(C58*8*Configuration!$C$4))*$Q$1</f>
        <v>6.2399999999999999E-5</v>
      </c>
      <c r="E58" s="15">
        <v>0</v>
      </c>
      <c r="F58" s="16">
        <f t="shared" ref="F58" si="31">(D58+E58+$Q$3)</f>
        <v>8.2399999999999997E-5</v>
      </c>
      <c r="G58" s="17" t="s">
        <v>390</v>
      </c>
      <c r="H58" s="11" t="s">
        <v>391</v>
      </c>
      <c r="I58" s="17">
        <f t="shared" si="2"/>
        <v>8.2500000000000004E-3</v>
      </c>
      <c r="J58" s="17"/>
      <c r="K58" s="22">
        <f t="shared" ref="K58" si="32">SUM(B58:C58)</f>
        <v>12</v>
      </c>
      <c r="L58" s="22" t="s">
        <v>518</v>
      </c>
      <c r="M58" s="22"/>
      <c r="N58" s="22"/>
      <c r="O58" s="22"/>
      <c r="P58" s="22"/>
      <c r="Q58" s="22"/>
      <c r="R58" s="22"/>
      <c r="V58" s="51" t="s">
        <v>471</v>
      </c>
      <c r="W58" s="52">
        <v>0</v>
      </c>
      <c r="X58" s="53">
        <v>965</v>
      </c>
      <c r="Y58" s="58">
        <v>1915</v>
      </c>
      <c r="Z58" s="58">
        <v>4765</v>
      </c>
      <c r="AA58" s="54">
        <v>5715</v>
      </c>
      <c r="AB58" s="54">
        <v>11449</v>
      </c>
      <c r="AF58" s="51" t="s">
        <v>471</v>
      </c>
      <c r="AG58" s="55">
        <v>0</v>
      </c>
      <c r="AH58" s="56">
        <v>965</v>
      </c>
      <c r="AI58" s="59">
        <v>1915</v>
      </c>
      <c r="AJ58">
        <f t="shared" si="30"/>
        <v>950</v>
      </c>
    </row>
    <row r="59" spans="1:36" ht="17.25" thickBot="1" x14ac:dyDescent="0.3">
      <c r="A59" s="11" t="s">
        <v>275</v>
      </c>
      <c r="B59" s="12">
        <v>4</v>
      </c>
      <c r="C59" s="13">
        <f>8*Configuration!$C$2</f>
        <v>8</v>
      </c>
      <c r="D59" s="14">
        <f>((B59*8*Configuration!$C$4)+(C59*8*Configuration!$C$4))*$Q$1</f>
        <v>6.2399999999999999E-5</v>
      </c>
      <c r="E59" s="15">
        <v>0</v>
      </c>
      <c r="F59" s="16">
        <f t="shared" ref="F59" si="33">(D59+E59+$Q$3)</f>
        <v>8.2399999999999997E-5</v>
      </c>
      <c r="G59" s="17" t="s">
        <v>390</v>
      </c>
      <c r="H59" s="11" t="s">
        <v>391</v>
      </c>
      <c r="I59" s="17">
        <f t="shared" si="2"/>
        <v>8.2500000000000004E-3</v>
      </c>
      <c r="J59" s="17"/>
      <c r="K59" s="22">
        <f t="shared" ref="K59" si="34">SUM(B59:C59)</f>
        <v>12</v>
      </c>
      <c r="L59" s="22" t="s">
        <v>519</v>
      </c>
      <c r="M59" s="22"/>
      <c r="N59" s="22"/>
      <c r="O59" s="22"/>
      <c r="P59" s="22"/>
      <c r="Q59" s="22"/>
      <c r="R59" s="22"/>
      <c r="V59" s="51" t="s">
        <v>475</v>
      </c>
      <c r="W59" s="52">
        <v>0</v>
      </c>
      <c r="X59" s="58">
        <v>1896</v>
      </c>
      <c r="Y59" s="58">
        <v>3777</v>
      </c>
      <c r="Z59" s="58">
        <v>9420</v>
      </c>
      <c r="AA59" s="54">
        <v>11301</v>
      </c>
      <c r="AB59" s="54">
        <v>22620</v>
      </c>
      <c r="AF59" s="51" t="s">
        <v>475</v>
      </c>
      <c r="AG59" s="55">
        <v>0</v>
      </c>
      <c r="AH59" s="60">
        <v>1896</v>
      </c>
      <c r="AI59" s="59">
        <v>3777</v>
      </c>
      <c r="AJ59">
        <f t="shared" si="30"/>
        <v>1881</v>
      </c>
    </row>
    <row r="60" spans="1:36" ht="17.25" thickBot="1" x14ac:dyDescent="0.3">
      <c r="A60" s="11" t="s">
        <v>520</v>
      </c>
      <c r="B60" s="12">
        <v>4</v>
      </c>
      <c r="C60" s="13">
        <f>Configuration!$C$2/8*2</f>
        <v>0.25</v>
      </c>
      <c r="D60" s="14">
        <f>((B60*8*Configuration!$C$4)+(C60*8*Configuration!$C$4))*$Q$1</f>
        <v>2.2100000000000002E-5</v>
      </c>
      <c r="E60" s="15">
        <v>0</v>
      </c>
      <c r="F60" s="16">
        <f>(D60+E60+$Q$3)</f>
        <v>4.2100000000000007E-5</v>
      </c>
      <c r="G60" s="17" t="s">
        <v>390</v>
      </c>
      <c r="H60" s="11" t="s">
        <v>391</v>
      </c>
      <c r="I60" s="17">
        <f t="shared" si="2"/>
        <v>8.2500000000000004E-3</v>
      </c>
      <c r="J60" s="69"/>
      <c r="K60" s="22">
        <f>SUM(B60:C60)</f>
        <v>4.25</v>
      </c>
      <c r="L60" s="22" t="s">
        <v>521</v>
      </c>
      <c r="M60" s="22"/>
      <c r="N60" s="22"/>
      <c r="O60" s="22"/>
      <c r="P60" s="22"/>
      <c r="Q60" s="22"/>
      <c r="R60" s="22"/>
      <c r="V60" s="51" t="s">
        <v>477</v>
      </c>
      <c r="W60" s="52">
        <v>0</v>
      </c>
      <c r="X60" s="58">
        <v>29823</v>
      </c>
      <c r="Y60" s="58">
        <v>59631</v>
      </c>
      <c r="Z60" s="58">
        <v>149056</v>
      </c>
      <c r="AA60" s="54">
        <v>178864</v>
      </c>
      <c r="AB60" s="54">
        <v>357747</v>
      </c>
      <c r="AF60" s="51" t="s">
        <v>477</v>
      </c>
      <c r="AG60" s="55">
        <v>0</v>
      </c>
      <c r="AH60" s="60">
        <v>29823</v>
      </c>
      <c r="AI60" s="59">
        <v>59631</v>
      </c>
      <c r="AJ60">
        <f t="shared" si="30"/>
        <v>29808</v>
      </c>
    </row>
    <row r="61" spans="1:36" x14ac:dyDescent="0.25">
      <c r="A61" s="11" t="s">
        <v>522</v>
      </c>
      <c r="B61" s="12">
        <v>4</v>
      </c>
      <c r="C61" s="13">
        <f>Configuration!$C$2/8*2</f>
        <v>0.25</v>
      </c>
      <c r="D61" s="14">
        <f>((B61*8*Configuration!$C$4)+(C61*8*Configuration!$C$4))*$Q$1</f>
        <v>2.2100000000000002E-5</v>
      </c>
      <c r="E61" s="15">
        <v>0</v>
      </c>
      <c r="F61" s="16">
        <f>(D61+E61+$Q$3)</f>
        <v>4.2100000000000007E-5</v>
      </c>
      <c r="G61" s="17" t="s">
        <v>390</v>
      </c>
      <c r="H61" s="11" t="s">
        <v>391</v>
      </c>
      <c r="I61" s="17">
        <f t="shared" si="2"/>
        <v>8.2500000000000004E-3</v>
      </c>
      <c r="J61" s="69"/>
      <c r="K61" s="22">
        <f>SUM(B61:C61)</f>
        <v>4.25</v>
      </c>
      <c r="L61" s="22" t="s">
        <v>523</v>
      </c>
      <c r="M61" s="22"/>
      <c r="N61" s="22"/>
      <c r="O61" s="22"/>
      <c r="P61" s="22"/>
      <c r="Q61" s="22"/>
      <c r="R61" s="22"/>
    </row>
    <row r="62" spans="1:36" x14ac:dyDescent="0.25">
      <c r="A62" s="11" t="s">
        <v>524</v>
      </c>
      <c r="B62" s="12">
        <v>4</v>
      </c>
      <c r="C62" s="13">
        <f>Configuration!$C$2/8*2</f>
        <v>0.25</v>
      </c>
      <c r="D62" s="14">
        <f>((B62*8*Configuration!$C$4)+(C62*8*Configuration!$C$4))*$Q$1</f>
        <v>2.2100000000000002E-5</v>
      </c>
      <c r="E62" s="15">
        <v>0</v>
      </c>
      <c r="F62" s="16">
        <f>(D62+E62+$Q$3)</f>
        <v>4.2100000000000007E-5</v>
      </c>
      <c r="G62" s="17" t="s">
        <v>390</v>
      </c>
      <c r="H62" s="11" t="s">
        <v>391</v>
      </c>
      <c r="I62" s="17">
        <f t="shared" si="2"/>
        <v>8.2500000000000004E-3</v>
      </c>
      <c r="J62" s="17"/>
      <c r="K62" s="22">
        <f>SUM(B62:C62)</f>
        <v>4.25</v>
      </c>
      <c r="L62" s="22" t="s">
        <v>525</v>
      </c>
      <c r="M62" s="22"/>
      <c r="N62" s="22"/>
      <c r="O62" s="22"/>
      <c r="P62" s="22"/>
      <c r="Q62" s="22"/>
      <c r="R62" s="22"/>
    </row>
    <row r="63" spans="1:36" x14ac:dyDescent="0.25">
      <c r="A63" s="11" t="s">
        <v>526</v>
      </c>
      <c r="B63" s="12">
        <v>4</v>
      </c>
      <c r="C63" s="13">
        <f>Configuration!$C$2/8*2</f>
        <v>0.25</v>
      </c>
      <c r="D63" s="14">
        <f>((B63*8*Configuration!$C$4)+(C63*8*Configuration!$C$4))*$Q$1</f>
        <v>2.2100000000000002E-5</v>
      </c>
      <c r="E63" s="15">
        <v>0</v>
      </c>
      <c r="F63" s="16">
        <f>(D63+E63+$Q$3)</f>
        <v>4.2100000000000007E-5</v>
      </c>
      <c r="G63" s="17" t="s">
        <v>390</v>
      </c>
      <c r="H63" s="11" t="s">
        <v>391</v>
      </c>
      <c r="I63" s="17">
        <f t="shared" si="2"/>
        <v>8.2500000000000004E-3</v>
      </c>
      <c r="J63" s="69"/>
      <c r="K63" s="22">
        <f>SUM(B63:C63)</f>
        <v>4.25</v>
      </c>
      <c r="L63" s="22" t="s">
        <v>527</v>
      </c>
      <c r="M63" s="22"/>
      <c r="N63" s="22"/>
      <c r="O63" s="22"/>
      <c r="P63" s="22"/>
      <c r="Q63" s="22"/>
      <c r="R63" s="22"/>
    </row>
    <row r="64" spans="1:36" ht="16.5" thickBot="1" x14ac:dyDescent="0.3">
      <c r="A64" s="11" t="s">
        <v>528</v>
      </c>
      <c r="B64" s="12">
        <v>4</v>
      </c>
      <c r="C64" s="13">
        <f>Configuration!$C$2/8*2</f>
        <v>0.25</v>
      </c>
      <c r="D64" s="14">
        <f>((B64*8*Configuration!$C$4)+(C64*8*Configuration!$C$4))*$Q$1</f>
        <v>2.2100000000000002E-5</v>
      </c>
      <c r="E64" s="15">
        <v>0</v>
      </c>
      <c r="F64" s="16">
        <f t="shared" ref="F64" si="35">(D64+E64+$Q$3)</f>
        <v>4.2100000000000007E-5</v>
      </c>
      <c r="G64" s="17" t="s">
        <v>390</v>
      </c>
      <c r="H64" s="11" t="s">
        <v>391</v>
      </c>
      <c r="I64" s="17">
        <f t="shared" si="2"/>
        <v>8.2500000000000004E-3</v>
      </c>
      <c r="J64" s="17"/>
      <c r="K64" s="22">
        <f t="shared" ref="K64:K66" si="36">SUM(B64:C64)</f>
        <v>4.25</v>
      </c>
      <c r="L64" s="22" t="s">
        <v>529</v>
      </c>
      <c r="M64" s="22"/>
      <c r="N64" s="22"/>
      <c r="O64" s="22"/>
      <c r="P64" s="22"/>
      <c r="Q64" s="22"/>
      <c r="R64" s="22"/>
      <c r="W64" s="32" t="s">
        <v>530</v>
      </c>
    </row>
    <row r="65" spans="1:46" ht="16.5" thickBot="1" x14ac:dyDescent="0.3">
      <c r="A65" s="11" t="s">
        <v>531</v>
      </c>
      <c r="B65" s="12">
        <v>4</v>
      </c>
      <c r="C65" s="13">
        <f>8*Configuration!$C$2</f>
        <v>8</v>
      </c>
      <c r="D65" s="14">
        <f>((B65*8*Configuration!$C$4)+(C65*8*Configuration!$C$4))*$Q$1</f>
        <v>6.2399999999999999E-5</v>
      </c>
      <c r="E65" s="15">
        <v>0</v>
      </c>
      <c r="F65" s="16">
        <f>(D65+E65+$Q$3)</f>
        <v>8.2399999999999997E-5</v>
      </c>
      <c r="G65" s="17" t="s">
        <v>390</v>
      </c>
      <c r="H65" s="11" t="s">
        <v>391</v>
      </c>
      <c r="I65" s="17">
        <f t="shared" si="2"/>
        <v>8.2500000000000004E-3</v>
      </c>
      <c r="J65" s="69"/>
      <c r="K65" s="22">
        <f t="shared" si="36"/>
        <v>12</v>
      </c>
      <c r="L65" s="86" t="s">
        <v>532</v>
      </c>
      <c r="M65" s="22"/>
      <c r="N65" s="22"/>
      <c r="O65" s="22" t="s">
        <v>533</v>
      </c>
      <c r="P65" s="44">
        <f>($P$23*$Q$31)*2+VLOOKUP($P$18,$V$67:$Y$74,4,FALSE)*10^-6</f>
        <v>4.1999999999999996E-4</v>
      </c>
      <c r="Q65" s="22"/>
      <c r="R65" s="22"/>
      <c r="V65" s="378"/>
      <c r="W65" s="413" t="s">
        <v>445</v>
      </c>
      <c r="X65" s="414"/>
      <c r="Y65" s="414"/>
    </row>
    <row r="66" spans="1:46" ht="16.5" thickBot="1" x14ac:dyDescent="0.3">
      <c r="A66" s="11" t="s">
        <v>534</v>
      </c>
      <c r="B66" s="12">
        <v>4</v>
      </c>
      <c r="C66" s="13">
        <f>8*Configuration!$C$2</f>
        <v>8</v>
      </c>
      <c r="D66" s="14">
        <f>((B66*8*Configuration!$C$4)+(C66*8*Configuration!$C$4))*$Q$1</f>
        <v>6.2399999999999999E-5</v>
      </c>
      <c r="E66" s="15">
        <v>0</v>
      </c>
      <c r="F66" s="16">
        <f t="shared" ref="F66" si="37">(D66+E66+$Q$3)</f>
        <v>8.2399999999999997E-5</v>
      </c>
      <c r="G66" s="17" t="s">
        <v>390</v>
      </c>
      <c r="H66" s="11" t="s">
        <v>391</v>
      </c>
      <c r="I66" s="17">
        <f t="shared" si="2"/>
        <v>8.2500000000000004E-3</v>
      </c>
      <c r="J66" s="17"/>
      <c r="K66" s="22">
        <f t="shared" si="36"/>
        <v>12</v>
      </c>
      <c r="L66" s="86" t="s">
        <v>535</v>
      </c>
      <c r="M66" s="22"/>
      <c r="N66" s="22"/>
      <c r="O66" s="22"/>
      <c r="P66" s="22"/>
      <c r="Q66" s="22"/>
      <c r="R66" s="22"/>
      <c r="V66" s="47" t="s">
        <v>449</v>
      </c>
      <c r="W66" s="48" t="s">
        <v>487</v>
      </c>
      <c r="X66" s="48" t="s">
        <v>450</v>
      </c>
      <c r="Y66" s="49" t="s">
        <v>490</v>
      </c>
    </row>
    <row r="67" spans="1:46" ht="17.25" thickBot="1" x14ac:dyDescent="0.3">
      <c r="A67" s="11" t="s">
        <v>536</v>
      </c>
      <c r="B67" s="12">
        <v>4</v>
      </c>
      <c r="C67" s="13">
        <v>0</v>
      </c>
      <c r="D67" s="14">
        <f>((B67*8*Configuration!$C$4)+(C67*8*Configuration!$C$4))*$Q$1</f>
        <v>2.0800000000000001E-5</v>
      </c>
      <c r="E67" s="15">
        <v>0</v>
      </c>
      <c r="F67" s="16">
        <f>(D67+E67+$Q$3)</f>
        <v>4.0800000000000002E-5</v>
      </c>
      <c r="G67" s="17" t="s">
        <v>390</v>
      </c>
      <c r="H67" s="11" t="s">
        <v>391</v>
      </c>
      <c r="I67" s="17">
        <f t="shared" ref="I67:I81" si="38">VLOOKUP(G67,$M$19:$N$23,2,FALSE) + VLOOKUP(H67,$M$19:$N$24,2,FALSE)</f>
        <v>8.2500000000000004E-3</v>
      </c>
      <c r="J67" s="69"/>
      <c r="K67" s="22">
        <f>SUM(B67:C67)</f>
        <v>4</v>
      </c>
      <c r="L67" s="22" t="s">
        <v>537</v>
      </c>
      <c r="M67" s="22"/>
      <c r="N67" s="22"/>
      <c r="O67" s="22"/>
      <c r="P67" s="22"/>
      <c r="Q67" s="22"/>
      <c r="R67" s="22"/>
      <c r="V67" s="51" t="s">
        <v>458</v>
      </c>
      <c r="W67" s="55">
        <v>0</v>
      </c>
      <c r="X67" s="56">
        <v>63</v>
      </c>
      <c r="Y67" s="57">
        <v>217</v>
      </c>
      <c r="Z67">
        <f>Y67-X67</f>
        <v>154</v>
      </c>
      <c r="AA67">
        <f>X67*2</f>
        <v>126</v>
      </c>
    </row>
    <row r="68" spans="1:46" ht="17.25" thickBot="1" x14ac:dyDescent="0.3">
      <c r="A68" s="11" t="s">
        <v>278</v>
      </c>
      <c r="B68" s="10">
        <v>4</v>
      </c>
      <c r="C68" s="13">
        <v>0</v>
      </c>
      <c r="D68" s="14">
        <f>((B68*8*Configuration!$C$4)+(C68*8*Configuration!$C$4))*$Q$1</f>
        <v>2.0800000000000001E-5</v>
      </c>
      <c r="E68" s="15">
        <v>0</v>
      </c>
      <c r="F68" s="16">
        <f t="shared" ref="F68" si="39">(D68+E68+$Q$3)</f>
        <v>4.0800000000000002E-5</v>
      </c>
      <c r="G68" s="21" t="s">
        <v>436</v>
      </c>
      <c r="H68" s="21" t="s">
        <v>431</v>
      </c>
      <c r="I68" s="17">
        <f t="shared" si="38"/>
        <v>1.1259999999999999E-2</v>
      </c>
      <c r="J68" s="22"/>
      <c r="K68" s="22"/>
      <c r="L68" s="22" t="s">
        <v>538</v>
      </c>
      <c r="M68" s="22"/>
      <c r="N68" s="22"/>
      <c r="O68" s="22"/>
      <c r="P68" s="22"/>
      <c r="Q68" s="22"/>
      <c r="R68" s="22"/>
      <c r="V68" s="51" t="s">
        <v>461</v>
      </c>
      <c r="W68" s="55">
        <v>0</v>
      </c>
      <c r="X68" s="56">
        <v>93</v>
      </c>
      <c r="Y68" s="57">
        <v>246</v>
      </c>
      <c r="Z68">
        <f t="shared" ref="Z68:Z74" si="40">Y68-X68</f>
        <v>153</v>
      </c>
      <c r="AA68">
        <f t="shared" ref="AA68:AA74" si="41">X68*2</f>
        <v>186</v>
      </c>
    </row>
    <row r="69" spans="1:46" ht="17.25" thickBot="1" x14ac:dyDescent="0.3">
      <c r="A69" s="11" t="s">
        <v>300</v>
      </c>
      <c r="B69" s="10">
        <v>4</v>
      </c>
      <c r="C69" s="13">
        <v>0</v>
      </c>
      <c r="D69" s="14">
        <f>((B69*8*Configuration!$C$4)+(C69*8*Configuration!$C$4))*$Q$1</f>
        <v>2.0800000000000001E-5</v>
      </c>
      <c r="E69" s="15">
        <v>0</v>
      </c>
      <c r="F69" s="16">
        <f t="shared" ref="F69:F70" si="42">(D69+E69+$Q$3)</f>
        <v>4.0800000000000002E-5</v>
      </c>
      <c r="G69" s="21" t="s">
        <v>436</v>
      </c>
      <c r="H69" s="21" t="s">
        <v>431</v>
      </c>
      <c r="I69" s="17">
        <f t="shared" si="38"/>
        <v>1.1259999999999999E-2</v>
      </c>
      <c r="J69" s="22"/>
      <c r="K69" s="22"/>
      <c r="L69" s="22" t="s">
        <v>539</v>
      </c>
      <c r="M69" s="22"/>
      <c r="N69" s="22"/>
      <c r="O69" s="22"/>
      <c r="P69" s="22"/>
      <c r="Q69" s="22"/>
      <c r="R69" s="22"/>
      <c r="V69" s="51" t="s">
        <v>463</v>
      </c>
      <c r="W69" s="55">
        <v>0</v>
      </c>
      <c r="X69" s="56">
        <v>150</v>
      </c>
      <c r="Y69" s="57">
        <v>420</v>
      </c>
      <c r="Z69">
        <f t="shared" si="40"/>
        <v>270</v>
      </c>
      <c r="AA69">
        <f t="shared" si="41"/>
        <v>300</v>
      </c>
    </row>
    <row r="70" spans="1:46" ht="17.25" thickBot="1" x14ac:dyDescent="0.3">
      <c r="A70" s="11" t="s">
        <v>540</v>
      </c>
      <c r="B70" s="12">
        <v>4</v>
      </c>
      <c r="C70" s="13">
        <f>8*Configuration!$C$2</f>
        <v>8</v>
      </c>
      <c r="D70" s="14">
        <f>((B70*8*Configuration!$C$4)+(C70*8*Configuration!$C$4))*$Q$1</f>
        <v>6.2399999999999999E-5</v>
      </c>
      <c r="E70" s="15">
        <v>0</v>
      </c>
      <c r="F70" s="16">
        <f t="shared" si="42"/>
        <v>8.2399999999999997E-5</v>
      </c>
      <c r="G70" s="17" t="s">
        <v>390</v>
      </c>
      <c r="H70" s="11" t="s">
        <v>391</v>
      </c>
      <c r="I70" s="17">
        <f t="shared" si="38"/>
        <v>8.2500000000000004E-3</v>
      </c>
      <c r="J70" s="17"/>
      <c r="K70" s="22">
        <f t="shared" ref="K70" si="43">SUM(B70:C70)</f>
        <v>12</v>
      </c>
      <c r="L70" s="86" t="s">
        <v>541</v>
      </c>
      <c r="M70" s="22"/>
      <c r="N70" s="22"/>
      <c r="O70" s="22"/>
      <c r="P70" s="22"/>
      <c r="Q70" s="22"/>
      <c r="R70" s="22"/>
      <c r="V70" s="51" t="s">
        <v>465</v>
      </c>
      <c r="W70" s="55">
        <v>0</v>
      </c>
      <c r="X70" s="56">
        <v>267</v>
      </c>
      <c r="Y70" s="57">
        <v>537</v>
      </c>
      <c r="Z70">
        <f t="shared" si="40"/>
        <v>270</v>
      </c>
      <c r="AA70">
        <f t="shared" si="41"/>
        <v>534</v>
      </c>
    </row>
    <row r="71" spans="1:46" ht="17.25" thickBot="1" x14ac:dyDescent="0.3">
      <c r="A71" s="11" t="s">
        <v>542</v>
      </c>
      <c r="B71" s="12">
        <v>4</v>
      </c>
      <c r="C71" s="13">
        <v>0</v>
      </c>
      <c r="D71" s="14">
        <f>((B71*8*Configuration!$C$4)+(C71*8*Configuration!$C$4))*$Q$1</f>
        <v>2.0800000000000001E-5</v>
      </c>
      <c r="E71" s="15">
        <v>0</v>
      </c>
      <c r="F71" s="16">
        <f>(D71+E71+$Q$3)</f>
        <v>4.0800000000000002E-5</v>
      </c>
      <c r="G71" s="17" t="s">
        <v>390</v>
      </c>
      <c r="H71" s="11" t="s">
        <v>391</v>
      </c>
      <c r="I71" s="17">
        <f t="shared" si="38"/>
        <v>8.2500000000000004E-3</v>
      </c>
      <c r="J71" s="69"/>
      <c r="K71" s="22">
        <f>SUM(B71:C71)</f>
        <v>4</v>
      </c>
      <c r="L71" s="22" t="s">
        <v>543</v>
      </c>
      <c r="M71" s="22"/>
      <c r="N71" s="22"/>
      <c r="O71" s="22"/>
      <c r="P71" s="22"/>
      <c r="Q71" s="22"/>
      <c r="R71" s="22"/>
      <c r="V71" s="51" t="s">
        <v>468</v>
      </c>
      <c r="W71" s="55">
        <v>0</v>
      </c>
      <c r="X71" s="56">
        <v>500</v>
      </c>
      <c r="Y71" s="57">
        <v>769</v>
      </c>
      <c r="Z71">
        <f t="shared" si="40"/>
        <v>269</v>
      </c>
      <c r="AA71">
        <f t="shared" si="41"/>
        <v>1000</v>
      </c>
    </row>
    <row r="72" spans="1:46" ht="17.25" thickBot="1" x14ac:dyDescent="0.3">
      <c r="A72" s="11" t="s">
        <v>544</v>
      </c>
      <c r="B72" s="12">
        <v>4</v>
      </c>
      <c r="C72" s="13">
        <f>8*Configuration!$C$2</f>
        <v>8</v>
      </c>
      <c r="D72" s="14">
        <f>((B72*8*Configuration!$C$4)+(C72*8*Configuration!$C$4))*$Q$1</f>
        <v>6.2399999999999999E-5</v>
      </c>
      <c r="E72" s="15">
        <v>0</v>
      </c>
      <c r="F72" s="16">
        <f t="shared" ref="F72" si="44">(D72+E72+$Q$3)</f>
        <v>8.2399999999999997E-5</v>
      </c>
      <c r="G72" s="17" t="s">
        <v>390</v>
      </c>
      <c r="H72" s="11" t="s">
        <v>391</v>
      </c>
      <c r="I72" s="17">
        <f t="shared" si="38"/>
        <v>8.2500000000000004E-3</v>
      </c>
      <c r="J72" s="17"/>
      <c r="K72" s="22">
        <f t="shared" ref="K72" si="45">SUM(B72:C72)</f>
        <v>12</v>
      </c>
      <c r="L72" s="86" t="s">
        <v>545</v>
      </c>
      <c r="M72" s="22"/>
      <c r="N72" s="22"/>
      <c r="O72" s="22"/>
      <c r="P72" s="22"/>
      <c r="Q72" s="22"/>
      <c r="R72" s="22"/>
      <c r="V72" s="51" t="s">
        <v>471</v>
      </c>
      <c r="W72" s="55">
        <v>0</v>
      </c>
      <c r="X72" s="56">
        <v>965</v>
      </c>
      <c r="Y72" s="59">
        <v>1235</v>
      </c>
      <c r="Z72">
        <f t="shared" si="40"/>
        <v>270</v>
      </c>
      <c r="AA72">
        <f t="shared" si="41"/>
        <v>1930</v>
      </c>
    </row>
    <row r="73" spans="1:46" ht="17.25" thickBot="1" x14ac:dyDescent="0.3">
      <c r="A73" s="11" t="s">
        <v>546</v>
      </c>
      <c r="B73" s="12">
        <v>4</v>
      </c>
      <c r="C73" s="13">
        <v>0</v>
      </c>
      <c r="D73" s="14">
        <f>((B73*8*Configuration!$C$4)+(C73*8*Configuration!$C$4))*$Q$1</f>
        <v>2.0800000000000001E-5</v>
      </c>
      <c r="E73" s="15">
        <v>0</v>
      </c>
      <c r="F73" s="16">
        <f>(D73+E73+$Q$3)</f>
        <v>4.0800000000000002E-5</v>
      </c>
      <c r="G73" s="17" t="s">
        <v>390</v>
      </c>
      <c r="H73" s="11" t="s">
        <v>391</v>
      </c>
      <c r="I73" s="17">
        <f t="shared" si="38"/>
        <v>8.2500000000000004E-3</v>
      </c>
      <c r="J73" s="69"/>
      <c r="K73" s="22">
        <f>SUM(B73:C73)</f>
        <v>4</v>
      </c>
      <c r="L73" s="22" t="s">
        <v>547</v>
      </c>
      <c r="M73" s="22"/>
      <c r="N73" s="22"/>
      <c r="O73" s="22"/>
      <c r="P73" s="22"/>
      <c r="Q73" s="22"/>
      <c r="R73" s="22"/>
      <c r="V73" s="51" t="s">
        <v>475</v>
      </c>
      <c r="W73" s="55">
        <v>0</v>
      </c>
      <c r="X73" s="60">
        <v>1896</v>
      </c>
      <c r="Y73" s="59">
        <v>2166</v>
      </c>
      <c r="Z73">
        <f t="shared" si="40"/>
        <v>270</v>
      </c>
      <c r="AA73">
        <f t="shared" si="41"/>
        <v>3792</v>
      </c>
    </row>
    <row r="74" spans="1:46" ht="17.25" thickBot="1" x14ac:dyDescent="0.3">
      <c r="A74" s="11" t="s">
        <v>149</v>
      </c>
      <c r="B74" s="12">
        <v>4</v>
      </c>
      <c r="C74" s="13">
        <v>0</v>
      </c>
      <c r="D74" s="14">
        <f>((B74*8*Configuration!$C$4)+(C74*8*Configuration!$C$4))*$Q$1</f>
        <v>2.0800000000000001E-5</v>
      </c>
      <c r="E74" s="15">
        <v>0</v>
      </c>
      <c r="F74" s="16">
        <f>(D74+E74+$Q$3)</f>
        <v>4.0800000000000002E-5</v>
      </c>
      <c r="G74" s="17" t="s">
        <v>390</v>
      </c>
      <c r="H74" s="11" t="s">
        <v>391</v>
      </c>
      <c r="I74" s="17">
        <f t="shared" si="38"/>
        <v>8.2500000000000004E-3</v>
      </c>
      <c r="J74" s="69"/>
      <c r="K74" s="22">
        <f>SUM(B74:C74)</f>
        <v>4</v>
      </c>
      <c r="L74" s="22" t="s">
        <v>548</v>
      </c>
      <c r="M74" s="22"/>
      <c r="N74" s="22"/>
      <c r="O74" s="22"/>
      <c r="P74" s="22"/>
      <c r="Q74" s="22"/>
      <c r="R74" s="22"/>
      <c r="V74" s="51" t="s">
        <v>477</v>
      </c>
      <c r="W74" s="55">
        <v>0</v>
      </c>
      <c r="X74" s="60">
        <v>29823</v>
      </c>
      <c r="Y74" s="59">
        <v>33584</v>
      </c>
      <c r="Z74">
        <f t="shared" si="40"/>
        <v>3761</v>
      </c>
      <c r="AA74">
        <f t="shared" si="41"/>
        <v>59646</v>
      </c>
    </row>
    <row r="75" spans="1:46" x14ac:dyDescent="0.25">
      <c r="A75" s="11" t="s">
        <v>160</v>
      </c>
      <c r="B75" s="12">
        <v>4</v>
      </c>
      <c r="C75" s="13">
        <v>0</v>
      </c>
      <c r="D75" s="14">
        <f>((B75*8*Configuration!$C$4)+(C75*8*Configuration!$C$4))*$Q$1</f>
        <v>2.0800000000000001E-5</v>
      </c>
      <c r="E75" s="15">
        <v>0</v>
      </c>
      <c r="F75" s="16">
        <f>(D75+E75+$Q$3)</f>
        <v>4.0800000000000002E-5</v>
      </c>
      <c r="G75" s="17" t="s">
        <v>390</v>
      </c>
      <c r="H75" s="11" t="s">
        <v>391</v>
      </c>
      <c r="I75" s="17">
        <f t="shared" si="38"/>
        <v>8.2500000000000004E-3</v>
      </c>
      <c r="J75" s="69"/>
      <c r="K75" s="22">
        <f>SUM(B75:C75)</f>
        <v>4</v>
      </c>
      <c r="L75" s="22" t="s">
        <v>549</v>
      </c>
      <c r="M75" s="22"/>
      <c r="N75" s="22"/>
      <c r="O75" s="22"/>
      <c r="P75" s="22"/>
      <c r="Q75" s="22"/>
      <c r="R75" s="22"/>
    </row>
    <row r="76" spans="1:46" x14ac:dyDescent="0.25">
      <c r="A76" s="88" t="s">
        <v>133</v>
      </c>
      <c r="B76" s="10">
        <v>4</v>
      </c>
      <c r="C76" s="13">
        <v>0</v>
      </c>
      <c r="D76" s="14">
        <f>((B76*8*Configuration!$C$4)+(C76*8*Configuration!$C$4))*$Q$1</f>
        <v>2.0800000000000001E-5</v>
      </c>
      <c r="E76" s="15">
        <v>0</v>
      </c>
      <c r="F76" s="16">
        <f t="shared" ref="F76:F81" si="46">(D76+E76+$Q$3)</f>
        <v>4.0800000000000002E-5</v>
      </c>
      <c r="G76" s="17" t="s">
        <v>390</v>
      </c>
      <c r="H76" s="21" t="s">
        <v>431</v>
      </c>
      <c r="I76" s="17">
        <f t="shared" si="38"/>
        <v>1.31E-3</v>
      </c>
      <c r="J76" s="22"/>
      <c r="K76" s="22">
        <f t="shared" ref="K76:K81" si="47">SUM(B76:C76)</f>
        <v>4</v>
      </c>
      <c r="L76" s="22" t="s">
        <v>550</v>
      </c>
      <c r="M76" s="22"/>
      <c r="N76" s="22"/>
      <c r="O76" s="22"/>
      <c r="P76" s="22"/>
      <c r="Q76" s="22"/>
      <c r="R76" s="22"/>
    </row>
    <row r="77" spans="1:46" ht="16.5" thickBot="1" x14ac:dyDescent="0.3">
      <c r="A77" s="9" t="s">
        <v>290</v>
      </c>
      <c r="B77" s="10">
        <v>4</v>
      </c>
      <c r="C77" s="13">
        <f>8*Configuration!$C$2</f>
        <v>8</v>
      </c>
      <c r="D77" s="14">
        <f>((B77*8*Configuration!$C$4)+(C77*8*Configuration!$C$4))*$Q$1</f>
        <v>6.2399999999999999E-5</v>
      </c>
      <c r="E77" s="15">
        <v>0</v>
      </c>
      <c r="F77" s="16">
        <f t="shared" si="46"/>
        <v>8.2399999999999997E-5</v>
      </c>
      <c r="G77" s="17" t="s">
        <v>390</v>
      </c>
      <c r="H77" s="11" t="s">
        <v>391</v>
      </c>
      <c r="I77" s="17">
        <f t="shared" si="38"/>
        <v>8.2500000000000004E-3</v>
      </c>
      <c r="J77" s="17"/>
      <c r="K77" s="22">
        <f t="shared" si="47"/>
        <v>12</v>
      </c>
      <c r="L77" s="22" t="s">
        <v>551</v>
      </c>
      <c r="M77" s="22"/>
      <c r="N77" s="22"/>
      <c r="O77" s="22"/>
      <c r="P77" s="22"/>
      <c r="Q77" s="22"/>
      <c r="R77" s="22"/>
      <c r="Y77" s="32" t="s">
        <v>552</v>
      </c>
    </row>
    <row r="78" spans="1:46" ht="15.75" customHeight="1" thickBot="1" x14ac:dyDescent="0.3">
      <c r="A78" s="9" t="s">
        <v>553</v>
      </c>
      <c r="B78" s="10">
        <v>4</v>
      </c>
      <c r="C78" s="13">
        <f>8*Configuration!$C$2</f>
        <v>8</v>
      </c>
      <c r="D78" s="14">
        <f>((B78*8*Configuration!$C$4)+(C78*8*Configuration!$C$4))*$Q$1</f>
        <v>6.2399999999999999E-5</v>
      </c>
      <c r="E78" s="15">
        <v>0</v>
      </c>
      <c r="F78" s="16">
        <f t="shared" si="46"/>
        <v>8.2399999999999997E-5</v>
      </c>
      <c r="G78" s="17" t="s">
        <v>390</v>
      </c>
      <c r="H78" s="11" t="s">
        <v>391</v>
      </c>
      <c r="I78" s="17">
        <f t="shared" si="38"/>
        <v>8.2500000000000004E-3</v>
      </c>
      <c r="J78" s="20"/>
      <c r="K78" s="22">
        <f t="shared" si="47"/>
        <v>12</v>
      </c>
      <c r="L78" s="22" t="s">
        <v>554</v>
      </c>
      <c r="M78" s="22"/>
      <c r="N78" s="22"/>
      <c r="O78" s="22" t="s">
        <v>555</v>
      </c>
      <c r="P78" s="44">
        <f>($P$23*$Q$31)*6+VLOOKUP($P$18,$V$80:$AE$87,10,FALSE)*10^-6</f>
        <v>2.7919999999999998E-3</v>
      </c>
      <c r="Q78" s="22"/>
      <c r="R78" s="22"/>
      <c r="V78" s="378"/>
      <c r="W78" s="413" t="s">
        <v>445</v>
      </c>
      <c r="X78" s="414"/>
      <c r="Y78" s="414"/>
      <c r="Z78" s="414"/>
      <c r="AA78" s="414"/>
      <c r="AB78" s="414"/>
      <c r="AC78" s="414"/>
      <c r="AD78" s="414"/>
      <c r="AE78" s="414"/>
    </row>
    <row r="79" spans="1:46" ht="16.5" customHeight="1" thickBot="1" x14ac:dyDescent="0.3">
      <c r="A79" s="9" t="s">
        <v>556</v>
      </c>
      <c r="B79" s="10">
        <v>4</v>
      </c>
      <c r="C79" s="13">
        <f>8*Configuration!$C$2</f>
        <v>8</v>
      </c>
      <c r="D79" s="14">
        <f>((B79*8*Configuration!$C$4)+(C79*8*Configuration!$C$4))*$Q$1</f>
        <v>6.2399999999999999E-5</v>
      </c>
      <c r="E79" s="15">
        <v>0</v>
      </c>
      <c r="F79" s="16">
        <f t="shared" si="46"/>
        <v>8.2399999999999997E-5</v>
      </c>
      <c r="G79" s="17" t="s">
        <v>390</v>
      </c>
      <c r="H79" s="11" t="s">
        <v>391</v>
      </c>
      <c r="I79" s="17">
        <f t="shared" si="38"/>
        <v>8.2500000000000004E-3</v>
      </c>
      <c r="J79" s="20"/>
      <c r="K79" s="22">
        <f t="shared" si="47"/>
        <v>12</v>
      </c>
      <c r="L79" s="22" t="s">
        <v>557</v>
      </c>
      <c r="M79" s="22"/>
      <c r="N79" s="22"/>
      <c r="O79" s="22"/>
      <c r="P79" s="22"/>
      <c r="Q79" s="22"/>
      <c r="R79" s="22"/>
      <c r="V79" s="47" t="s">
        <v>449</v>
      </c>
      <c r="W79" s="48" t="s">
        <v>487</v>
      </c>
      <c r="X79" s="48" t="s">
        <v>450</v>
      </c>
      <c r="Y79" s="48" t="s">
        <v>451</v>
      </c>
      <c r="Z79" s="48" t="s">
        <v>558</v>
      </c>
      <c r="AA79" s="48" t="s">
        <v>559</v>
      </c>
      <c r="AB79" s="48" t="s">
        <v>488</v>
      </c>
      <c r="AC79" s="48" t="s">
        <v>489</v>
      </c>
      <c r="AD79" s="48" t="s">
        <v>560</v>
      </c>
      <c r="AE79" s="49" t="s">
        <v>561</v>
      </c>
    </row>
    <row r="80" spans="1:46" s="71" customFormat="1" ht="17.25" thickBot="1" x14ac:dyDescent="0.3">
      <c r="A80" s="11" t="s">
        <v>562</v>
      </c>
      <c r="B80" s="10">
        <v>4</v>
      </c>
      <c r="C80" s="13">
        <f>8*Configuration!$C$2</f>
        <v>8</v>
      </c>
      <c r="D80" s="14">
        <f>((B80*8*Configuration!$C$4)+(C80*8*Configuration!$C$4))*$Q$1</f>
        <v>6.2399999999999999E-5</v>
      </c>
      <c r="E80" s="15">
        <v>0</v>
      </c>
      <c r="F80" s="16">
        <f t="shared" si="46"/>
        <v>8.2399999999999997E-5</v>
      </c>
      <c r="G80" s="17" t="s">
        <v>390</v>
      </c>
      <c r="H80" s="11" t="s">
        <v>391</v>
      </c>
      <c r="I80" s="17">
        <f t="shared" si="38"/>
        <v>8.2500000000000004E-3</v>
      </c>
      <c r="J80" s="19"/>
      <c r="K80" s="22">
        <f t="shared" si="47"/>
        <v>12</v>
      </c>
      <c r="L80" s="70" t="s">
        <v>563</v>
      </c>
      <c r="M80" s="22"/>
      <c r="N80" s="22"/>
      <c r="O80" s="22"/>
      <c r="P80" s="22"/>
      <c r="Q80" s="22"/>
      <c r="R80" s="22"/>
      <c r="S80"/>
      <c r="T80"/>
      <c r="U80"/>
      <c r="V80" s="51" t="s">
        <v>458</v>
      </c>
      <c r="W80" s="53">
        <v>0</v>
      </c>
      <c r="X80" s="53">
        <v>63</v>
      </c>
      <c r="Y80" s="53">
        <v>112</v>
      </c>
      <c r="Z80" s="53">
        <v>160</v>
      </c>
      <c r="AA80" s="53">
        <v>221</v>
      </c>
      <c r="AB80" s="53">
        <v>269</v>
      </c>
      <c r="AC80" s="53">
        <v>317</v>
      </c>
      <c r="AD80" s="53">
        <v>365</v>
      </c>
      <c r="AE80" s="54">
        <v>1367</v>
      </c>
      <c r="AF80" s="74">
        <f>AE80-AD80</f>
        <v>1002</v>
      </c>
      <c r="AG80"/>
      <c r="AH80"/>
      <c r="AI80"/>
      <c r="AJ80"/>
      <c r="AK80"/>
      <c r="AL80"/>
      <c r="AM80"/>
      <c r="AN80"/>
      <c r="AO80"/>
      <c r="AP80"/>
      <c r="AQ80"/>
      <c r="AR80"/>
      <c r="AS80"/>
      <c r="AT80"/>
    </row>
    <row r="81" spans="1:38" ht="17.25" thickBot="1" x14ac:dyDescent="0.3">
      <c r="A81" s="11" t="s">
        <v>223</v>
      </c>
      <c r="B81" s="12">
        <v>4</v>
      </c>
      <c r="C81" s="13">
        <f>8*Configuration!$C$2</f>
        <v>8</v>
      </c>
      <c r="D81" s="14">
        <f>((B81*8*Configuration!$C$4)+(C81*8*Configuration!$C$4))*$Q$1</f>
        <v>6.2399999999999999E-5</v>
      </c>
      <c r="E81" s="15">
        <v>0</v>
      </c>
      <c r="F81" s="16">
        <f t="shared" si="46"/>
        <v>8.2399999999999997E-5</v>
      </c>
      <c r="G81" s="17" t="s">
        <v>390</v>
      </c>
      <c r="H81" s="11" t="s">
        <v>391</v>
      </c>
      <c r="I81" s="17">
        <f t="shared" si="38"/>
        <v>8.2500000000000004E-3</v>
      </c>
      <c r="J81" s="17"/>
      <c r="K81" s="22">
        <f t="shared" si="47"/>
        <v>12</v>
      </c>
      <c r="L81" s="22" t="s">
        <v>564</v>
      </c>
      <c r="M81" s="22" t="s">
        <v>565</v>
      </c>
      <c r="N81" s="22"/>
      <c r="O81" s="22"/>
      <c r="P81" s="22"/>
      <c r="Q81" s="22"/>
      <c r="R81" s="22"/>
      <c r="V81" s="51" t="s">
        <v>461</v>
      </c>
      <c r="W81" s="53">
        <v>0</v>
      </c>
      <c r="X81" s="53">
        <v>93</v>
      </c>
      <c r="Y81" s="53">
        <v>170</v>
      </c>
      <c r="Z81" s="53">
        <v>247</v>
      </c>
      <c r="AA81" s="53">
        <v>337</v>
      </c>
      <c r="AB81" s="53">
        <v>414</v>
      </c>
      <c r="AC81" s="53">
        <v>492</v>
      </c>
      <c r="AD81" s="53">
        <v>569</v>
      </c>
      <c r="AE81" s="54">
        <v>1571</v>
      </c>
      <c r="AF81" s="74">
        <f t="shared" ref="AF81:AF87" si="48">AE81-AD81</f>
        <v>1002</v>
      </c>
    </row>
    <row r="82" spans="1:38" ht="17.25" thickBot="1" x14ac:dyDescent="0.3">
      <c r="A82" s="9"/>
      <c r="B82" s="10"/>
      <c r="C82" s="13"/>
      <c r="D82" s="14"/>
      <c r="E82" s="20"/>
      <c r="F82" s="16"/>
      <c r="G82" s="21"/>
      <c r="H82" s="21"/>
      <c r="I82" s="17"/>
      <c r="J82" s="17"/>
      <c r="K82" s="22"/>
      <c r="L82" s="22"/>
      <c r="M82" s="22"/>
      <c r="N82" s="22"/>
      <c r="O82" s="22"/>
      <c r="P82" s="22"/>
      <c r="Q82" s="22"/>
      <c r="R82" s="22"/>
      <c r="V82" s="51" t="s">
        <v>463</v>
      </c>
      <c r="W82" s="53">
        <v>0</v>
      </c>
      <c r="X82" s="53">
        <v>150</v>
      </c>
      <c r="Y82" s="53">
        <v>286</v>
      </c>
      <c r="Z82" s="53">
        <v>421</v>
      </c>
      <c r="AA82" s="53">
        <v>570</v>
      </c>
      <c r="AB82" s="53">
        <v>705</v>
      </c>
      <c r="AC82" s="53">
        <v>840</v>
      </c>
      <c r="AD82" s="53">
        <v>976</v>
      </c>
      <c r="AE82" s="54">
        <v>2792</v>
      </c>
      <c r="AF82" s="74">
        <f t="shared" si="48"/>
        <v>1816</v>
      </c>
    </row>
    <row r="83" spans="1:38" ht="17.25" thickBot="1" x14ac:dyDescent="0.3">
      <c r="A83" s="9"/>
      <c r="B83" s="10"/>
      <c r="C83" s="13"/>
      <c r="D83" s="14"/>
      <c r="E83" s="20"/>
      <c r="F83" s="16"/>
      <c r="G83" s="21"/>
      <c r="H83" s="21"/>
      <c r="I83" s="17"/>
      <c r="J83" s="17"/>
      <c r="K83" s="22"/>
      <c r="L83" s="22"/>
      <c r="M83" s="22"/>
      <c r="N83" s="22"/>
      <c r="O83" s="22"/>
      <c r="P83" s="22"/>
      <c r="Q83" s="22"/>
      <c r="R83" s="22"/>
      <c r="V83" s="51" t="s">
        <v>465</v>
      </c>
      <c r="W83" s="53">
        <v>0</v>
      </c>
      <c r="X83" s="53">
        <v>267</v>
      </c>
      <c r="Y83" s="53">
        <v>519</v>
      </c>
      <c r="Z83" s="53">
        <v>770</v>
      </c>
      <c r="AA83" s="58">
        <v>1035</v>
      </c>
      <c r="AB83" s="58">
        <v>1287</v>
      </c>
      <c r="AC83" s="58">
        <v>1539</v>
      </c>
      <c r="AD83" s="58">
        <v>1790</v>
      </c>
      <c r="AE83" s="54">
        <v>3607</v>
      </c>
      <c r="AF83" s="74">
        <f t="shared" si="48"/>
        <v>1817</v>
      </c>
    </row>
    <row r="84" spans="1:38" ht="17.25" thickBot="1" x14ac:dyDescent="0.3">
      <c r="A84" s="9"/>
      <c r="B84" s="10"/>
      <c r="C84" s="13"/>
      <c r="D84" s="14"/>
      <c r="E84" s="20"/>
      <c r="F84" s="16"/>
      <c r="G84" s="21"/>
      <c r="H84" s="21"/>
      <c r="I84" s="17"/>
      <c r="J84" s="17"/>
      <c r="K84" s="22"/>
      <c r="L84" s="22"/>
      <c r="M84" s="22"/>
      <c r="N84" s="22"/>
      <c r="O84" s="22"/>
      <c r="P84" s="22"/>
      <c r="Q84" s="22"/>
      <c r="R84" s="22"/>
      <c r="V84" s="51" t="s">
        <v>468</v>
      </c>
      <c r="W84" s="53">
        <v>0</v>
      </c>
      <c r="X84" s="53">
        <v>500</v>
      </c>
      <c r="Y84" s="53">
        <v>984</v>
      </c>
      <c r="Z84" s="58">
        <v>1469</v>
      </c>
      <c r="AA84" s="58">
        <v>1966</v>
      </c>
      <c r="AB84" s="58">
        <v>2450</v>
      </c>
      <c r="AC84" s="58">
        <v>2935</v>
      </c>
      <c r="AD84" s="58">
        <v>3420</v>
      </c>
      <c r="AE84" s="54">
        <v>5236</v>
      </c>
      <c r="AF84" s="74">
        <f t="shared" si="48"/>
        <v>1816</v>
      </c>
    </row>
    <row r="85" spans="1:38" ht="17.25" thickBot="1" x14ac:dyDescent="0.3">
      <c r="A85" s="9"/>
      <c r="B85" s="10"/>
      <c r="C85" s="13"/>
      <c r="D85" s="14"/>
      <c r="E85" s="18"/>
      <c r="F85" s="16"/>
      <c r="G85" s="21"/>
      <c r="H85" s="21"/>
      <c r="I85" s="17"/>
      <c r="J85" s="20"/>
      <c r="K85" s="22"/>
      <c r="L85" s="22"/>
      <c r="M85" s="22"/>
      <c r="N85" s="22"/>
      <c r="O85" s="22"/>
      <c r="P85" s="22"/>
      <c r="Q85" s="22"/>
      <c r="R85" s="22"/>
      <c r="V85" s="51" t="s">
        <v>471</v>
      </c>
      <c r="W85" s="53">
        <v>0</v>
      </c>
      <c r="X85" s="53">
        <v>965</v>
      </c>
      <c r="Y85" s="58">
        <v>1915</v>
      </c>
      <c r="Z85" s="58">
        <v>2865</v>
      </c>
      <c r="AA85" s="58">
        <v>3828</v>
      </c>
      <c r="AB85" s="58">
        <v>4778</v>
      </c>
      <c r="AC85" s="58">
        <v>5728</v>
      </c>
      <c r="AD85" s="58">
        <v>6678</v>
      </c>
      <c r="AE85" s="54">
        <v>8494</v>
      </c>
      <c r="AF85" s="74">
        <f t="shared" si="48"/>
        <v>1816</v>
      </c>
    </row>
    <row r="86" spans="1:38" ht="21" customHeight="1" thickBot="1" x14ac:dyDescent="0.3">
      <c r="A86" s="9"/>
      <c r="B86" s="10"/>
      <c r="C86" s="13"/>
      <c r="D86" s="14"/>
      <c r="E86" s="18"/>
      <c r="F86" s="16"/>
      <c r="G86" s="21"/>
      <c r="H86" s="21"/>
      <c r="I86" s="17"/>
      <c r="J86" s="17"/>
      <c r="K86" s="22"/>
      <c r="L86" s="22"/>
      <c r="M86" s="22"/>
      <c r="N86" s="22"/>
      <c r="O86" s="22"/>
      <c r="P86" s="22"/>
      <c r="Q86" s="22"/>
      <c r="R86" s="22"/>
      <c r="V86" s="51" t="s">
        <v>475</v>
      </c>
      <c r="W86" s="53">
        <v>0</v>
      </c>
      <c r="X86" s="58">
        <v>1896</v>
      </c>
      <c r="Y86" s="58">
        <v>3777</v>
      </c>
      <c r="Z86" s="58">
        <v>5658</v>
      </c>
      <c r="AA86" s="58">
        <v>7552</v>
      </c>
      <c r="AB86" s="58">
        <v>9433</v>
      </c>
      <c r="AC86" s="58">
        <v>11313</v>
      </c>
      <c r="AD86" s="58">
        <v>13194</v>
      </c>
      <c r="AE86" s="54">
        <v>15011</v>
      </c>
      <c r="AF86" s="74">
        <f t="shared" si="48"/>
        <v>1817</v>
      </c>
    </row>
    <row r="87" spans="1:38" ht="17.25" thickBot="1" x14ac:dyDescent="0.3">
      <c r="A87" s="9"/>
      <c r="B87" s="10"/>
      <c r="C87" s="13"/>
      <c r="D87" s="14"/>
      <c r="E87" s="20"/>
      <c r="F87" s="16"/>
      <c r="G87" s="21"/>
      <c r="H87" s="21"/>
      <c r="I87" s="17"/>
      <c r="J87" s="17"/>
      <c r="K87" s="22"/>
      <c r="L87" s="22"/>
      <c r="M87" s="22"/>
      <c r="N87" s="22"/>
      <c r="O87" s="22"/>
      <c r="P87" s="22"/>
      <c r="Q87" s="22"/>
      <c r="R87" s="22"/>
      <c r="V87" s="51" t="s">
        <v>477</v>
      </c>
      <c r="W87" s="53">
        <v>0</v>
      </c>
      <c r="X87" s="58">
        <v>29823</v>
      </c>
      <c r="Y87" s="58">
        <v>59632</v>
      </c>
      <c r="Z87" s="58">
        <v>89440</v>
      </c>
      <c r="AA87" s="58">
        <v>119261</v>
      </c>
      <c r="AB87" s="58">
        <v>149069</v>
      </c>
      <c r="AC87" s="58">
        <v>178877</v>
      </c>
      <c r="AD87" s="58">
        <v>208685</v>
      </c>
      <c r="AE87" s="54">
        <v>234938</v>
      </c>
      <c r="AF87" s="74">
        <f t="shared" si="48"/>
        <v>26253</v>
      </c>
    </row>
    <row r="88" spans="1:38" x14ac:dyDescent="0.25">
      <c r="A88" s="9"/>
      <c r="B88" s="10"/>
      <c r="C88" s="13"/>
      <c r="D88" s="14"/>
      <c r="E88" s="18"/>
      <c r="F88" s="16"/>
      <c r="G88" s="21"/>
      <c r="H88" s="21"/>
      <c r="I88" s="17"/>
      <c r="J88" s="20"/>
      <c r="K88" s="22"/>
      <c r="L88" s="22"/>
      <c r="M88" s="22"/>
      <c r="N88" s="22"/>
      <c r="O88" s="22"/>
      <c r="P88" s="22"/>
      <c r="Q88" s="22"/>
      <c r="R88" s="22"/>
    </row>
    <row r="89" spans="1:38" ht="19.5" thickBot="1" x14ac:dyDescent="0.3">
      <c r="A89" s="9"/>
      <c r="B89" s="10"/>
      <c r="C89" s="13"/>
      <c r="D89" s="14"/>
      <c r="E89" s="18"/>
      <c r="F89" s="16"/>
      <c r="G89" s="21"/>
      <c r="H89" s="21"/>
      <c r="I89" s="17"/>
      <c r="J89" s="17"/>
      <c r="K89" s="22"/>
      <c r="L89" s="22"/>
      <c r="M89" s="22"/>
      <c r="N89" s="22"/>
      <c r="O89" s="22"/>
      <c r="P89" s="22"/>
      <c r="Q89" s="22"/>
      <c r="R89" s="22"/>
      <c r="AD89" s="32" t="s">
        <v>566</v>
      </c>
    </row>
    <row r="90" spans="1:38" ht="16.5" thickBot="1" x14ac:dyDescent="0.3">
      <c r="A90" s="9"/>
      <c r="B90" s="10"/>
      <c r="C90" s="13"/>
      <c r="D90" s="14"/>
      <c r="E90" s="18"/>
      <c r="F90" s="16"/>
      <c r="G90" s="21"/>
      <c r="H90" s="21"/>
      <c r="I90" s="17"/>
      <c r="J90" s="20"/>
      <c r="K90" s="22"/>
      <c r="L90" s="22"/>
      <c r="M90" s="22"/>
      <c r="N90" s="22"/>
      <c r="O90" s="22" t="s">
        <v>567</v>
      </c>
      <c r="P90" s="44">
        <v>1.5019999999999999E-3</v>
      </c>
      <c r="Q90" s="22"/>
      <c r="R90" s="22"/>
      <c r="V90" s="414"/>
      <c r="W90" s="415"/>
      <c r="X90" s="413"/>
      <c r="Y90" s="415"/>
      <c r="Z90" s="413" t="s">
        <v>445</v>
      </c>
      <c r="AA90" s="414"/>
      <c r="AB90" s="414"/>
      <c r="AC90" s="414"/>
      <c r="AD90" s="414"/>
      <c r="AE90" s="414"/>
      <c r="AF90" s="414"/>
      <c r="AG90" s="414"/>
      <c r="AH90" s="414"/>
      <c r="AI90" s="414"/>
      <c r="AJ90" s="414"/>
    </row>
    <row r="91" spans="1:38" ht="20.25" thickBot="1" x14ac:dyDescent="0.3">
      <c r="A91" s="9"/>
      <c r="B91" s="10"/>
      <c r="C91" s="13"/>
      <c r="D91" s="14"/>
      <c r="E91" s="18"/>
      <c r="F91" s="16"/>
      <c r="G91" s="21"/>
      <c r="H91" s="21"/>
      <c r="I91" s="17"/>
      <c r="J91" s="17"/>
      <c r="K91" s="22"/>
      <c r="L91" s="22"/>
      <c r="M91" s="22"/>
      <c r="N91" s="22"/>
      <c r="O91" s="22"/>
      <c r="P91" s="22"/>
      <c r="Q91" s="22"/>
      <c r="R91" s="22"/>
      <c r="T91">
        <v>135.57142857142799</v>
      </c>
      <c r="V91" s="47" t="s">
        <v>449</v>
      </c>
      <c r="W91" s="416" t="s">
        <v>487</v>
      </c>
      <c r="X91" s="417"/>
      <c r="Y91" s="416" t="s">
        <v>450</v>
      </c>
      <c r="Z91" s="417"/>
      <c r="AA91" s="48" t="s">
        <v>451</v>
      </c>
      <c r="AB91" s="48" t="s">
        <v>558</v>
      </c>
      <c r="AC91" s="48" t="s">
        <v>559</v>
      </c>
      <c r="AD91" s="48" t="s">
        <v>488</v>
      </c>
      <c r="AE91" s="48" t="s">
        <v>489</v>
      </c>
      <c r="AF91" s="48" t="s">
        <v>568</v>
      </c>
      <c r="AG91" s="48" t="s">
        <v>569</v>
      </c>
      <c r="AH91" s="48" t="s">
        <v>454</v>
      </c>
      <c r="AI91" s="49" t="s">
        <v>455</v>
      </c>
      <c r="AJ91" s="62"/>
    </row>
    <row r="92" spans="1:38" ht="17.25" thickBot="1" x14ac:dyDescent="0.3">
      <c r="A92" s="9"/>
      <c r="B92" s="12"/>
      <c r="C92" s="13"/>
      <c r="D92" s="14"/>
      <c r="E92" s="15"/>
      <c r="F92" s="16"/>
      <c r="G92" s="17"/>
      <c r="H92" s="11"/>
      <c r="I92" s="17"/>
      <c r="J92" s="17"/>
      <c r="K92" s="22"/>
      <c r="L92" s="22"/>
      <c r="M92" s="22"/>
      <c r="N92" s="22"/>
      <c r="O92" s="22"/>
      <c r="P92" s="22"/>
      <c r="Q92" s="22"/>
      <c r="R92" s="22"/>
      <c r="V92" s="51" t="s">
        <v>458</v>
      </c>
      <c r="W92" s="418">
        <v>0</v>
      </c>
      <c r="X92" s="419"/>
      <c r="Y92" s="418">
        <v>63</v>
      </c>
      <c r="Z92" s="419"/>
      <c r="AA92" s="53">
        <v>112</v>
      </c>
      <c r="AB92" s="53">
        <v>160</v>
      </c>
      <c r="AC92" s="53">
        <v>208</v>
      </c>
      <c r="AD92" s="53">
        <v>256</v>
      </c>
      <c r="AE92" s="53">
        <v>304</v>
      </c>
      <c r="AF92" s="53">
        <v>353</v>
      </c>
      <c r="AG92" s="53">
        <v>401</v>
      </c>
      <c r="AH92" s="53">
        <v>688</v>
      </c>
      <c r="AI92" s="54">
        <v>1502</v>
      </c>
      <c r="AJ92" s="77">
        <f>AH92-AG92</f>
        <v>287</v>
      </c>
      <c r="AK92" s="74">
        <f>AI92-AG92</f>
        <v>1101</v>
      </c>
    </row>
    <row r="93" spans="1:38" ht="17.25" thickBot="1" x14ac:dyDescent="0.3">
      <c r="A93" s="9"/>
      <c r="B93" s="12"/>
      <c r="C93" s="13"/>
      <c r="D93" s="14"/>
      <c r="E93" s="15"/>
      <c r="F93" s="16"/>
      <c r="G93" s="17"/>
      <c r="H93" s="11"/>
      <c r="I93" s="17"/>
      <c r="J93" s="17"/>
      <c r="K93" s="22"/>
      <c r="L93" s="22"/>
      <c r="M93" s="22"/>
      <c r="N93" s="22"/>
      <c r="O93" s="22"/>
      <c r="P93" s="22"/>
      <c r="Q93" s="22"/>
      <c r="R93" s="22"/>
      <c r="V93" s="51" t="s">
        <v>461</v>
      </c>
      <c r="W93" s="418">
        <v>0</v>
      </c>
      <c r="X93" s="419"/>
      <c r="Y93" s="418">
        <v>92</v>
      </c>
      <c r="Z93" s="419"/>
      <c r="AA93" s="53">
        <v>170</v>
      </c>
      <c r="AB93" s="53">
        <v>247</v>
      </c>
      <c r="AC93" s="53">
        <v>324</v>
      </c>
      <c r="AD93" s="53">
        <v>401</v>
      </c>
      <c r="AE93" s="53">
        <v>479</v>
      </c>
      <c r="AF93" s="53">
        <v>556</v>
      </c>
      <c r="AG93" s="53">
        <v>633</v>
      </c>
      <c r="AH93" s="53">
        <v>920</v>
      </c>
      <c r="AI93" s="54">
        <v>1735</v>
      </c>
      <c r="AJ93" s="77">
        <f t="shared" ref="AJ93:AJ99" si="49">AH93-AG93</f>
        <v>287</v>
      </c>
      <c r="AK93" s="74">
        <f t="shared" ref="AK93:AK99" si="50">AI93-AG93</f>
        <v>1102</v>
      </c>
    </row>
    <row r="94" spans="1:38" ht="17.25" thickBot="1" x14ac:dyDescent="0.3">
      <c r="A94" s="9"/>
      <c r="B94" s="12"/>
      <c r="C94" s="13"/>
      <c r="D94" s="14"/>
      <c r="E94" s="15"/>
      <c r="F94" s="16"/>
      <c r="G94" s="17"/>
      <c r="H94" s="11"/>
      <c r="I94" s="17"/>
      <c r="J94" s="17"/>
      <c r="K94" s="22"/>
      <c r="L94" s="22"/>
      <c r="M94" s="22"/>
      <c r="N94" s="22"/>
      <c r="O94" s="22"/>
      <c r="P94" s="22"/>
      <c r="Q94" s="22"/>
      <c r="R94" s="22"/>
      <c r="V94" s="51" t="s">
        <v>463</v>
      </c>
      <c r="W94" s="418">
        <v>0</v>
      </c>
      <c r="X94" s="419"/>
      <c r="Y94" s="418">
        <v>150</v>
      </c>
      <c r="Z94" s="419"/>
      <c r="AA94" s="53">
        <v>286</v>
      </c>
      <c r="AB94" s="53">
        <v>421</v>
      </c>
      <c r="AC94" s="53">
        <v>557</v>
      </c>
      <c r="AD94" s="53">
        <v>692</v>
      </c>
      <c r="AE94" s="53">
        <v>828</v>
      </c>
      <c r="AF94" s="53">
        <v>963</v>
      </c>
      <c r="AG94" s="58">
        <v>1099</v>
      </c>
      <c r="AH94" s="58">
        <v>1502</v>
      </c>
      <c r="AI94" s="54">
        <v>3131</v>
      </c>
      <c r="AJ94" s="77">
        <f t="shared" si="49"/>
        <v>403</v>
      </c>
      <c r="AK94" s="74">
        <f t="shared" si="50"/>
        <v>2032</v>
      </c>
      <c r="AL94" s="74"/>
    </row>
    <row r="95" spans="1:38" ht="17.25" thickBot="1" x14ac:dyDescent="0.3">
      <c r="A95" s="9"/>
      <c r="B95" s="12"/>
      <c r="C95" s="13"/>
      <c r="D95" s="14"/>
      <c r="E95" s="15"/>
      <c r="F95" s="16"/>
      <c r="G95" s="17"/>
      <c r="H95" s="11"/>
      <c r="I95" s="17"/>
      <c r="J95" s="17"/>
      <c r="K95" s="22"/>
      <c r="L95" s="22"/>
      <c r="M95" s="22"/>
      <c r="N95" s="22"/>
      <c r="V95" s="51" t="s">
        <v>465</v>
      </c>
      <c r="W95" s="418">
        <v>0</v>
      </c>
      <c r="X95" s="419"/>
      <c r="Y95" s="418">
        <v>267</v>
      </c>
      <c r="Z95" s="419"/>
      <c r="AA95" s="53">
        <v>519</v>
      </c>
      <c r="AB95" s="53">
        <v>770</v>
      </c>
      <c r="AC95" s="58">
        <v>1022</v>
      </c>
      <c r="AD95" s="58">
        <v>1274</v>
      </c>
      <c r="AE95" s="58">
        <v>1526</v>
      </c>
      <c r="AF95" s="58">
        <v>1778</v>
      </c>
      <c r="AG95" s="58">
        <v>2030</v>
      </c>
      <c r="AH95" s="58">
        <v>2433</v>
      </c>
      <c r="AI95" s="54">
        <v>4062</v>
      </c>
      <c r="AJ95" s="77">
        <f t="shared" si="49"/>
        <v>403</v>
      </c>
      <c r="AK95" s="74">
        <f t="shared" si="50"/>
        <v>2032</v>
      </c>
    </row>
    <row r="96" spans="1:38" ht="17.25" thickBot="1" x14ac:dyDescent="0.3">
      <c r="A96" s="9"/>
      <c r="B96" s="10"/>
      <c r="C96" s="13"/>
      <c r="D96" s="14"/>
      <c r="E96" s="20"/>
      <c r="F96" s="16"/>
      <c r="G96" s="21"/>
      <c r="H96" s="11"/>
      <c r="I96" s="17"/>
      <c r="J96" s="17"/>
      <c r="K96" s="22"/>
      <c r="L96" s="22"/>
      <c r="M96" s="22"/>
      <c r="N96" s="22"/>
      <c r="V96" s="51" t="s">
        <v>468</v>
      </c>
      <c r="W96" s="418">
        <v>0</v>
      </c>
      <c r="X96" s="419"/>
      <c r="Y96" s="418">
        <v>500</v>
      </c>
      <c r="Z96" s="419"/>
      <c r="AA96" s="53">
        <v>984</v>
      </c>
      <c r="AB96" s="58">
        <v>1469</v>
      </c>
      <c r="AC96" s="58">
        <v>1953</v>
      </c>
      <c r="AD96" s="58">
        <v>2438</v>
      </c>
      <c r="AE96" s="58">
        <v>2923</v>
      </c>
      <c r="AF96" s="58">
        <v>3407</v>
      </c>
      <c r="AG96" s="58">
        <v>3892</v>
      </c>
      <c r="AH96" s="58">
        <v>4295</v>
      </c>
      <c r="AI96" s="54">
        <v>5924</v>
      </c>
      <c r="AJ96" s="77">
        <f t="shared" si="49"/>
        <v>403</v>
      </c>
      <c r="AK96" s="74">
        <f t="shared" si="50"/>
        <v>2032</v>
      </c>
    </row>
    <row r="97" spans="1:37" ht="17.25" thickBot="1" x14ac:dyDescent="0.3">
      <c r="A97" s="22"/>
      <c r="B97" s="10"/>
      <c r="C97" s="13"/>
      <c r="D97" s="14"/>
      <c r="E97" s="15"/>
      <c r="F97" s="16"/>
      <c r="G97" s="17"/>
      <c r="H97" s="11"/>
      <c r="I97" s="17"/>
      <c r="J97" s="69"/>
      <c r="K97" s="22"/>
      <c r="L97" s="22"/>
      <c r="M97" s="22"/>
      <c r="N97" s="22"/>
      <c r="V97" s="51" t="s">
        <v>471</v>
      </c>
      <c r="W97" s="418">
        <v>0</v>
      </c>
      <c r="X97" s="419"/>
      <c r="Y97" s="418">
        <v>965</v>
      </c>
      <c r="Z97" s="419"/>
      <c r="AA97" s="58">
        <v>1915</v>
      </c>
      <c r="AB97" s="58">
        <v>2865</v>
      </c>
      <c r="AC97" s="58">
        <v>3815</v>
      </c>
      <c r="AD97" s="58">
        <v>4765</v>
      </c>
      <c r="AE97" s="58">
        <v>5715</v>
      </c>
      <c r="AF97" s="58">
        <v>6665</v>
      </c>
      <c r="AG97" s="58">
        <v>7615</v>
      </c>
      <c r="AH97" s="58">
        <v>8018</v>
      </c>
      <c r="AI97" s="54">
        <v>9648</v>
      </c>
      <c r="AJ97" s="77">
        <f t="shared" si="49"/>
        <v>403</v>
      </c>
      <c r="AK97" s="74">
        <f t="shared" si="50"/>
        <v>2033</v>
      </c>
    </row>
    <row r="98" spans="1:37" ht="17.25" thickBot="1" x14ac:dyDescent="0.3">
      <c r="A98" s="9"/>
      <c r="B98" s="10"/>
      <c r="C98" s="13"/>
      <c r="D98" s="14"/>
      <c r="E98" s="20"/>
      <c r="F98" s="16"/>
      <c r="G98" s="21"/>
      <c r="H98" s="21"/>
      <c r="I98" s="17"/>
      <c r="J98" s="17"/>
      <c r="K98" s="22"/>
      <c r="L98" s="22"/>
      <c r="M98" s="22"/>
      <c r="N98" s="22"/>
      <c r="V98" s="51" t="s">
        <v>475</v>
      </c>
      <c r="W98" s="418">
        <v>0</v>
      </c>
      <c r="X98" s="419"/>
      <c r="Y98" s="423">
        <v>1896</v>
      </c>
      <c r="Z98" s="424"/>
      <c r="AA98" s="58">
        <v>3777</v>
      </c>
      <c r="AB98" s="58">
        <v>5658</v>
      </c>
      <c r="AC98" s="58">
        <v>7539</v>
      </c>
      <c r="AD98" s="58">
        <v>9420</v>
      </c>
      <c r="AE98" s="58">
        <v>11301</v>
      </c>
      <c r="AF98" s="58">
        <v>13182</v>
      </c>
      <c r="AG98" s="58">
        <v>15063</v>
      </c>
      <c r="AH98" s="58">
        <v>15466</v>
      </c>
      <c r="AI98" s="54">
        <v>17095</v>
      </c>
      <c r="AJ98" s="77">
        <f t="shared" si="49"/>
        <v>403</v>
      </c>
      <c r="AK98" s="74">
        <f t="shared" si="50"/>
        <v>2032</v>
      </c>
    </row>
    <row r="99" spans="1:37" ht="17.25" thickBot="1" x14ac:dyDescent="0.3">
      <c r="A99" s="9"/>
      <c r="B99" s="10"/>
      <c r="C99" s="13"/>
      <c r="D99" s="14"/>
      <c r="E99" s="20"/>
      <c r="F99" s="16"/>
      <c r="G99" s="21"/>
      <c r="H99" s="21"/>
      <c r="I99" s="17"/>
      <c r="J99" s="22"/>
      <c r="K99" s="22"/>
      <c r="L99" s="22"/>
      <c r="M99" s="22"/>
      <c r="N99" s="22"/>
      <c r="V99" s="51" t="s">
        <v>477</v>
      </c>
      <c r="W99" s="418">
        <v>0</v>
      </c>
      <c r="X99" s="419"/>
      <c r="Y99" s="423">
        <v>29823</v>
      </c>
      <c r="Z99" s="424"/>
      <c r="AA99" s="58">
        <v>59632</v>
      </c>
      <c r="AB99" s="58">
        <v>89440</v>
      </c>
      <c r="AC99" s="58">
        <v>119248</v>
      </c>
      <c r="AD99" s="58">
        <v>149056</v>
      </c>
      <c r="AE99" s="58">
        <v>178864</v>
      </c>
      <c r="AF99" s="58">
        <v>208673</v>
      </c>
      <c r="AG99" s="58">
        <v>238481</v>
      </c>
      <c r="AH99" s="58">
        <v>242375</v>
      </c>
      <c r="AI99" s="54">
        <v>268440</v>
      </c>
      <c r="AJ99" s="77">
        <f t="shared" si="49"/>
        <v>3894</v>
      </c>
      <c r="AK99" s="74">
        <f t="shared" si="50"/>
        <v>29959</v>
      </c>
    </row>
    <row r="100" spans="1:37" ht="15.75" thickBot="1" x14ac:dyDescent="0.3">
      <c r="A100" s="22"/>
      <c r="B100" s="10"/>
      <c r="C100" s="13"/>
      <c r="D100" s="14"/>
      <c r="E100" s="20"/>
      <c r="F100" s="16"/>
      <c r="G100" s="17"/>
      <c r="H100" s="21"/>
      <c r="I100" s="17"/>
      <c r="J100" s="22"/>
      <c r="K100" s="22"/>
      <c r="L100" s="22"/>
      <c r="M100" s="22"/>
      <c r="N100" s="22"/>
      <c r="O100" s="22"/>
      <c r="P100" s="22"/>
      <c r="Q100" s="22"/>
      <c r="R100" s="22"/>
    </row>
    <row r="101" spans="1:37" x14ac:dyDescent="0.25">
      <c r="A101" s="9"/>
      <c r="B101" s="10"/>
      <c r="C101" s="13"/>
      <c r="D101" s="14"/>
      <c r="E101" s="20"/>
      <c r="F101" s="16"/>
      <c r="G101" s="21"/>
      <c r="H101" s="21"/>
      <c r="I101" s="17"/>
      <c r="J101" s="17"/>
      <c r="K101" s="22"/>
      <c r="L101" s="22"/>
      <c r="M101" s="22"/>
      <c r="N101" s="22"/>
      <c r="O101" s="39"/>
      <c r="P101" s="65"/>
      <c r="Q101" s="40">
        <f>(2^((7+(5*P20)+(P22)))/(3.3*10^6))</f>
        <v>3.1030303030303032E-4</v>
      </c>
      <c r="R101" s="41" t="s">
        <v>570</v>
      </c>
    </row>
    <row r="102" spans="1:37" x14ac:dyDescent="0.25">
      <c r="A102" s="9"/>
      <c r="B102" s="10"/>
      <c r="C102" s="13"/>
      <c r="D102" s="14"/>
      <c r="E102" s="20"/>
      <c r="F102" s="16"/>
      <c r="G102" s="21"/>
      <c r="H102" s="21"/>
      <c r="I102" s="17"/>
      <c r="J102" s="17"/>
      <c r="K102" s="22"/>
      <c r="L102" s="22"/>
      <c r="M102" s="22"/>
      <c r="N102" s="22"/>
      <c r="O102" s="42" t="s">
        <v>470</v>
      </c>
      <c r="P102" s="22"/>
      <c r="Q102" s="50">
        <f>($P$23*Q101)*6+VLOOKUP($P$18,$V$92:$AI$99,12,FALSE)*10^-6+VLOOKUP($P$18,$V$92:$AK$99,15+P19,FALSE)*10^-6</f>
        <v>1.5019999999999999E-3</v>
      </c>
      <c r="R102" s="64"/>
    </row>
    <row r="103" spans="1:37" ht="15.75" thickBot="1" x14ac:dyDescent="0.3">
      <c r="A103" s="22"/>
      <c r="B103" s="379"/>
      <c r="C103" s="379"/>
      <c r="D103" s="379"/>
      <c r="E103" s="379"/>
      <c r="F103" s="22"/>
      <c r="G103" s="22"/>
      <c r="H103" s="22"/>
      <c r="I103" s="22"/>
      <c r="J103" s="22"/>
      <c r="K103" s="22"/>
      <c r="L103" s="22"/>
      <c r="M103" s="22"/>
      <c r="N103" s="22"/>
      <c r="O103" s="66" t="s">
        <v>571</v>
      </c>
      <c r="P103" s="44">
        <v>3.9844242424242424E-3</v>
      </c>
      <c r="Q103" s="67" t="s">
        <v>572</v>
      </c>
      <c r="R103" s="68"/>
    </row>
    <row r="104" spans="1:37" x14ac:dyDescent="0.25">
      <c r="A104" s="22"/>
      <c r="B104" s="379"/>
      <c r="C104" s="379"/>
      <c r="D104" s="379"/>
      <c r="E104" s="379"/>
      <c r="F104" s="22"/>
      <c r="G104" s="22"/>
      <c r="H104" s="22"/>
      <c r="I104" s="22"/>
      <c r="J104" s="22"/>
      <c r="K104" s="22"/>
      <c r="L104" s="22"/>
      <c r="M104" s="22"/>
      <c r="N104" s="22"/>
      <c r="O104" s="22"/>
      <c r="P104" s="22"/>
      <c r="Q104" s="50"/>
      <c r="R104" s="22"/>
    </row>
    <row r="105" spans="1:37" ht="16.5" thickBot="1" x14ac:dyDescent="0.3">
      <c r="A105" s="22"/>
      <c r="B105" s="379"/>
      <c r="C105" s="379"/>
      <c r="D105" s="379"/>
      <c r="E105" s="379"/>
      <c r="F105" s="22"/>
      <c r="G105" s="22"/>
      <c r="H105" s="22"/>
      <c r="I105" s="22"/>
      <c r="J105" s="22"/>
      <c r="K105" s="22"/>
      <c r="L105" s="22"/>
      <c r="M105" s="22"/>
      <c r="N105" s="22"/>
      <c r="O105" s="22"/>
      <c r="P105" s="22"/>
      <c r="Q105" s="22"/>
      <c r="R105" s="22"/>
      <c r="Y105" s="32" t="s">
        <v>573</v>
      </c>
    </row>
    <row r="106" spans="1:37" ht="16.5" thickBot="1" x14ac:dyDescent="0.3">
      <c r="A106" s="22"/>
      <c r="B106" s="379"/>
      <c r="C106" s="379"/>
      <c r="D106" s="379"/>
      <c r="E106" s="379"/>
      <c r="F106" s="22"/>
      <c r="G106" s="22"/>
      <c r="H106" s="22"/>
      <c r="I106" s="22"/>
      <c r="J106" s="22"/>
      <c r="K106" s="22"/>
      <c r="L106" s="22"/>
      <c r="M106" s="22"/>
      <c r="N106" s="22"/>
      <c r="O106" s="22" t="s">
        <v>574</v>
      </c>
      <c r="P106" s="44">
        <f>VLOOKUP($P$18,$V$107:$AC$115,7,FALSE)*10^-6</f>
        <v>1.5809999999999999E-3</v>
      </c>
      <c r="Q106" s="22"/>
      <c r="R106" s="22"/>
      <c r="V106" s="378"/>
      <c r="W106" s="413" t="s">
        <v>445</v>
      </c>
      <c r="X106" s="414"/>
      <c r="Y106" s="414"/>
      <c r="Z106" s="414"/>
      <c r="AA106" s="414"/>
      <c r="AB106" s="415"/>
      <c r="AC106" s="377"/>
    </row>
    <row r="107" spans="1:37" ht="27" thickBot="1" x14ac:dyDescent="0.3">
      <c r="A107" s="22"/>
      <c r="B107" s="379"/>
      <c r="C107" s="379"/>
      <c r="D107" s="379"/>
      <c r="E107" s="379"/>
      <c r="F107" s="22"/>
      <c r="G107" s="22"/>
      <c r="H107" s="22"/>
      <c r="I107" s="22"/>
      <c r="J107" s="22"/>
      <c r="K107" s="22"/>
      <c r="L107" s="22"/>
      <c r="M107" s="22"/>
      <c r="N107" s="22"/>
      <c r="O107" s="22"/>
      <c r="P107" s="22"/>
      <c r="Q107" s="22"/>
      <c r="R107" s="22"/>
      <c r="V107" s="47" t="s">
        <v>449</v>
      </c>
      <c r="W107" s="48" t="s">
        <v>487</v>
      </c>
      <c r="X107" s="48" t="s">
        <v>450</v>
      </c>
      <c r="Y107" s="48" t="s">
        <v>451</v>
      </c>
      <c r="Z107" s="48" t="s">
        <v>558</v>
      </c>
      <c r="AA107" s="48" t="s">
        <v>559</v>
      </c>
      <c r="AB107" s="48" t="s">
        <v>561</v>
      </c>
      <c r="AC107" s="49" t="s">
        <v>575</v>
      </c>
    </row>
    <row r="108" spans="1:37" ht="17.25" thickBot="1" x14ac:dyDescent="0.3">
      <c r="A108" s="22"/>
      <c r="B108" s="379"/>
      <c r="C108" s="379"/>
      <c r="D108" s="379"/>
      <c r="E108" s="379"/>
      <c r="F108" s="22"/>
      <c r="G108" s="22"/>
      <c r="H108" s="22"/>
      <c r="I108" s="22"/>
      <c r="J108" s="22"/>
      <c r="K108" s="22"/>
      <c r="L108" s="22"/>
      <c r="M108" s="22"/>
      <c r="N108" s="22"/>
      <c r="O108" s="22"/>
      <c r="P108" s="22"/>
      <c r="Q108" s="22"/>
      <c r="R108" s="22"/>
      <c r="V108" s="51" t="s">
        <v>458</v>
      </c>
      <c r="W108" s="53">
        <v>0</v>
      </c>
      <c r="X108" s="53">
        <v>63</v>
      </c>
      <c r="Y108" s="53">
        <v>112</v>
      </c>
      <c r="Z108" s="53">
        <v>160</v>
      </c>
      <c r="AA108" s="53">
        <v>208</v>
      </c>
      <c r="AB108" s="53">
        <v>767</v>
      </c>
      <c r="AC108" s="61">
        <v>145</v>
      </c>
    </row>
    <row r="109" spans="1:37" ht="17.25" thickBot="1" x14ac:dyDescent="0.3">
      <c r="A109" s="22"/>
      <c r="B109" s="379"/>
      <c r="C109" s="379"/>
      <c r="D109" s="379"/>
      <c r="E109" s="379"/>
      <c r="F109" s="22"/>
      <c r="G109" s="22"/>
      <c r="H109" s="22"/>
      <c r="I109" s="22"/>
      <c r="J109" s="22"/>
      <c r="K109" s="22"/>
      <c r="L109" s="22"/>
      <c r="M109" s="22"/>
      <c r="N109" s="22"/>
      <c r="O109" s="22"/>
      <c r="P109" s="22"/>
      <c r="Q109" s="22"/>
      <c r="R109" s="22"/>
      <c r="V109" s="51" t="s">
        <v>461</v>
      </c>
      <c r="W109" s="53">
        <v>0</v>
      </c>
      <c r="X109" s="53">
        <v>93</v>
      </c>
      <c r="Y109" s="53">
        <v>170</v>
      </c>
      <c r="Z109" s="53">
        <v>247</v>
      </c>
      <c r="AA109" s="53">
        <v>324</v>
      </c>
      <c r="AB109" s="53">
        <v>883</v>
      </c>
      <c r="AC109" s="61">
        <v>232</v>
      </c>
    </row>
    <row r="110" spans="1:37" ht="17.25" thickBot="1" x14ac:dyDescent="0.3">
      <c r="A110" s="22"/>
      <c r="B110" s="379"/>
      <c r="C110" s="379"/>
      <c r="D110" s="379"/>
      <c r="E110" s="379"/>
      <c r="F110" s="22"/>
      <c r="G110" s="22"/>
      <c r="H110" s="22"/>
      <c r="I110" s="22"/>
      <c r="J110" s="22"/>
      <c r="K110" s="22"/>
      <c r="L110" s="22"/>
      <c r="M110" s="22"/>
      <c r="N110" s="22"/>
      <c r="O110" s="22"/>
      <c r="P110" s="22"/>
      <c r="Q110" s="22"/>
      <c r="R110" s="22"/>
      <c r="V110" s="51" t="s">
        <v>463</v>
      </c>
      <c r="W110" s="53">
        <v>0</v>
      </c>
      <c r="X110" s="53">
        <v>150</v>
      </c>
      <c r="Y110" s="53">
        <v>286</v>
      </c>
      <c r="Z110" s="53">
        <v>421</v>
      </c>
      <c r="AA110" s="53">
        <v>557</v>
      </c>
      <c r="AB110" s="58">
        <v>1581</v>
      </c>
      <c r="AC110" s="61">
        <v>406</v>
      </c>
    </row>
    <row r="111" spans="1:37" ht="17.25" thickBot="1" x14ac:dyDescent="0.3">
      <c r="A111" s="22"/>
      <c r="B111" s="379"/>
      <c r="C111" s="379"/>
      <c r="D111" s="379"/>
      <c r="E111" s="379"/>
      <c r="F111" s="22"/>
      <c r="G111" s="22"/>
      <c r="H111" s="22"/>
      <c r="I111" s="22"/>
      <c r="J111" s="22"/>
      <c r="K111" s="22"/>
      <c r="L111" s="22"/>
      <c r="M111" s="22"/>
      <c r="N111" s="22"/>
      <c r="O111" s="22"/>
      <c r="P111" s="22"/>
      <c r="Q111" s="22"/>
      <c r="R111" s="22"/>
      <c r="V111" s="51" t="s">
        <v>465</v>
      </c>
      <c r="W111" s="53">
        <v>0</v>
      </c>
      <c r="X111" s="53">
        <v>267</v>
      </c>
      <c r="Y111" s="53">
        <v>519</v>
      </c>
      <c r="Z111" s="53">
        <v>771</v>
      </c>
      <c r="AA111" s="58">
        <v>1023</v>
      </c>
      <c r="AB111" s="58">
        <v>2047</v>
      </c>
      <c r="AC111" s="61">
        <v>755</v>
      </c>
    </row>
    <row r="112" spans="1:37" ht="17.25" thickBot="1" x14ac:dyDescent="0.3">
      <c r="A112" s="22"/>
      <c r="B112" s="379"/>
      <c r="C112" s="379"/>
      <c r="D112" s="379"/>
      <c r="E112" s="379"/>
      <c r="F112" s="22"/>
      <c r="G112" s="22"/>
      <c r="H112" s="22"/>
      <c r="I112" s="22"/>
      <c r="J112" s="22"/>
      <c r="K112" s="22"/>
      <c r="L112" s="22"/>
      <c r="M112" s="22"/>
      <c r="N112" s="22"/>
      <c r="O112" s="22"/>
      <c r="P112" s="22"/>
      <c r="Q112" s="22"/>
      <c r="R112" s="22"/>
      <c r="V112" s="51" t="s">
        <v>468</v>
      </c>
      <c r="W112" s="53">
        <v>0</v>
      </c>
      <c r="X112" s="53">
        <v>500</v>
      </c>
      <c r="Y112" s="53">
        <v>984</v>
      </c>
      <c r="Z112" s="58">
        <v>1469</v>
      </c>
      <c r="AA112" s="58">
        <v>1953</v>
      </c>
      <c r="AB112" s="58">
        <v>2978</v>
      </c>
      <c r="AC112" s="54">
        <v>1454</v>
      </c>
    </row>
    <row r="113" spans="1:29" ht="17.25" thickBot="1" x14ac:dyDescent="0.3">
      <c r="A113" s="22"/>
      <c r="B113" s="379"/>
      <c r="C113" s="379"/>
      <c r="D113" s="379"/>
      <c r="E113" s="379"/>
      <c r="F113" s="22"/>
      <c r="G113" s="22"/>
      <c r="H113" s="22"/>
      <c r="I113" s="22"/>
      <c r="J113" s="22"/>
      <c r="K113" s="22"/>
      <c r="L113" s="22"/>
      <c r="M113" s="22"/>
      <c r="N113" s="22"/>
      <c r="O113" s="22"/>
      <c r="P113" s="22"/>
      <c r="Q113" s="22"/>
      <c r="R113" s="22"/>
      <c r="V113" s="51" t="s">
        <v>471</v>
      </c>
      <c r="W113" s="53">
        <v>0</v>
      </c>
      <c r="X113" s="53">
        <v>965</v>
      </c>
      <c r="Y113" s="58">
        <v>1915</v>
      </c>
      <c r="Z113" s="58">
        <v>2865</v>
      </c>
      <c r="AA113" s="58">
        <v>3815</v>
      </c>
      <c r="AB113" s="58">
        <v>4840</v>
      </c>
      <c r="AC113" s="54">
        <v>2850</v>
      </c>
    </row>
    <row r="114" spans="1:29" ht="17.25" thickBot="1" x14ac:dyDescent="0.3">
      <c r="A114" s="22"/>
      <c r="B114" s="379"/>
      <c r="C114" s="379"/>
      <c r="D114" s="379"/>
      <c r="E114" s="379"/>
      <c r="F114" s="22"/>
      <c r="G114" s="22"/>
      <c r="H114" s="22"/>
      <c r="I114" s="22"/>
      <c r="J114" s="22"/>
      <c r="K114" s="22"/>
      <c r="L114" s="22"/>
      <c r="M114" s="22"/>
      <c r="N114" s="22"/>
      <c r="O114" s="22"/>
      <c r="P114" s="22"/>
      <c r="Q114" s="22"/>
      <c r="R114" s="22"/>
      <c r="V114" s="51" t="s">
        <v>475</v>
      </c>
      <c r="W114" s="53">
        <v>0</v>
      </c>
      <c r="X114" s="58">
        <v>1896</v>
      </c>
      <c r="Y114" s="58">
        <v>3777</v>
      </c>
      <c r="Z114" s="58">
        <v>5658</v>
      </c>
      <c r="AA114" s="58">
        <v>7539</v>
      </c>
      <c r="AB114" s="58">
        <v>8563</v>
      </c>
      <c r="AC114" s="54">
        <v>5643</v>
      </c>
    </row>
    <row r="115" spans="1:29" ht="17.25" thickBot="1" x14ac:dyDescent="0.3">
      <c r="A115" s="22"/>
      <c r="B115" s="379"/>
      <c r="C115" s="379"/>
      <c r="D115" s="379"/>
      <c r="E115" s="379"/>
      <c r="F115" s="22"/>
      <c r="G115" s="22"/>
      <c r="H115" s="22"/>
      <c r="I115" s="22"/>
      <c r="J115" s="22"/>
      <c r="K115" s="22"/>
      <c r="L115" s="22"/>
      <c r="M115" s="22"/>
      <c r="N115" s="22"/>
      <c r="O115" s="22"/>
      <c r="P115" s="22"/>
      <c r="Q115" s="22"/>
      <c r="R115" s="22"/>
      <c r="V115" s="51" t="s">
        <v>477</v>
      </c>
      <c r="W115" s="53">
        <v>0</v>
      </c>
      <c r="X115" s="58">
        <v>29823</v>
      </c>
      <c r="Y115" s="58">
        <v>59631</v>
      </c>
      <c r="Z115" s="58">
        <v>89440</v>
      </c>
      <c r="AA115" s="58">
        <v>119248</v>
      </c>
      <c r="AB115" s="58">
        <v>134236</v>
      </c>
      <c r="AC115" s="54">
        <v>89425</v>
      </c>
    </row>
    <row r="116" spans="1:29" x14ac:dyDescent="0.25">
      <c r="A116" s="22"/>
      <c r="B116" s="379"/>
      <c r="C116" s="379"/>
      <c r="D116" s="379"/>
      <c r="E116" s="379"/>
      <c r="F116" s="22"/>
      <c r="G116" s="22"/>
      <c r="H116" s="22"/>
      <c r="I116" s="22"/>
      <c r="J116" s="22"/>
      <c r="K116" s="22"/>
      <c r="L116" s="22"/>
      <c r="M116" s="22"/>
      <c r="N116" s="22"/>
      <c r="O116" s="22"/>
      <c r="P116" s="22"/>
      <c r="Q116" s="22"/>
      <c r="R116" s="22"/>
    </row>
    <row r="117" spans="1:29" x14ac:dyDescent="0.25">
      <c r="A117" s="22"/>
      <c r="B117" s="379"/>
      <c r="C117" s="379"/>
      <c r="D117" s="379"/>
      <c r="E117" s="379"/>
      <c r="F117" s="22"/>
      <c r="G117" s="22"/>
      <c r="H117" s="22"/>
      <c r="I117" s="22"/>
      <c r="J117" s="22"/>
      <c r="K117" s="22"/>
      <c r="L117" s="22"/>
      <c r="M117" s="22"/>
      <c r="N117" s="22"/>
      <c r="O117" s="22"/>
      <c r="P117" s="22"/>
      <c r="Q117" s="22"/>
      <c r="R117" s="22"/>
    </row>
    <row r="118" spans="1:29" x14ac:dyDescent="0.25">
      <c r="A118" s="22"/>
      <c r="B118" s="379"/>
      <c r="C118" s="379"/>
      <c r="D118" s="379"/>
      <c r="E118" s="379"/>
      <c r="F118" s="22"/>
      <c r="G118" s="22"/>
      <c r="H118" s="22"/>
      <c r="I118" s="22"/>
      <c r="J118" s="22"/>
      <c r="K118" s="22"/>
      <c r="L118" s="22"/>
      <c r="M118" s="22"/>
      <c r="N118" s="22"/>
      <c r="O118" s="22"/>
      <c r="P118" s="22"/>
      <c r="Q118" s="22"/>
      <c r="R118" s="22"/>
    </row>
    <row r="119" spans="1:29" ht="16.5" thickBot="1" x14ac:dyDescent="0.3">
      <c r="A119" s="22"/>
      <c r="B119" s="379"/>
      <c r="C119" s="379"/>
      <c r="D119" s="379"/>
      <c r="E119" s="379"/>
      <c r="F119" s="22"/>
      <c r="G119" s="22"/>
      <c r="H119" s="22"/>
      <c r="I119" s="22"/>
      <c r="J119" s="22"/>
      <c r="K119" s="22"/>
      <c r="L119" s="22"/>
      <c r="M119" s="22"/>
      <c r="N119" s="22"/>
      <c r="O119" s="22" t="s">
        <v>576</v>
      </c>
      <c r="P119" s="44">
        <f>593*10^-6</f>
        <v>5.9299999999999999E-4</v>
      </c>
      <c r="Q119" s="22"/>
      <c r="R119" s="22"/>
      <c r="V119" s="32" t="s">
        <v>577</v>
      </c>
    </row>
    <row r="120" spans="1:29" x14ac:dyDescent="0.25">
      <c r="A120" s="22"/>
      <c r="B120" s="379"/>
      <c r="C120" s="379"/>
      <c r="D120" s="379"/>
      <c r="E120" s="379"/>
      <c r="F120" s="22"/>
      <c r="G120" s="22"/>
      <c r="H120" s="22"/>
      <c r="I120" s="22"/>
      <c r="J120" s="22"/>
      <c r="K120" s="22"/>
      <c r="L120" s="22"/>
      <c r="M120" s="22"/>
      <c r="N120" s="22"/>
      <c r="O120" s="22"/>
      <c r="P120" s="22"/>
      <c r="Q120" s="22"/>
      <c r="R120" s="22"/>
    </row>
    <row r="121" spans="1:29" ht="16.5" thickBot="1" x14ac:dyDescent="0.3">
      <c r="A121" s="22"/>
      <c r="B121" s="379"/>
      <c r="C121" s="379"/>
      <c r="D121" s="379"/>
      <c r="E121" s="379"/>
      <c r="F121" s="22"/>
      <c r="G121" s="22"/>
      <c r="H121" s="22"/>
      <c r="I121" s="22"/>
      <c r="J121" s="22"/>
      <c r="K121" s="22"/>
      <c r="L121" s="22"/>
      <c r="M121" s="22"/>
      <c r="N121" s="22"/>
      <c r="O121" s="22"/>
      <c r="P121" s="22"/>
      <c r="Q121" s="22"/>
      <c r="R121" s="22"/>
      <c r="W121" s="32" t="s">
        <v>578</v>
      </c>
    </row>
    <row r="122" spans="1:29" ht="16.5" thickBot="1" x14ac:dyDescent="0.3">
      <c r="A122" s="22"/>
      <c r="B122" s="379"/>
      <c r="C122" s="379"/>
      <c r="D122" s="379"/>
      <c r="E122" s="379"/>
      <c r="F122" s="22"/>
      <c r="G122" s="22"/>
      <c r="H122" s="22"/>
      <c r="I122" s="22"/>
      <c r="J122" s="22"/>
      <c r="K122" s="22"/>
      <c r="L122" s="22"/>
      <c r="M122" s="22"/>
      <c r="N122" s="22"/>
      <c r="O122" s="22" t="s">
        <v>533</v>
      </c>
      <c r="P122" s="44">
        <f>($P$23*$Q$31)*2+VLOOKUP($P$18,$V$124:$Y$131,4,FALSE)*10^-6</f>
        <v>4.1999999999999996E-4</v>
      </c>
      <c r="Q122" s="22" t="s">
        <v>579</v>
      </c>
      <c r="R122" s="22"/>
      <c r="V122" s="378"/>
      <c r="W122" s="413" t="s">
        <v>445</v>
      </c>
      <c r="X122" s="414"/>
      <c r="Y122" s="414"/>
    </row>
    <row r="123" spans="1:29" ht="16.5" thickBot="1" x14ac:dyDescent="0.3">
      <c r="A123" s="22"/>
      <c r="B123" s="379"/>
      <c r="C123" s="379"/>
      <c r="D123" s="379"/>
      <c r="E123" s="379"/>
      <c r="F123" s="22"/>
      <c r="G123" s="22"/>
      <c r="H123" s="22"/>
      <c r="I123" s="22"/>
      <c r="J123" s="22"/>
      <c r="K123" s="22"/>
      <c r="L123" s="22"/>
      <c r="M123" s="22"/>
      <c r="N123" s="22"/>
      <c r="O123" s="22"/>
      <c r="P123" s="22"/>
      <c r="Q123" s="22"/>
      <c r="R123" s="22"/>
      <c r="V123" s="47" t="s">
        <v>449</v>
      </c>
      <c r="W123" s="48" t="s">
        <v>487</v>
      </c>
      <c r="X123" s="48" t="s">
        <v>450</v>
      </c>
      <c r="Y123" s="49" t="s">
        <v>490</v>
      </c>
    </row>
    <row r="124" spans="1:29" ht="17.25" thickBot="1" x14ac:dyDescent="0.3">
      <c r="A124" s="22"/>
      <c r="B124" s="379"/>
      <c r="C124" s="379"/>
      <c r="D124" s="379"/>
      <c r="E124" s="379"/>
      <c r="F124" s="22"/>
      <c r="G124" s="22"/>
      <c r="H124" s="22"/>
      <c r="I124" s="22"/>
      <c r="J124" s="22"/>
      <c r="K124" s="22"/>
      <c r="L124" s="22"/>
      <c r="M124" s="22"/>
      <c r="N124" s="22"/>
      <c r="O124" s="22"/>
      <c r="P124" s="22"/>
      <c r="Q124" s="22"/>
      <c r="R124" s="22"/>
      <c r="V124" s="51" t="s">
        <v>458</v>
      </c>
      <c r="W124" s="55">
        <v>0</v>
      </c>
      <c r="X124" s="56">
        <v>63</v>
      </c>
      <c r="Y124" s="57">
        <v>217</v>
      </c>
    </row>
    <row r="125" spans="1:29" ht="17.25" thickBot="1" x14ac:dyDescent="0.3">
      <c r="A125" s="22"/>
      <c r="B125" s="379"/>
      <c r="C125" s="379"/>
      <c r="D125" s="379"/>
      <c r="E125" s="379"/>
      <c r="F125" s="22"/>
      <c r="G125" s="22"/>
      <c r="H125" s="22"/>
      <c r="I125" s="22"/>
      <c r="J125" s="22"/>
      <c r="K125" s="22"/>
      <c r="L125" s="22"/>
      <c r="M125" s="22"/>
      <c r="N125" s="22"/>
      <c r="O125" s="22"/>
      <c r="P125" s="22"/>
      <c r="Q125" s="22"/>
      <c r="R125" s="22"/>
      <c r="V125" s="51" t="s">
        <v>461</v>
      </c>
      <c r="W125" s="55">
        <v>0</v>
      </c>
      <c r="X125" s="56">
        <v>92</v>
      </c>
      <c r="Y125" s="57">
        <v>246</v>
      </c>
    </row>
    <row r="126" spans="1:29" ht="17.25" thickBot="1" x14ac:dyDescent="0.3">
      <c r="A126" s="22"/>
      <c r="B126" s="379"/>
      <c r="C126" s="379"/>
      <c r="D126" s="379"/>
      <c r="E126" s="379"/>
      <c r="F126" s="22"/>
      <c r="G126" s="22"/>
      <c r="H126" s="22"/>
      <c r="I126" s="22"/>
      <c r="J126" s="22"/>
      <c r="K126" s="22"/>
      <c r="L126" s="22"/>
      <c r="M126" s="22"/>
      <c r="N126" s="22"/>
      <c r="O126" s="22"/>
      <c r="P126" s="22"/>
      <c r="Q126" s="22"/>
      <c r="R126" s="22"/>
      <c r="V126" s="51" t="s">
        <v>463</v>
      </c>
      <c r="W126" s="55">
        <v>0</v>
      </c>
      <c r="X126" s="56">
        <v>150</v>
      </c>
      <c r="Y126" s="57">
        <v>420</v>
      </c>
    </row>
    <row r="127" spans="1:29" ht="17.25" thickBot="1" x14ac:dyDescent="0.3">
      <c r="A127" s="22"/>
      <c r="B127" s="379"/>
      <c r="C127" s="379"/>
      <c r="D127" s="379"/>
      <c r="E127" s="379"/>
      <c r="F127" s="22"/>
      <c r="G127" s="22"/>
      <c r="H127" s="22"/>
      <c r="I127" s="22"/>
      <c r="J127" s="22"/>
      <c r="K127" s="22"/>
      <c r="L127" s="22"/>
      <c r="M127" s="22"/>
      <c r="N127" s="22"/>
      <c r="O127" s="22"/>
      <c r="P127" s="22"/>
      <c r="Q127" s="22"/>
      <c r="R127" s="22"/>
      <c r="V127" s="51" t="s">
        <v>465</v>
      </c>
      <c r="W127" s="55">
        <v>0</v>
      </c>
      <c r="X127" s="56">
        <v>267</v>
      </c>
      <c r="Y127" s="57">
        <v>537</v>
      </c>
    </row>
    <row r="128" spans="1:29" ht="17.25" thickBot="1" x14ac:dyDescent="0.3">
      <c r="A128" s="22"/>
      <c r="B128" s="379"/>
      <c r="C128" s="379"/>
      <c r="D128" s="379"/>
      <c r="E128" s="379"/>
      <c r="F128" s="22"/>
      <c r="G128" s="22"/>
      <c r="H128" s="22"/>
      <c r="I128" s="22"/>
      <c r="J128" s="22"/>
      <c r="K128" s="22"/>
      <c r="L128" s="22"/>
      <c r="M128" s="22"/>
      <c r="N128" s="22"/>
      <c r="O128" s="22"/>
      <c r="P128" s="22"/>
      <c r="Q128" s="22"/>
      <c r="R128" s="22"/>
      <c r="V128" s="51" t="s">
        <v>468</v>
      </c>
      <c r="W128" s="55">
        <v>0</v>
      </c>
      <c r="X128" s="56">
        <v>500</v>
      </c>
      <c r="Y128" s="57">
        <v>770</v>
      </c>
    </row>
    <row r="129" spans="1:36" ht="17.25" thickBot="1" x14ac:dyDescent="0.3">
      <c r="A129" s="22"/>
      <c r="B129" s="379"/>
      <c r="C129" s="379"/>
      <c r="D129" s="379"/>
      <c r="E129" s="379"/>
      <c r="F129" s="22"/>
      <c r="G129" s="22"/>
      <c r="H129" s="22"/>
      <c r="I129" s="22"/>
      <c r="J129" s="22"/>
      <c r="K129" s="22"/>
      <c r="L129" s="22"/>
      <c r="M129" s="22"/>
      <c r="N129" s="22"/>
      <c r="O129" s="22"/>
      <c r="P129" s="22"/>
      <c r="Q129" s="22"/>
      <c r="R129" s="22"/>
      <c r="V129" s="51" t="s">
        <v>471</v>
      </c>
      <c r="W129" s="55">
        <v>0</v>
      </c>
      <c r="X129" s="56">
        <v>965</v>
      </c>
      <c r="Y129" s="59">
        <v>1235</v>
      </c>
    </row>
    <row r="130" spans="1:36" ht="17.25" thickBot="1" x14ac:dyDescent="0.3">
      <c r="A130" s="22"/>
      <c r="B130" s="379"/>
      <c r="C130" s="379"/>
      <c r="D130" s="379"/>
      <c r="E130" s="379"/>
      <c r="F130" s="22"/>
      <c r="G130" s="22"/>
      <c r="H130" s="22"/>
      <c r="I130" s="22"/>
      <c r="J130" s="22"/>
      <c r="K130" s="22"/>
      <c r="L130" s="22"/>
      <c r="M130" s="22"/>
      <c r="N130" s="22"/>
      <c r="O130" s="22"/>
      <c r="P130" s="22"/>
      <c r="Q130" s="22"/>
      <c r="R130" s="22"/>
      <c r="V130" s="51" t="s">
        <v>475</v>
      </c>
      <c r="W130" s="55">
        <v>0</v>
      </c>
      <c r="X130" s="60">
        <v>1896</v>
      </c>
      <c r="Y130" s="59">
        <v>2166</v>
      </c>
    </row>
    <row r="131" spans="1:36" ht="17.25" thickBot="1" x14ac:dyDescent="0.3">
      <c r="A131" s="22"/>
      <c r="B131" s="379"/>
      <c r="C131" s="379"/>
      <c r="D131" s="379"/>
      <c r="E131" s="379"/>
      <c r="F131" s="22"/>
      <c r="G131" s="22"/>
      <c r="H131" s="22"/>
      <c r="I131" s="22"/>
      <c r="J131" s="22"/>
      <c r="K131" s="22"/>
      <c r="L131" s="22"/>
      <c r="M131" s="22"/>
      <c r="N131" s="22"/>
      <c r="O131" s="22"/>
      <c r="P131" s="22"/>
      <c r="Q131" s="22"/>
      <c r="R131" s="22"/>
      <c r="V131" s="51" t="s">
        <v>477</v>
      </c>
      <c r="W131" s="55">
        <v>0</v>
      </c>
      <c r="X131" s="60">
        <v>29823</v>
      </c>
      <c r="Y131" s="59">
        <v>33584</v>
      </c>
    </row>
    <row r="132" spans="1:36" x14ac:dyDescent="0.25">
      <c r="A132" s="22"/>
      <c r="B132" s="379"/>
      <c r="C132" s="379"/>
      <c r="D132" s="379"/>
      <c r="E132" s="379"/>
      <c r="F132" s="22"/>
      <c r="G132" s="22"/>
      <c r="H132" s="22"/>
      <c r="I132" s="22"/>
      <c r="J132" s="22"/>
      <c r="K132" s="22"/>
      <c r="L132" s="22"/>
      <c r="M132" s="22"/>
      <c r="N132" s="22"/>
      <c r="O132" s="22"/>
      <c r="P132" s="22"/>
      <c r="Q132" s="22"/>
      <c r="R132" s="22"/>
    </row>
    <row r="133" spans="1:36" x14ac:dyDescent="0.25">
      <c r="A133" s="22"/>
      <c r="B133" s="379"/>
      <c r="C133" s="379"/>
      <c r="D133" s="379"/>
      <c r="E133" s="379"/>
      <c r="F133" s="22"/>
      <c r="G133" s="22"/>
      <c r="H133" s="22"/>
      <c r="I133" s="22"/>
      <c r="J133" s="22"/>
      <c r="K133" s="22"/>
      <c r="L133" s="22"/>
      <c r="M133" s="22"/>
      <c r="N133" s="22"/>
      <c r="O133" s="22"/>
      <c r="P133" s="22"/>
      <c r="Q133" s="22"/>
      <c r="R133" s="22"/>
    </row>
    <row r="134" spans="1:36" ht="16.5" thickBot="1" x14ac:dyDescent="0.3">
      <c r="A134" s="22"/>
      <c r="B134" s="379"/>
      <c r="C134" s="379"/>
      <c r="D134" s="379"/>
      <c r="E134" s="379"/>
      <c r="F134" s="22"/>
      <c r="G134" s="22"/>
      <c r="H134" s="22"/>
      <c r="I134" s="22"/>
      <c r="J134" s="22"/>
      <c r="K134" s="22"/>
      <c r="L134" s="22"/>
      <c r="M134" s="22"/>
      <c r="N134" s="22"/>
      <c r="O134" s="22"/>
      <c r="P134" s="22"/>
      <c r="Q134" s="22"/>
      <c r="R134" s="22"/>
      <c r="AD134" s="32" t="s">
        <v>580</v>
      </c>
    </row>
    <row r="135" spans="1:36" ht="16.5" thickBot="1" x14ac:dyDescent="0.3">
      <c r="A135" s="22"/>
      <c r="B135" s="379"/>
      <c r="C135" s="379"/>
      <c r="D135" s="379"/>
      <c r="E135" s="379"/>
      <c r="F135" s="22"/>
      <c r="G135" s="22"/>
      <c r="H135" s="22"/>
      <c r="I135" s="22"/>
      <c r="J135" s="22"/>
      <c r="K135" s="22"/>
      <c r="L135" s="22"/>
      <c r="M135" s="22"/>
      <c r="N135" s="22"/>
      <c r="O135" s="22" t="s">
        <v>581</v>
      </c>
      <c r="P135" s="44">
        <f>($Q$31)*6+VLOOKUP($P$18,$V$136:$AE$144,9+P19,FALSE)*10^-6</f>
        <v>2.4809090909090909E-3</v>
      </c>
      <c r="Q135" s="22"/>
      <c r="R135" s="22"/>
      <c r="V135" s="414"/>
      <c r="W135" s="415"/>
      <c r="X135" s="413"/>
      <c r="Y135" s="415"/>
      <c r="Z135" s="413" t="s">
        <v>445</v>
      </c>
      <c r="AA135" s="414"/>
      <c r="AB135" s="414"/>
      <c r="AC135" s="414"/>
      <c r="AD135" s="414"/>
      <c r="AE135" s="414"/>
      <c r="AF135" s="414"/>
      <c r="AG135" s="414"/>
      <c r="AH135" s="414"/>
      <c r="AI135" s="414"/>
      <c r="AJ135" s="414"/>
    </row>
    <row r="136" spans="1:36" ht="16.5" thickBot="1" x14ac:dyDescent="0.3">
      <c r="A136" s="22"/>
      <c r="B136" s="379"/>
      <c r="C136" s="379"/>
      <c r="D136" s="379"/>
      <c r="E136" s="379"/>
      <c r="F136" s="22"/>
      <c r="G136" s="22"/>
      <c r="H136" s="22"/>
      <c r="I136" s="22"/>
      <c r="J136" s="22"/>
      <c r="K136" s="22"/>
      <c r="L136" s="22"/>
      <c r="M136" s="22"/>
      <c r="N136" s="22"/>
      <c r="O136" s="22"/>
      <c r="P136" s="22"/>
      <c r="Q136" s="22"/>
      <c r="R136" s="22"/>
      <c r="V136" s="47" t="s">
        <v>449</v>
      </c>
      <c r="W136" s="381" t="s">
        <v>487</v>
      </c>
      <c r="X136" s="381" t="s">
        <v>450</v>
      </c>
      <c r="Y136" s="381" t="s">
        <v>451</v>
      </c>
      <c r="Z136" s="381" t="s">
        <v>558</v>
      </c>
      <c r="AA136" s="381" t="s">
        <v>559</v>
      </c>
      <c r="AB136" s="381" t="s">
        <v>488</v>
      </c>
      <c r="AC136" s="381" t="s">
        <v>582</v>
      </c>
      <c r="AD136" s="381" t="s">
        <v>454</v>
      </c>
      <c r="AE136" s="73" t="s">
        <v>455</v>
      </c>
      <c r="AF136" s="62"/>
    </row>
    <row r="137" spans="1:36" ht="17.25" thickBot="1" x14ac:dyDescent="0.3">
      <c r="A137" s="22"/>
      <c r="B137" s="379"/>
      <c r="C137" s="379"/>
      <c r="D137" s="379"/>
      <c r="E137" s="379"/>
      <c r="F137" s="22"/>
      <c r="G137" s="22"/>
      <c r="H137" s="22"/>
      <c r="I137" s="22"/>
      <c r="J137" s="22"/>
      <c r="K137" s="22"/>
      <c r="L137" s="22"/>
      <c r="M137" s="22"/>
      <c r="N137" s="22"/>
      <c r="O137" s="22"/>
      <c r="P137" s="22"/>
      <c r="Q137" s="22"/>
      <c r="R137" s="22"/>
      <c r="V137" s="51" t="s">
        <v>458</v>
      </c>
      <c r="W137" s="53">
        <v>0</v>
      </c>
      <c r="X137" s="53">
        <v>63</v>
      </c>
      <c r="Y137" s="53">
        <v>112</v>
      </c>
      <c r="Z137" s="53">
        <v>160</v>
      </c>
      <c r="AA137" s="53">
        <v>221</v>
      </c>
      <c r="AB137" s="53">
        <v>269</v>
      </c>
      <c r="AC137" s="53">
        <v>413</v>
      </c>
      <c r="AD137" s="53">
        <v>736</v>
      </c>
      <c r="AE137" s="54">
        <v>1551</v>
      </c>
      <c r="AF137">
        <f>AD137-AC137</f>
        <v>323</v>
      </c>
      <c r="AG137" s="74">
        <f>AE137-AC137</f>
        <v>1138</v>
      </c>
    </row>
    <row r="138" spans="1:36" ht="17.25" thickBot="1" x14ac:dyDescent="0.3">
      <c r="A138" s="22"/>
      <c r="B138" s="379"/>
      <c r="C138" s="379"/>
      <c r="D138" s="379"/>
      <c r="E138" s="379"/>
      <c r="F138" s="22"/>
      <c r="G138" s="22"/>
      <c r="H138" s="22"/>
      <c r="I138" s="22"/>
      <c r="J138" s="22"/>
      <c r="K138" s="22"/>
      <c r="L138" s="22"/>
      <c r="M138" s="22"/>
      <c r="N138" s="22"/>
      <c r="O138" s="22"/>
      <c r="P138" s="22"/>
      <c r="Q138" s="22"/>
      <c r="R138" s="22"/>
      <c r="V138" s="51" t="s">
        <v>461</v>
      </c>
      <c r="W138" s="53">
        <v>0</v>
      </c>
      <c r="X138" s="53">
        <v>92</v>
      </c>
      <c r="Y138" s="53">
        <v>170</v>
      </c>
      <c r="Z138" s="53">
        <v>247</v>
      </c>
      <c r="AA138" s="53">
        <v>337</v>
      </c>
      <c r="AB138" s="53">
        <v>414</v>
      </c>
      <c r="AC138" s="53">
        <v>646</v>
      </c>
      <c r="AD138" s="53">
        <v>969</v>
      </c>
      <c r="AE138" s="54">
        <v>1783</v>
      </c>
      <c r="AF138">
        <f t="shared" ref="AF138:AF144" si="51">AD138-AC138</f>
        <v>323</v>
      </c>
      <c r="AG138" s="74">
        <f t="shared" ref="AG138:AG144" si="52">AE138-AC138</f>
        <v>1137</v>
      </c>
    </row>
    <row r="139" spans="1:36" ht="17.25" thickBot="1" x14ac:dyDescent="0.3">
      <c r="A139" s="22"/>
      <c r="B139" s="379"/>
      <c r="C139" s="379"/>
      <c r="D139" s="379"/>
      <c r="E139" s="379"/>
      <c r="F139" s="22"/>
      <c r="G139" s="22"/>
      <c r="H139" s="22"/>
      <c r="I139" s="22"/>
      <c r="J139" s="22"/>
      <c r="K139" s="22"/>
      <c r="L139" s="22"/>
      <c r="M139" s="22"/>
      <c r="N139" s="22"/>
      <c r="O139" s="22"/>
      <c r="P139" s="22"/>
      <c r="Q139" s="22"/>
      <c r="R139" s="22"/>
      <c r="V139" s="51" t="s">
        <v>463</v>
      </c>
      <c r="W139" s="53">
        <v>0</v>
      </c>
      <c r="X139" s="53">
        <v>150</v>
      </c>
      <c r="Y139" s="53">
        <v>286</v>
      </c>
      <c r="Z139" s="53">
        <v>441</v>
      </c>
      <c r="AA139" s="53">
        <v>570</v>
      </c>
      <c r="AB139" s="53">
        <v>705</v>
      </c>
      <c r="AC139" s="58">
        <v>1111</v>
      </c>
      <c r="AD139" s="58">
        <v>1550</v>
      </c>
      <c r="AE139" s="54">
        <v>3180</v>
      </c>
      <c r="AF139">
        <f t="shared" si="51"/>
        <v>439</v>
      </c>
      <c r="AG139" s="74">
        <f t="shared" si="52"/>
        <v>2069</v>
      </c>
    </row>
    <row r="140" spans="1:36" ht="17.25" thickBot="1" x14ac:dyDescent="0.3">
      <c r="A140" s="22"/>
      <c r="B140" s="379"/>
      <c r="C140" s="379"/>
      <c r="D140" s="379"/>
      <c r="E140" s="379"/>
      <c r="F140" s="22"/>
      <c r="G140" s="22"/>
      <c r="H140" s="22"/>
      <c r="I140" s="22"/>
      <c r="J140" s="22"/>
      <c r="K140" s="22"/>
      <c r="L140" s="22"/>
      <c r="M140" s="22"/>
      <c r="N140" s="22"/>
      <c r="O140" s="22"/>
      <c r="P140" s="22"/>
      <c r="Q140" s="22"/>
      <c r="R140" s="22"/>
      <c r="V140" s="51" t="s">
        <v>465</v>
      </c>
      <c r="W140" s="53">
        <v>0</v>
      </c>
      <c r="X140" s="53">
        <v>267</v>
      </c>
      <c r="Y140" s="53">
        <v>519</v>
      </c>
      <c r="Z140" s="53">
        <v>771</v>
      </c>
      <c r="AA140" s="58">
        <v>1035</v>
      </c>
      <c r="AB140" s="58">
        <v>1287</v>
      </c>
      <c r="AC140" s="58">
        <v>2043</v>
      </c>
      <c r="AD140" s="58">
        <v>2482</v>
      </c>
      <c r="AE140" s="54">
        <v>4111</v>
      </c>
      <c r="AF140">
        <f t="shared" si="51"/>
        <v>439</v>
      </c>
      <c r="AG140" s="74">
        <f t="shared" si="52"/>
        <v>2068</v>
      </c>
    </row>
    <row r="141" spans="1:36" ht="17.25" thickBot="1" x14ac:dyDescent="0.3">
      <c r="A141" s="22"/>
      <c r="B141" s="379"/>
      <c r="C141" s="379"/>
      <c r="D141" s="379"/>
      <c r="E141" s="379"/>
      <c r="F141" s="22"/>
      <c r="G141" s="22"/>
      <c r="H141" s="22"/>
      <c r="I141" s="22"/>
      <c r="J141" s="22"/>
      <c r="K141" s="22"/>
      <c r="L141" s="22"/>
      <c r="M141" s="22"/>
      <c r="N141" s="22"/>
      <c r="O141" s="22"/>
      <c r="P141" s="22"/>
      <c r="Q141" s="22"/>
      <c r="R141" s="22"/>
      <c r="V141" s="51" t="s">
        <v>468</v>
      </c>
      <c r="W141" s="53">
        <v>0</v>
      </c>
      <c r="X141" s="53">
        <v>500</v>
      </c>
      <c r="Y141" s="53">
        <v>984</v>
      </c>
      <c r="Z141" s="58">
        <v>1469</v>
      </c>
      <c r="AA141" s="58">
        <v>1966</v>
      </c>
      <c r="AB141" s="58">
        <v>2451</v>
      </c>
      <c r="AC141" s="58">
        <v>3904</v>
      </c>
      <c r="AD141" s="58">
        <v>4343</v>
      </c>
      <c r="AE141" s="54">
        <v>5973</v>
      </c>
      <c r="AF141">
        <f t="shared" si="51"/>
        <v>439</v>
      </c>
      <c r="AG141" s="74">
        <f t="shared" si="52"/>
        <v>2069</v>
      </c>
    </row>
    <row r="142" spans="1:36" ht="17.25" thickBot="1" x14ac:dyDescent="0.3">
      <c r="A142" s="22"/>
      <c r="B142" s="379"/>
      <c r="C142" s="379"/>
      <c r="D142" s="379"/>
      <c r="E142" s="379"/>
      <c r="F142" s="22"/>
      <c r="G142" s="22"/>
      <c r="H142" s="22"/>
      <c r="I142" s="22"/>
      <c r="J142" s="22"/>
      <c r="K142" s="22"/>
      <c r="L142" s="22"/>
      <c r="M142" s="22"/>
      <c r="N142" s="22"/>
      <c r="O142" s="22"/>
      <c r="P142" s="22"/>
      <c r="Q142" s="22"/>
      <c r="R142" s="22"/>
      <c r="V142" s="51" t="s">
        <v>471</v>
      </c>
      <c r="W142" s="53">
        <v>0</v>
      </c>
      <c r="X142" s="53">
        <v>965</v>
      </c>
      <c r="Y142" s="58">
        <v>1915</v>
      </c>
      <c r="Z142" s="58">
        <v>2865</v>
      </c>
      <c r="AA142" s="58">
        <v>3828</v>
      </c>
      <c r="AB142" s="58">
        <v>4778</v>
      </c>
      <c r="AC142" s="58">
        <v>7628</v>
      </c>
      <c r="AD142" s="58">
        <v>8067</v>
      </c>
      <c r="AE142" s="54">
        <v>9696</v>
      </c>
      <c r="AF142">
        <f t="shared" si="51"/>
        <v>439</v>
      </c>
      <c r="AG142" s="74">
        <f t="shared" si="52"/>
        <v>2068</v>
      </c>
    </row>
    <row r="143" spans="1:36" ht="17.25" thickBot="1" x14ac:dyDescent="0.3">
      <c r="A143" s="22"/>
      <c r="B143" s="379"/>
      <c r="C143" s="379"/>
      <c r="D143" s="379"/>
      <c r="E143" s="379"/>
      <c r="F143" s="22"/>
      <c r="G143" s="22"/>
      <c r="H143" s="22"/>
      <c r="I143" s="22"/>
      <c r="J143" s="22"/>
      <c r="K143" s="22"/>
      <c r="L143" s="22"/>
      <c r="M143" s="22"/>
      <c r="N143" s="22"/>
      <c r="O143" s="22"/>
      <c r="P143" s="22"/>
      <c r="Q143" s="22"/>
      <c r="R143" s="22"/>
      <c r="V143" s="51" t="s">
        <v>475</v>
      </c>
      <c r="W143" s="53">
        <v>0</v>
      </c>
      <c r="X143" s="58">
        <v>1896</v>
      </c>
      <c r="Y143" s="58">
        <v>3777</v>
      </c>
      <c r="Z143" s="58">
        <v>5658</v>
      </c>
      <c r="AA143" s="58">
        <v>7551</v>
      </c>
      <c r="AB143" s="58">
        <v>9432</v>
      </c>
      <c r="AC143" s="58">
        <v>15075</v>
      </c>
      <c r="AD143" s="58">
        <v>15514</v>
      </c>
      <c r="AE143" s="54">
        <v>17143</v>
      </c>
      <c r="AF143">
        <f t="shared" si="51"/>
        <v>439</v>
      </c>
      <c r="AG143" s="74">
        <f t="shared" si="52"/>
        <v>2068</v>
      </c>
    </row>
    <row r="144" spans="1:36" ht="17.25" thickBot="1" x14ac:dyDescent="0.3">
      <c r="A144" s="22"/>
      <c r="B144" s="379"/>
      <c r="C144" s="379"/>
      <c r="D144" s="379"/>
      <c r="E144" s="379"/>
      <c r="F144" s="22"/>
      <c r="G144" s="22"/>
      <c r="H144" s="22"/>
      <c r="I144" s="22"/>
      <c r="J144" s="22"/>
      <c r="K144" s="22"/>
      <c r="L144" s="22"/>
      <c r="M144" s="22"/>
      <c r="N144" s="22"/>
      <c r="O144" s="22"/>
      <c r="P144" s="22"/>
      <c r="Q144" s="22"/>
      <c r="R144" s="22"/>
      <c r="V144" s="51" t="s">
        <v>477</v>
      </c>
      <c r="W144" s="53">
        <v>0</v>
      </c>
      <c r="X144" s="58">
        <v>29823</v>
      </c>
      <c r="Y144" s="58">
        <v>59631</v>
      </c>
      <c r="Z144" s="58">
        <v>89440</v>
      </c>
      <c r="AA144" s="58">
        <v>119260</v>
      </c>
      <c r="AB144" s="58">
        <v>149069</v>
      </c>
      <c r="AC144" s="58">
        <v>238493</v>
      </c>
      <c r="AD144" s="58">
        <v>242423</v>
      </c>
      <c r="AE144" s="54">
        <v>268489</v>
      </c>
      <c r="AF144">
        <f t="shared" si="51"/>
        <v>3930</v>
      </c>
      <c r="AG144" s="74">
        <f t="shared" si="52"/>
        <v>29996</v>
      </c>
    </row>
    <row r="145" spans="1:43" x14ac:dyDescent="0.25">
      <c r="A145" s="22"/>
      <c r="B145" s="379"/>
      <c r="C145" s="379"/>
      <c r="D145" s="379"/>
      <c r="E145" s="379"/>
      <c r="F145" s="22"/>
      <c r="G145" s="22"/>
      <c r="H145" s="22"/>
      <c r="I145" s="22"/>
      <c r="J145" s="22"/>
      <c r="K145" s="22"/>
      <c r="L145" s="22"/>
      <c r="M145" s="22"/>
      <c r="N145" s="22"/>
      <c r="O145" s="22"/>
      <c r="P145" s="22"/>
      <c r="Q145" s="22"/>
      <c r="R145" s="22"/>
    </row>
    <row r="146" spans="1:43" x14ac:dyDescent="0.25">
      <c r="A146" s="22"/>
      <c r="B146" s="379"/>
      <c r="C146" s="379"/>
      <c r="D146" s="379"/>
      <c r="E146" s="379"/>
      <c r="F146" s="22"/>
      <c r="G146" s="22"/>
      <c r="H146" s="22"/>
      <c r="I146" s="22"/>
      <c r="J146" s="22"/>
      <c r="K146" s="22"/>
      <c r="L146" s="22"/>
      <c r="M146" s="22"/>
      <c r="N146" s="22"/>
      <c r="O146" s="22"/>
      <c r="P146" s="22"/>
      <c r="Q146" s="22"/>
      <c r="R146" s="22"/>
    </row>
    <row r="147" spans="1:43" x14ac:dyDescent="0.25">
      <c r="A147" s="22"/>
      <c r="B147" s="379"/>
      <c r="C147" s="379"/>
      <c r="D147" s="379"/>
      <c r="E147" s="379"/>
      <c r="F147" s="22"/>
      <c r="G147" s="22"/>
      <c r="H147" s="22"/>
      <c r="I147" s="22"/>
      <c r="J147" s="22"/>
      <c r="K147" s="22"/>
      <c r="L147" s="22"/>
      <c r="M147" s="22"/>
      <c r="N147" s="22"/>
      <c r="O147" s="22"/>
      <c r="P147" s="22"/>
      <c r="Q147" s="22"/>
      <c r="R147" s="22"/>
    </row>
    <row r="148" spans="1:43" x14ac:dyDescent="0.25">
      <c r="A148" s="22"/>
      <c r="B148" s="379"/>
      <c r="C148" s="379"/>
      <c r="D148" s="379"/>
      <c r="E148" s="379"/>
      <c r="F148" s="22"/>
      <c r="G148" s="22"/>
      <c r="H148" s="22"/>
      <c r="I148" s="22"/>
      <c r="J148" s="22"/>
      <c r="K148" s="22"/>
      <c r="L148" s="22"/>
      <c r="M148" s="22"/>
      <c r="N148" s="22"/>
      <c r="O148" s="22"/>
      <c r="P148" s="22"/>
      <c r="Q148" s="22"/>
      <c r="R148" s="22"/>
    </row>
    <row r="149" spans="1:43" x14ac:dyDescent="0.25">
      <c r="A149" s="22"/>
      <c r="B149" s="379"/>
      <c r="C149" s="379"/>
      <c r="D149" s="379"/>
      <c r="E149" s="379"/>
      <c r="F149" s="22"/>
      <c r="G149" s="22"/>
      <c r="H149" s="22"/>
      <c r="I149" s="22"/>
      <c r="J149" s="22"/>
      <c r="K149" s="22"/>
      <c r="L149" s="22"/>
      <c r="M149" s="22"/>
      <c r="N149" s="22"/>
      <c r="O149" s="22"/>
      <c r="P149" s="22"/>
      <c r="Q149" s="22"/>
      <c r="R149" s="22"/>
    </row>
    <row r="150" spans="1:43" x14ac:dyDescent="0.25">
      <c r="A150" s="22"/>
      <c r="B150" s="379"/>
      <c r="C150" s="379"/>
      <c r="D150" s="379"/>
      <c r="E150" s="379"/>
      <c r="F150" s="22"/>
      <c r="G150" s="22"/>
      <c r="H150" s="22"/>
      <c r="I150" s="22"/>
      <c r="J150" s="22"/>
      <c r="K150" s="22"/>
      <c r="L150" s="22"/>
      <c r="M150" s="91"/>
      <c r="N150" s="91"/>
      <c r="O150" s="91"/>
      <c r="P150" s="91"/>
      <c r="Q150" s="93"/>
      <c r="R150" s="93"/>
      <c r="S150" s="92"/>
      <c r="T150" s="92"/>
      <c r="U150" s="92"/>
      <c r="V150" s="92"/>
      <c r="W150" s="92"/>
      <c r="X150" s="92"/>
      <c r="Y150" s="92"/>
      <c r="Z150" s="92"/>
      <c r="AA150" s="92"/>
      <c r="AB150" s="92"/>
      <c r="AC150" s="92"/>
      <c r="AD150" s="92"/>
      <c r="AE150" s="92"/>
      <c r="AF150" s="92"/>
      <c r="AG150" s="92"/>
      <c r="AH150" s="92"/>
      <c r="AI150" s="92"/>
      <c r="AJ150" s="92"/>
      <c r="AK150" s="92"/>
      <c r="AL150" s="92"/>
      <c r="AM150" s="92"/>
      <c r="AN150" s="92"/>
      <c r="AO150" s="92"/>
      <c r="AP150" s="92"/>
      <c r="AQ150" s="92"/>
    </row>
    <row r="151" spans="1:43" x14ac:dyDescent="0.25">
      <c r="A151" s="22"/>
      <c r="B151" s="379"/>
      <c r="C151" s="379"/>
      <c r="D151" s="379"/>
      <c r="E151" s="379"/>
      <c r="F151" s="22"/>
      <c r="G151" s="22"/>
      <c r="H151" s="22"/>
      <c r="I151" s="22"/>
      <c r="J151" s="22"/>
      <c r="K151" s="22"/>
      <c r="L151" s="22"/>
      <c r="M151" s="91"/>
      <c r="N151" s="91"/>
      <c r="O151" s="91"/>
      <c r="P151" s="91"/>
      <c r="Q151" s="93"/>
      <c r="R151" s="93"/>
      <c r="S151" s="92"/>
      <c r="T151" s="92"/>
      <c r="U151" s="92"/>
      <c r="V151" s="92"/>
      <c r="W151" s="92"/>
      <c r="X151" s="92"/>
      <c r="Y151" s="92"/>
      <c r="Z151" s="92"/>
      <c r="AA151" s="92"/>
      <c r="AB151" s="92"/>
      <c r="AC151" s="92"/>
      <c r="AD151" s="92"/>
      <c r="AE151" s="92"/>
      <c r="AF151" s="92"/>
      <c r="AG151" s="92"/>
      <c r="AH151" s="92"/>
      <c r="AI151" s="92"/>
      <c r="AJ151" s="92"/>
      <c r="AK151" s="92"/>
      <c r="AL151" s="92"/>
      <c r="AM151" s="92"/>
      <c r="AN151" s="92"/>
      <c r="AO151" s="92"/>
      <c r="AP151" s="92"/>
      <c r="AQ151" s="92"/>
    </row>
    <row r="152" spans="1:43" x14ac:dyDescent="0.25">
      <c r="A152" s="22"/>
      <c r="B152" s="379"/>
      <c r="C152" s="379"/>
      <c r="D152" s="379"/>
      <c r="E152" s="379"/>
      <c r="F152" s="22"/>
      <c r="G152" s="22"/>
      <c r="H152" s="22"/>
      <c r="I152" s="22"/>
      <c r="J152" s="22"/>
      <c r="K152" s="22"/>
      <c r="L152" s="22"/>
      <c r="M152" s="91"/>
      <c r="N152" s="91"/>
      <c r="O152" s="91"/>
      <c r="P152" s="101"/>
      <c r="Q152" s="91"/>
      <c r="R152" s="91"/>
      <c r="S152" s="92"/>
      <c r="T152" s="92"/>
      <c r="U152" s="92"/>
      <c r="V152" s="92"/>
      <c r="W152" s="92"/>
      <c r="X152" s="92"/>
      <c r="Y152" s="92"/>
      <c r="Z152" s="92"/>
      <c r="AA152" s="92"/>
      <c r="AB152" s="92"/>
      <c r="AC152" s="92"/>
      <c r="AD152" s="92"/>
      <c r="AE152" s="92"/>
      <c r="AF152" s="92"/>
      <c r="AG152" s="92"/>
      <c r="AH152" s="92"/>
      <c r="AI152" s="92"/>
      <c r="AJ152" s="92"/>
      <c r="AK152" s="92"/>
      <c r="AL152" s="92"/>
      <c r="AM152" s="92"/>
      <c r="AN152" s="92"/>
      <c r="AO152" s="92"/>
      <c r="AP152" s="92"/>
      <c r="AQ152" s="92"/>
    </row>
    <row r="153" spans="1:43" x14ac:dyDescent="0.25">
      <c r="A153" s="22"/>
      <c r="B153" s="379"/>
      <c r="C153" s="379"/>
      <c r="D153" s="379"/>
      <c r="E153" s="379"/>
      <c r="F153" s="22"/>
      <c r="G153" s="22"/>
      <c r="H153" s="22"/>
      <c r="I153" s="22"/>
      <c r="J153" s="22"/>
      <c r="K153" s="22"/>
      <c r="L153" s="22"/>
      <c r="M153" s="91"/>
      <c r="N153" s="91"/>
      <c r="O153" s="91"/>
      <c r="P153" s="91"/>
      <c r="Q153" s="93"/>
      <c r="R153" s="91"/>
      <c r="S153" s="92"/>
      <c r="T153" s="92"/>
      <c r="U153" s="92"/>
      <c r="V153" s="92"/>
      <c r="W153" s="92"/>
      <c r="X153" s="92"/>
      <c r="Y153" s="92"/>
      <c r="Z153" s="92"/>
      <c r="AA153" s="92"/>
      <c r="AB153" s="92"/>
      <c r="AC153" s="92"/>
      <c r="AD153" s="92"/>
      <c r="AE153" s="92"/>
      <c r="AF153" s="92"/>
      <c r="AG153" s="92"/>
      <c r="AH153" s="92"/>
      <c r="AI153" s="92"/>
      <c r="AJ153" s="92"/>
      <c r="AK153" s="92"/>
      <c r="AL153" s="92"/>
      <c r="AM153" s="92"/>
      <c r="AN153" s="92"/>
      <c r="AO153" s="92"/>
      <c r="AP153" s="92"/>
      <c r="AQ153" s="92"/>
    </row>
    <row r="154" spans="1:43" ht="15.75" x14ac:dyDescent="0.25">
      <c r="A154" s="22"/>
      <c r="B154" s="379"/>
      <c r="C154" s="379"/>
      <c r="D154" s="379"/>
      <c r="E154" s="379"/>
      <c r="F154" s="22"/>
      <c r="G154" s="22"/>
      <c r="H154" s="22"/>
      <c r="I154" s="22"/>
      <c r="J154" s="22"/>
      <c r="K154" s="22"/>
      <c r="L154" s="22"/>
      <c r="M154" s="91"/>
      <c r="N154" s="91"/>
      <c r="O154" s="91"/>
      <c r="P154" s="91"/>
      <c r="Q154" s="91"/>
      <c r="R154" s="91"/>
      <c r="S154" s="92"/>
      <c r="T154" s="92"/>
      <c r="U154" s="92"/>
      <c r="V154" s="92"/>
      <c r="W154" s="92"/>
      <c r="X154" s="92"/>
      <c r="Y154" s="102"/>
      <c r="Z154" s="92"/>
      <c r="AA154" s="92"/>
      <c r="AB154" s="92"/>
      <c r="AC154" s="92"/>
      <c r="AD154" s="92"/>
      <c r="AE154" s="92"/>
      <c r="AF154" s="92"/>
      <c r="AG154" s="92"/>
      <c r="AH154" s="92"/>
      <c r="AI154" s="92"/>
      <c r="AJ154" s="92"/>
      <c r="AK154" s="92"/>
      <c r="AL154" s="92"/>
      <c r="AM154" s="92"/>
      <c r="AN154" s="92"/>
      <c r="AO154" s="92"/>
      <c r="AP154" s="92"/>
      <c r="AQ154" s="92"/>
    </row>
    <row r="155" spans="1:43" ht="15.75" x14ac:dyDescent="0.25">
      <c r="A155" s="22"/>
      <c r="B155" s="379"/>
      <c r="C155" s="379"/>
      <c r="D155" s="379"/>
      <c r="E155" s="379"/>
      <c r="F155" s="22"/>
      <c r="G155" s="22"/>
      <c r="H155" s="22"/>
      <c r="I155" s="22"/>
      <c r="J155" s="22"/>
      <c r="K155" s="22"/>
      <c r="L155" s="22"/>
      <c r="M155" s="91"/>
      <c r="N155" s="91"/>
      <c r="O155" s="91"/>
      <c r="P155" s="101"/>
      <c r="Q155" s="91"/>
      <c r="R155" s="91"/>
      <c r="S155" s="92"/>
      <c r="T155" s="92"/>
      <c r="U155" s="92"/>
      <c r="V155" s="380"/>
      <c r="W155" s="412"/>
      <c r="X155" s="412"/>
      <c r="Y155" s="412"/>
      <c r="Z155" s="412"/>
      <c r="AA155" s="412"/>
      <c r="AB155" s="412"/>
      <c r="AC155" s="380"/>
      <c r="AD155" s="92"/>
      <c r="AE155" s="92"/>
      <c r="AF155" s="92"/>
      <c r="AG155" s="92"/>
      <c r="AH155" s="92"/>
      <c r="AI155" s="92"/>
      <c r="AJ155" s="92"/>
      <c r="AK155" s="92"/>
      <c r="AL155" s="92"/>
      <c r="AM155" s="92"/>
      <c r="AN155" s="92"/>
      <c r="AO155" s="92"/>
      <c r="AP155" s="92"/>
      <c r="AQ155" s="92"/>
    </row>
    <row r="156" spans="1:43" ht="15.75" x14ac:dyDescent="0.25">
      <c r="A156" s="22"/>
      <c r="B156" s="379"/>
      <c r="C156" s="379"/>
      <c r="D156" s="379"/>
      <c r="E156" s="379"/>
      <c r="F156" s="22"/>
      <c r="G156" s="22"/>
      <c r="H156" s="22"/>
      <c r="I156" s="22"/>
      <c r="J156" s="22"/>
      <c r="K156" s="22"/>
      <c r="L156" s="22"/>
      <c r="M156" s="91"/>
      <c r="N156" s="91"/>
      <c r="O156" s="91"/>
      <c r="P156" s="91"/>
      <c r="Q156" s="91"/>
      <c r="R156" s="91"/>
      <c r="S156" s="92"/>
      <c r="T156" s="92"/>
      <c r="U156" s="92"/>
      <c r="V156" s="380"/>
      <c r="W156" s="100"/>
      <c r="X156" s="100"/>
      <c r="Y156" s="100"/>
      <c r="Z156" s="100"/>
      <c r="AA156" s="100"/>
      <c r="AB156" s="100"/>
      <c r="AC156" s="100"/>
      <c r="AD156" s="92"/>
      <c r="AE156" s="92"/>
      <c r="AF156" s="92"/>
      <c r="AG156" s="92"/>
      <c r="AH156" s="92"/>
      <c r="AI156" s="92"/>
      <c r="AJ156" s="92"/>
      <c r="AK156" s="92"/>
      <c r="AL156" s="92"/>
      <c r="AM156" s="92"/>
      <c r="AN156" s="92"/>
      <c r="AO156" s="92"/>
      <c r="AP156" s="92"/>
      <c r="AQ156" s="92"/>
    </row>
    <row r="157" spans="1:43" ht="16.5" x14ac:dyDescent="0.25">
      <c r="A157" s="22"/>
      <c r="B157" s="379"/>
      <c r="C157" s="379"/>
      <c r="D157" s="379"/>
      <c r="E157" s="379"/>
      <c r="F157" s="22"/>
      <c r="G157" s="22"/>
      <c r="H157" s="22"/>
      <c r="I157" s="22"/>
      <c r="J157" s="22"/>
      <c r="K157" s="22"/>
      <c r="L157" s="22"/>
      <c r="M157" s="91"/>
      <c r="N157" s="91"/>
      <c r="O157" s="91"/>
      <c r="P157" s="91"/>
      <c r="Q157" s="91"/>
      <c r="R157" s="91"/>
      <c r="S157" s="92"/>
      <c r="T157" s="92"/>
      <c r="U157" s="92"/>
      <c r="V157" s="94"/>
      <c r="W157" s="95"/>
      <c r="X157" s="95"/>
      <c r="Y157" s="95"/>
      <c r="Z157" s="95"/>
      <c r="AA157" s="95"/>
      <c r="AB157" s="95"/>
      <c r="AC157" s="95"/>
      <c r="AD157" s="92"/>
      <c r="AE157" s="92"/>
      <c r="AF157" s="92"/>
      <c r="AG157" s="92"/>
      <c r="AH157" s="92"/>
      <c r="AI157" s="92"/>
      <c r="AJ157" s="92"/>
      <c r="AK157" s="92"/>
      <c r="AL157" s="92"/>
      <c r="AM157" s="92"/>
      <c r="AN157" s="92"/>
      <c r="AO157" s="92"/>
      <c r="AP157" s="92"/>
      <c r="AQ157" s="92"/>
    </row>
    <row r="158" spans="1:43" ht="16.5" x14ac:dyDescent="0.25">
      <c r="A158" s="22"/>
      <c r="B158" s="379"/>
      <c r="C158" s="379"/>
      <c r="D158" s="379"/>
      <c r="E158" s="379"/>
      <c r="F158" s="22"/>
      <c r="G158" s="22"/>
      <c r="H158" s="22"/>
      <c r="I158" s="22"/>
      <c r="J158" s="22"/>
      <c r="K158" s="22"/>
      <c r="L158" s="22"/>
      <c r="M158" s="91"/>
      <c r="N158" s="91"/>
      <c r="O158" s="91"/>
      <c r="P158" s="91"/>
      <c r="Q158" s="91"/>
      <c r="R158" s="91"/>
      <c r="S158" s="92"/>
      <c r="T158" s="92"/>
      <c r="U158" s="92"/>
      <c r="V158" s="94"/>
      <c r="W158" s="95"/>
      <c r="X158" s="95"/>
      <c r="Y158" s="95"/>
      <c r="Z158" s="95"/>
      <c r="AA158" s="95"/>
      <c r="AB158" s="95"/>
      <c r="AC158" s="95"/>
      <c r="AD158" s="92"/>
      <c r="AE158" s="92"/>
      <c r="AF158" s="92"/>
      <c r="AG158" s="92"/>
      <c r="AH158" s="92"/>
      <c r="AI158" s="92"/>
      <c r="AJ158" s="92"/>
      <c r="AK158" s="92"/>
      <c r="AL158" s="92"/>
      <c r="AM158" s="92"/>
      <c r="AN158" s="92"/>
      <c r="AO158" s="92"/>
      <c r="AP158" s="92"/>
      <c r="AQ158" s="92"/>
    </row>
    <row r="159" spans="1:43" ht="16.5" x14ac:dyDescent="0.25">
      <c r="A159" s="22"/>
      <c r="B159" s="379"/>
      <c r="C159" s="379"/>
      <c r="D159" s="379"/>
      <c r="E159" s="379"/>
      <c r="F159" s="22"/>
      <c r="G159" s="22"/>
      <c r="H159" s="22"/>
      <c r="I159" s="22"/>
      <c r="J159" s="22"/>
      <c r="K159" s="22"/>
      <c r="L159" s="22"/>
      <c r="M159" s="91"/>
      <c r="N159" s="91"/>
      <c r="O159" s="91"/>
      <c r="P159" s="91"/>
      <c r="Q159" s="91"/>
      <c r="R159" s="91"/>
      <c r="S159" s="92"/>
      <c r="T159" s="92"/>
      <c r="U159" s="92"/>
      <c r="V159" s="94"/>
      <c r="W159" s="95"/>
      <c r="X159" s="95"/>
      <c r="Y159" s="95"/>
      <c r="Z159" s="95"/>
      <c r="AA159" s="95"/>
      <c r="AB159" s="96"/>
      <c r="AC159" s="95"/>
      <c r="AD159" s="92"/>
      <c r="AE159" s="92"/>
      <c r="AF159" s="92"/>
      <c r="AG159" s="92"/>
      <c r="AH159" s="92"/>
      <c r="AI159" s="92"/>
      <c r="AJ159" s="92"/>
      <c r="AK159" s="92"/>
      <c r="AL159" s="92"/>
      <c r="AM159" s="92"/>
      <c r="AN159" s="92"/>
      <c r="AO159" s="92"/>
      <c r="AP159" s="92"/>
      <c r="AQ159" s="92"/>
    </row>
    <row r="160" spans="1:43" ht="16.5" x14ac:dyDescent="0.25">
      <c r="A160" s="22"/>
      <c r="B160" s="379"/>
      <c r="C160" s="379"/>
      <c r="D160" s="379"/>
      <c r="E160" s="379"/>
      <c r="F160" s="22"/>
      <c r="G160" s="22"/>
      <c r="H160" s="22"/>
      <c r="I160" s="22"/>
      <c r="J160" s="22"/>
      <c r="K160" s="22"/>
      <c r="L160" s="22"/>
      <c r="M160" s="91"/>
      <c r="N160" s="91"/>
      <c r="O160" s="91"/>
      <c r="P160" s="91"/>
      <c r="Q160" s="91"/>
      <c r="R160" s="91"/>
      <c r="S160" s="92"/>
      <c r="T160" s="92"/>
      <c r="U160" s="92"/>
      <c r="V160" s="94"/>
      <c r="W160" s="95"/>
      <c r="X160" s="95"/>
      <c r="Y160" s="95"/>
      <c r="Z160" s="95"/>
      <c r="AA160" s="96"/>
      <c r="AB160" s="96"/>
      <c r="AC160" s="95"/>
      <c r="AD160" s="92"/>
      <c r="AE160" s="92"/>
      <c r="AF160" s="92"/>
      <c r="AG160" s="92"/>
      <c r="AH160" s="92"/>
      <c r="AI160" s="92"/>
      <c r="AJ160" s="92"/>
      <c r="AK160" s="92"/>
      <c r="AL160" s="92"/>
      <c r="AM160" s="92"/>
      <c r="AN160" s="92"/>
      <c r="AO160" s="92"/>
      <c r="AP160" s="92"/>
      <c r="AQ160" s="92"/>
    </row>
    <row r="161" spans="1:43" ht="16.5" x14ac:dyDescent="0.25">
      <c r="A161" s="22"/>
      <c r="B161" s="379"/>
      <c r="C161" s="379"/>
      <c r="D161" s="379"/>
      <c r="E161" s="379"/>
      <c r="F161" s="22"/>
      <c r="G161" s="22"/>
      <c r="H161" s="22"/>
      <c r="I161" s="22"/>
      <c r="J161" s="22"/>
      <c r="K161" s="22"/>
      <c r="L161" s="22"/>
      <c r="M161" s="91"/>
      <c r="N161" s="91"/>
      <c r="O161" s="91"/>
      <c r="P161" s="91"/>
      <c r="Q161" s="91"/>
      <c r="R161" s="91"/>
      <c r="S161" s="92"/>
      <c r="T161" s="92"/>
      <c r="U161" s="92"/>
      <c r="V161" s="94"/>
      <c r="W161" s="95"/>
      <c r="X161" s="95"/>
      <c r="Y161" s="95"/>
      <c r="Z161" s="96"/>
      <c r="AA161" s="96"/>
      <c r="AB161" s="96"/>
      <c r="AC161" s="96"/>
      <c r="AD161" s="92"/>
      <c r="AE161" s="92"/>
      <c r="AF161" s="92"/>
      <c r="AG161" s="92"/>
      <c r="AH161" s="92"/>
      <c r="AI161" s="92"/>
      <c r="AJ161" s="92"/>
      <c r="AK161" s="92"/>
      <c r="AL161" s="92"/>
      <c r="AM161" s="92"/>
      <c r="AN161" s="92"/>
      <c r="AO161" s="92"/>
      <c r="AP161" s="92"/>
      <c r="AQ161" s="92"/>
    </row>
    <row r="162" spans="1:43" ht="16.5" x14ac:dyDescent="0.25">
      <c r="A162" s="22"/>
      <c r="B162" s="379"/>
      <c r="C162" s="379"/>
      <c r="D162" s="379"/>
      <c r="E162" s="379"/>
      <c r="F162" s="22"/>
      <c r="G162" s="22"/>
      <c r="H162" s="22"/>
      <c r="I162" s="22"/>
      <c r="J162" s="22"/>
      <c r="K162" s="22"/>
      <c r="L162" s="22"/>
      <c r="M162" s="91"/>
      <c r="N162" s="91"/>
      <c r="O162" s="91"/>
      <c r="P162" s="91"/>
      <c r="Q162" s="91"/>
      <c r="R162" s="91"/>
      <c r="S162" s="92"/>
      <c r="T162" s="92"/>
      <c r="U162" s="92"/>
      <c r="V162" s="94"/>
      <c r="W162" s="95"/>
      <c r="X162" s="95"/>
      <c r="Y162" s="96"/>
      <c r="Z162" s="96"/>
      <c r="AA162" s="96"/>
      <c r="AB162" s="96"/>
      <c r="AC162" s="96"/>
      <c r="AD162" s="92"/>
      <c r="AE162" s="92"/>
      <c r="AF162" s="92"/>
      <c r="AG162" s="92"/>
      <c r="AH162" s="92"/>
      <c r="AI162" s="92"/>
      <c r="AJ162" s="92"/>
      <c r="AK162" s="92"/>
      <c r="AL162" s="92"/>
      <c r="AM162" s="92"/>
      <c r="AN162" s="92"/>
      <c r="AO162" s="92"/>
      <c r="AP162" s="92"/>
      <c r="AQ162" s="92"/>
    </row>
    <row r="163" spans="1:43" ht="16.5" x14ac:dyDescent="0.25">
      <c r="A163" s="22"/>
      <c r="B163" s="379"/>
      <c r="C163" s="379"/>
      <c r="D163" s="379"/>
      <c r="E163" s="379"/>
      <c r="F163" s="22"/>
      <c r="G163" s="22"/>
      <c r="H163" s="22"/>
      <c r="I163" s="22"/>
      <c r="J163" s="22"/>
      <c r="K163" s="22"/>
      <c r="L163" s="22"/>
      <c r="M163" s="91"/>
      <c r="N163" s="91"/>
      <c r="O163" s="91"/>
      <c r="P163" s="91"/>
      <c r="Q163" s="91"/>
      <c r="R163" s="91"/>
      <c r="S163" s="92"/>
      <c r="T163" s="92"/>
      <c r="U163" s="92"/>
      <c r="V163" s="94"/>
      <c r="W163" s="95"/>
      <c r="X163" s="96"/>
      <c r="Y163" s="96"/>
      <c r="Z163" s="96"/>
      <c r="AA163" s="96"/>
      <c r="AB163" s="96"/>
      <c r="AC163" s="96"/>
      <c r="AD163" s="92"/>
      <c r="AE163" s="92"/>
      <c r="AF163" s="92"/>
      <c r="AG163" s="92"/>
      <c r="AH163" s="92"/>
      <c r="AI163" s="92"/>
      <c r="AJ163" s="92"/>
      <c r="AK163" s="92"/>
      <c r="AL163" s="92"/>
      <c r="AM163" s="92"/>
      <c r="AN163" s="92"/>
      <c r="AO163" s="92"/>
      <c r="AP163" s="92"/>
      <c r="AQ163" s="92"/>
    </row>
    <row r="164" spans="1:43" ht="16.5" x14ac:dyDescent="0.25">
      <c r="A164" s="22"/>
      <c r="B164" s="379"/>
      <c r="C164" s="379"/>
      <c r="D164" s="379"/>
      <c r="E164" s="379"/>
      <c r="F164" s="22"/>
      <c r="G164" s="22"/>
      <c r="H164" s="22"/>
      <c r="I164" s="22"/>
      <c r="J164" s="22"/>
      <c r="K164" s="22"/>
      <c r="L164" s="22"/>
      <c r="M164" s="91"/>
      <c r="N164" s="91"/>
      <c r="O164" s="91"/>
      <c r="P164" s="91"/>
      <c r="Q164" s="91"/>
      <c r="R164" s="91"/>
      <c r="S164" s="92"/>
      <c r="T164" s="92"/>
      <c r="U164" s="92"/>
      <c r="V164" s="94"/>
      <c r="W164" s="95"/>
      <c r="X164" s="96"/>
      <c r="Y164" s="96"/>
      <c r="Z164" s="96"/>
      <c r="AA164" s="96"/>
      <c r="AB164" s="96"/>
      <c r="AC164" s="96"/>
      <c r="AD164" s="92"/>
      <c r="AE164" s="92"/>
      <c r="AF164" s="92"/>
      <c r="AG164" s="92"/>
      <c r="AH164" s="92"/>
      <c r="AI164" s="92"/>
      <c r="AJ164" s="92"/>
      <c r="AK164" s="92"/>
      <c r="AL164" s="92"/>
      <c r="AM164" s="92"/>
      <c r="AN164" s="92"/>
      <c r="AO164" s="92"/>
      <c r="AP164" s="92"/>
      <c r="AQ164" s="92"/>
    </row>
    <row r="165" spans="1:43" x14ac:dyDescent="0.25">
      <c r="A165" s="22"/>
      <c r="B165" s="379"/>
      <c r="C165" s="379"/>
      <c r="D165" s="379"/>
      <c r="E165" s="379"/>
      <c r="F165" s="22"/>
      <c r="G165" s="22"/>
      <c r="H165" s="22"/>
      <c r="I165" s="22"/>
      <c r="J165" s="22"/>
      <c r="K165" s="22"/>
      <c r="L165" s="22"/>
      <c r="M165" s="91"/>
      <c r="N165" s="91"/>
      <c r="O165" s="91"/>
      <c r="P165" s="91"/>
      <c r="Q165" s="91"/>
      <c r="R165" s="91"/>
      <c r="S165" s="92"/>
      <c r="T165" s="92"/>
      <c r="U165" s="92"/>
      <c r="V165" s="92"/>
      <c r="W165" s="92"/>
      <c r="X165" s="92"/>
      <c r="Y165" s="92"/>
      <c r="Z165" s="92"/>
      <c r="AA165" s="92"/>
      <c r="AB165" s="92"/>
      <c r="AC165" s="92"/>
      <c r="AD165" s="92"/>
      <c r="AE165" s="92"/>
      <c r="AF165" s="92"/>
      <c r="AG165" s="92"/>
      <c r="AH165" s="92"/>
      <c r="AI165" s="92"/>
      <c r="AJ165" s="92"/>
      <c r="AK165" s="92"/>
      <c r="AL165" s="92"/>
      <c r="AM165" s="92"/>
      <c r="AN165" s="92"/>
      <c r="AO165" s="92"/>
      <c r="AP165" s="92"/>
      <c r="AQ165" s="92"/>
    </row>
    <row r="166" spans="1:43" x14ac:dyDescent="0.25">
      <c r="A166" s="22"/>
      <c r="B166" s="379"/>
      <c r="C166" s="379"/>
      <c r="D166" s="379"/>
      <c r="E166" s="379"/>
      <c r="F166" s="22"/>
      <c r="G166" s="22"/>
      <c r="H166" s="22"/>
      <c r="I166" s="22"/>
      <c r="J166" s="22"/>
      <c r="K166" s="22"/>
      <c r="L166" s="22"/>
      <c r="M166" s="91"/>
      <c r="N166" s="91"/>
      <c r="O166" s="91"/>
      <c r="P166" s="91"/>
      <c r="Q166" s="91"/>
      <c r="R166" s="91"/>
      <c r="S166" s="92"/>
      <c r="T166" s="92"/>
      <c r="U166" s="92"/>
      <c r="V166" s="92"/>
      <c r="W166" s="92"/>
      <c r="X166" s="92"/>
      <c r="Y166" s="92"/>
      <c r="Z166" s="92"/>
      <c r="AA166" s="92"/>
      <c r="AB166" s="92"/>
      <c r="AC166" s="92"/>
      <c r="AD166" s="92"/>
      <c r="AE166" s="92"/>
      <c r="AF166" s="92"/>
      <c r="AG166" s="92"/>
      <c r="AH166" s="92"/>
      <c r="AI166" s="92"/>
      <c r="AJ166" s="92"/>
      <c r="AK166" s="92"/>
      <c r="AL166" s="92"/>
      <c r="AM166" s="92"/>
      <c r="AN166" s="92"/>
      <c r="AO166" s="92"/>
      <c r="AP166" s="92"/>
      <c r="AQ166" s="92"/>
    </row>
    <row r="167" spans="1:43" x14ac:dyDescent="0.25">
      <c r="A167" s="22"/>
      <c r="B167" s="379"/>
      <c r="C167" s="379"/>
      <c r="D167" s="379"/>
      <c r="E167" s="379"/>
      <c r="F167" s="22"/>
      <c r="G167" s="22"/>
      <c r="H167" s="22"/>
      <c r="I167" s="22"/>
      <c r="J167" s="22"/>
      <c r="K167" s="22"/>
      <c r="L167" s="22"/>
      <c r="M167" s="91"/>
      <c r="N167" s="91"/>
      <c r="O167" s="91"/>
      <c r="P167" s="91"/>
      <c r="Q167" s="91"/>
      <c r="R167" s="91"/>
      <c r="S167" s="92"/>
      <c r="T167" s="92"/>
      <c r="U167" s="92"/>
      <c r="V167" s="92"/>
      <c r="W167" s="92"/>
      <c r="X167" s="92"/>
      <c r="Y167" s="92"/>
      <c r="Z167" s="92"/>
      <c r="AA167" s="92"/>
      <c r="AB167" s="92"/>
      <c r="AC167" s="92"/>
      <c r="AD167" s="92"/>
      <c r="AE167" s="92"/>
      <c r="AF167" s="92"/>
      <c r="AG167" s="92"/>
      <c r="AH167" s="92"/>
      <c r="AI167" s="92"/>
      <c r="AJ167" s="92"/>
      <c r="AK167" s="92"/>
      <c r="AL167" s="92"/>
      <c r="AM167" s="92"/>
      <c r="AN167" s="92"/>
      <c r="AO167" s="92"/>
      <c r="AP167" s="92"/>
      <c r="AQ167" s="92"/>
    </row>
    <row r="168" spans="1:43" ht="15.75" x14ac:dyDescent="0.25">
      <c r="A168" s="22"/>
      <c r="B168" s="379"/>
      <c r="C168" s="379"/>
      <c r="D168" s="379"/>
      <c r="E168" s="379"/>
      <c r="F168" s="22"/>
      <c r="G168" s="22"/>
      <c r="H168" s="22"/>
      <c r="I168" s="22"/>
      <c r="J168" s="22"/>
      <c r="K168" s="22"/>
      <c r="L168" s="22"/>
      <c r="M168" s="91"/>
      <c r="N168" s="91"/>
      <c r="O168" s="91"/>
      <c r="P168" s="101"/>
      <c r="Q168" s="91"/>
      <c r="R168" s="91"/>
      <c r="S168" s="92"/>
      <c r="T168" s="92"/>
      <c r="U168" s="92"/>
      <c r="V168" s="102"/>
      <c r="W168" s="92"/>
      <c r="X168" s="92"/>
      <c r="Y168" s="92"/>
      <c r="Z168" s="92"/>
      <c r="AA168" s="92"/>
      <c r="AB168" s="92"/>
      <c r="AC168" s="92"/>
      <c r="AD168" s="92"/>
      <c r="AE168" s="92"/>
      <c r="AF168" s="92"/>
      <c r="AG168" s="92"/>
      <c r="AH168" s="92"/>
      <c r="AI168" s="92"/>
      <c r="AJ168" s="92"/>
      <c r="AK168" s="92"/>
      <c r="AL168" s="92"/>
      <c r="AM168" s="92"/>
      <c r="AN168" s="92"/>
      <c r="AO168" s="92"/>
      <c r="AP168" s="92"/>
      <c r="AQ168" s="92"/>
    </row>
    <row r="169" spans="1:43" x14ac:dyDescent="0.25">
      <c r="A169" s="22"/>
      <c r="B169" s="379"/>
      <c r="C169" s="379"/>
      <c r="D169" s="379"/>
      <c r="E169" s="379"/>
      <c r="F169" s="22"/>
      <c r="G169" s="22"/>
      <c r="H169" s="22"/>
      <c r="I169" s="22"/>
      <c r="J169" s="22"/>
      <c r="K169" s="22"/>
      <c r="L169" s="22"/>
      <c r="M169" s="91"/>
      <c r="N169" s="91"/>
      <c r="O169" s="91"/>
      <c r="P169" s="91"/>
      <c r="Q169" s="91"/>
      <c r="R169" s="91"/>
      <c r="S169" s="92"/>
      <c r="T169" s="92"/>
      <c r="U169" s="92"/>
      <c r="V169" s="92"/>
      <c r="W169" s="92"/>
      <c r="X169" s="92"/>
      <c r="Y169" s="92"/>
      <c r="Z169" s="92"/>
      <c r="AA169" s="92"/>
      <c r="AB169" s="92"/>
      <c r="AC169" s="92"/>
      <c r="AD169" s="92"/>
      <c r="AE169" s="92"/>
      <c r="AF169" s="92"/>
      <c r="AG169" s="92"/>
      <c r="AH169" s="92"/>
      <c r="AI169" s="92"/>
      <c r="AJ169" s="92"/>
      <c r="AK169" s="92"/>
      <c r="AL169" s="92"/>
      <c r="AM169" s="92"/>
      <c r="AN169" s="92"/>
      <c r="AO169" s="92"/>
      <c r="AP169" s="92"/>
      <c r="AQ169" s="92"/>
    </row>
    <row r="170" spans="1:43" ht="15.75" x14ac:dyDescent="0.25">
      <c r="A170" s="22"/>
      <c r="B170" s="379"/>
      <c r="C170" s="379"/>
      <c r="D170" s="379"/>
      <c r="E170" s="379"/>
      <c r="F170" s="22"/>
      <c r="G170" s="22"/>
      <c r="H170" s="22"/>
      <c r="I170" s="22"/>
      <c r="J170" s="22"/>
      <c r="K170" s="22"/>
      <c r="L170" s="22"/>
      <c r="M170" s="91"/>
      <c r="N170" s="91"/>
      <c r="O170" s="91"/>
      <c r="P170" s="91"/>
      <c r="Q170" s="91"/>
      <c r="R170" s="91"/>
      <c r="S170" s="92"/>
      <c r="T170" s="92"/>
      <c r="U170" s="92"/>
      <c r="V170" s="92"/>
      <c r="W170" s="102"/>
      <c r="X170" s="92"/>
      <c r="Y170" s="92"/>
      <c r="Z170" s="92"/>
      <c r="AA170" s="92"/>
      <c r="AB170" s="92"/>
      <c r="AC170" s="92"/>
      <c r="AD170" s="92"/>
      <c r="AE170" s="92"/>
      <c r="AF170" s="92"/>
      <c r="AG170" s="92"/>
      <c r="AH170" s="92"/>
      <c r="AI170" s="92"/>
      <c r="AJ170" s="92"/>
      <c r="AK170" s="92"/>
      <c r="AL170" s="92"/>
      <c r="AM170" s="92"/>
      <c r="AN170" s="92"/>
      <c r="AO170" s="92"/>
      <c r="AP170" s="92"/>
      <c r="AQ170" s="92"/>
    </row>
    <row r="171" spans="1:43" ht="15.75" x14ac:dyDescent="0.25">
      <c r="A171" s="22"/>
      <c r="B171" s="379"/>
      <c r="C171" s="379"/>
      <c r="D171" s="379"/>
      <c r="E171" s="379"/>
      <c r="F171" s="22"/>
      <c r="G171" s="22"/>
      <c r="H171" s="22"/>
      <c r="I171" s="22"/>
      <c r="J171" s="22"/>
      <c r="K171" s="22"/>
      <c r="L171" s="22"/>
      <c r="M171" s="91"/>
      <c r="N171" s="91"/>
      <c r="O171" s="91"/>
      <c r="P171" s="101"/>
      <c r="Q171" s="91"/>
      <c r="R171" s="91"/>
      <c r="S171" s="92"/>
      <c r="T171" s="92"/>
      <c r="U171" s="92"/>
      <c r="V171" s="380"/>
      <c r="W171" s="412"/>
      <c r="X171" s="412"/>
      <c r="Y171" s="412"/>
      <c r="Z171" s="92"/>
      <c r="AA171" s="92"/>
      <c r="AB171" s="92"/>
      <c r="AC171" s="92"/>
      <c r="AD171" s="92"/>
      <c r="AE171" s="92"/>
      <c r="AF171" s="92"/>
      <c r="AG171" s="92"/>
      <c r="AH171" s="92"/>
      <c r="AI171" s="92"/>
      <c r="AJ171" s="92"/>
      <c r="AK171" s="92"/>
      <c r="AL171" s="92"/>
      <c r="AM171" s="92"/>
      <c r="AN171" s="92"/>
      <c r="AO171" s="92"/>
      <c r="AP171" s="92"/>
      <c r="AQ171" s="92"/>
    </row>
    <row r="172" spans="1:43" ht="15.75" x14ac:dyDescent="0.25">
      <c r="A172" s="22"/>
      <c r="B172" s="379"/>
      <c r="C172" s="379"/>
      <c r="D172" s="379"/>
      <c r="E172" s="379"/>
      <c r="F172" s="22"/>
      <c r="G172" s="22"/>
      <c r="H172" s="22"/>
      <c r="I172" s="22"/>
      <c r="J172" s="22"/>
      <c r="K172" s="22"/>
      <c r="L172" s="22"/>
      <c r="M172" s="91"/>
      <c r="N172" s="91"/>
      <c r="O172" s="91"/>
      <c r="P172" s="91"/>
      <c r="Q172" s="91"/>
      <c r="R172" s="91"/>
      <c r="S172" s="92"/>
      <c r="T172" s="92"/>
      <c r="U172" s="92"/>
      <c r="V172" s="380"/>
      <c r="W172" s="100"/>
      <c r="X172" s="100"/>
      <c r="Y172" s="100"/>
      <c r="Z172" s="92"/>
      <c r="AA172" s="92"/>
      <c r="AB172" s="92"/>
      <c r="AC172" s="92"/>
      <c r="AD172" s="92"/>
      <c r="AE172" s="92"/>
      <c r="AF172" s="92"/>
      <c r="AG172" s="92"/>
      <c r="AH172" s="92"/>
      <c r="AI172" s="92"/>
      <c r="AJ172" s="92"/>
      <c r="AK172" s="92"/>
      <c r="AL172" s="92"/>
      <c r="AM172" s="92"/>
      <c r="AN172" s="92"/>
      <c r="AO172" s="92"/>
      <c r="AP172" s="92"/>
      <c r="AQ172" s="92"/>
    </row>
    <row r="173" spans="1:43" ht="16.5" x14ac:dyDescent="0.25">
      <c r="A173" s="22"/>
      <c r="B173" s="379"/>
      <c r="C173" s="379"/>
      <c r="D173" s="379"/>
      <c r="E173" s="379"/>
      <c r="F173" s="22"/>
      <c r="G173" s="22"/>
      <c r="H173" s="22"/>
      <c r="I173" s="22"/>
      <c r="J173" s="22"/>
      <c r="K173" s="22"/>
      <c r="L173" s="22"/>
      <c r="M173" s="91"/>
      <c r="N173" s="91"/>
      <c r="O173" s="91"/>
      <c r="P173" s="91"/>
      <c r="Q173" s="91"/>
      <c r="R173" s="91"/>
      <c r="S173" s="92"/>
      <c r="T173" s="92"/>
      <c r="U173" s="92"/>
      <c r="V173" s="94"/>
      <c r="W173" s="98"/>
      <c r="X173" s="99"/>
      <c r="Y173" s="99"/>
      <c r="Z173" s="92"/>
      <c r="AA173" s="92"/>
      <c r="AB173" s="92"/>
      <c r="AC173" s="92"/>
      <c r="AD173" s="92"/>
      <c r="AE173" s="92"/>
      <c r="AF173" s="92"/>
      <c r="AG173" s="92"/>
      <c r="AH173" s="92"/>
      <c r="AI173" s="92"/>
      <c r="AJ173" s="92"/>
      <c r="AK173" s="92"/>
      <c r="AL173" s="92"/>
      <c r="AM173" s="92"/>
      <c r="AN173" s="92"/>
      <c r="AO173" s="92"/>
      <c r="AP173" s="92"/>
      <c r="AQ173" s="92"/>
    </row>
    <row r="174" spans="1:43" ht="16.5" x14ac:dyDescent="0.25">
      <c r="A174" s="22"/>
      <c r="B174" s="379"/>
      <c r="C174" s="379"/>
      <c r="D174" s="379"/>
      <c r="E174" s="379"/>
      <c r="F174" s="22"/>
      <c r="G174" s="22"/>
      <c r="H174" s="22"/>
      <c r="I174" s="22"/>
      <c r="J174" s="22"/>
      <c r="K174" s="22"/>
      <c r="L174" s="22"/>
      <c r="M174" s="91"/>
      <c r="N174" s="91"/>
      <c r="O174" s="91"/>
      <c r="P174" s="91"/>
      <c r="Q174" s="91"/>
      <c r="R174" s="91"/>
      <c r="S174" s="92"/>
      <c r="T174" s="92"/>
      <c r="U174" s="92"/>
      <c r="V174" s="94"/>
      <c r="W174" s="98"/>
      <c r="X174" s="99"/>
      <c r="Y174" s="99"/>
      <c r="Z174" s="92"/>
      <c r="AA174" s="92"/>
      <c r="AB174" s="92"/>
      <c r="AC174" s="92"/>
      <c r="AD174" s="92"/>
      <c r="AE174" s="92"/>
      <c r="AF174" s="92"/>
      <c r="AG174" s="92"/>
      <c r="AH174" s="92"/>
      <c r="AI174" s="92"/>
      <c r="AJ174" s="92"/>
      <c r="AK174" s="92"/>
      <c r="AL174" s="92"/>
      <c r="AM174" s="92"/>
      <c r="AN174" s="92"/>
      <c r="AO174" s="92"/>
      <c r="AP174" s="92"/>
      <c r="AQ174" s="92"/>
    </row>
    <row r="175" spans="1:43" ht="16.5" x14ac:dyDescent="0.25">
      <c r="A175" s="22"/>
      <c r="B175" s="379"/>
      <c r="C175" s="379"/>
      <c r="D175" s="379"/>
      <c r="E175" s="379"/>
      <c r="F175" s="22"/>
      <c r="G175" s="22"/>
      <c r="H175" s="22"/>
      <c r="I175" s="22"/>
      <c r="J175" s="22"/>
      <c r="K175" s="22"/>
      <c r="L175" s="22"/>
      <c r="M175" s="91"/>
      <c r="N175" s="91"/>
      <c r="O175" s="91"/>
      <c r="P175" s="91"/>
      <c r="Q175" s="91"/>
      <c r="R175" s="91"/>
      <c r="S175" s="92"/>
      <c r="T175" s="92"/>
      <c r="U175" s="92"/>
      <c r="V175" s="94"/>
      <c r="W175" s="98"/>
      <c r="X175" s="99"/>
      <c r="Y175" s="99"/>
      <c r="Z175" s="92"/>
      <c r="AA175" s="92"/>
      <c r="AB175" s="92"/>
      <c r="AC175" s="92"/>
      <c r="AD175" s="92"/>
      <c r="AE175" s="92"/>
      <c r="AF175" s="92"/>
      <c r="AG175" s="92"/>
      <c r="AH175" s="92"/>
      <c r="AI175" s="92"/>
      <c r="AJ175" s="92"/>
      <c r="AK175" s="92"/>
      <c r="AL175" s="92"/>
      <c r="AM175" s="92"/>
      <c r="AN175" s="92"/>
      <c r="AO175" s="92"/>
      <c r="AP175" s="92"/>
      <c r="AQ175" s="92"/>
    </row>
    <row r="176" spans="1:43" ht="16.5" x14ac:dyDescent="0.25">
      <c r="A176" s="22"/>
      <c r="B176" s="379"/>
      <c r="C176" s="379"/>
      <c r="D176" s="379"/>
      <c r="E176" s="379"/>
      <c r="F176" s="22"/>
      <c r="G176" s="22"/>
      <c r="H176" s="22"/>
      <c r="I176" s="22"/>
      <c r="J176" s="22"/>
      <c r="K176" s="22"/>
      <c r="L176" s="22"/>
      <c r="M176" s="91"/>
      <c r="N176" s="91"/>
      <c r="O176" s="91"/>
      <c r="P176" s="91"/>
      <c r="Q176" s="91"/>
      <c r="R176" s="91"/>
      <c r="S176" s="92"/>
      <c r="T176" s="92"/>
      <c r="U176" s="92"/>
      <c r="V176" s="94"/>
      <c r="W176" s="98"/>
      <c r="X176" s="99"/>
      <c r="Y176" s="99"/>
      <c r="Z176" s="92"/>
      <c r="AA176" s="92"/>
      <c r="AB176" s="92"/>
      <c r="AC176" s="92"/>
      <c r="AD176" s="92"/>
      <c r="AE176" s="92"/>
      <c r="AF176" s="92"/>
      <c r="AG176" s="92"/>
      <c r="AH176" s="92"/>
      <c r="AI176" s="92"/>
      <c r="AJ176" s="92"/>
      <c r="AK176" s="92"/>
      <c r="AL176" s="92"/>
      <c r="AM176" s="92"/>
      <c r="AN176" s="92"/>
      <c r="AO176" s="92"/>
      <c r="AP176" s="92"/>
      <c r="AQ176" s="92"/>
    </row>
    <row r="177" spans="1:43" ht="16.5" x14ac:dyDescent="0.25">
      <c r="A177" s="22"/>
      <c r="B177" s="379"/>
      <c r="C177" s="379"/>
      <c r="D177" s="379"/>
      <c r="E177" s="379"/>
      <c r="F177" s="22"/>
      <c r="G177" s="22"/>
      <c r="H177" s="22"/>
      <c r="I177" s="22"/>
      <c r="J177" s="22"/>
      <c r="K177" s="22"/>
      <c r="L177" s="22"/>
      <c r="M177" s="91"/>
      <c r="N177" s="91"/>
      <c r="O177" s="91"/>
      <c r="P177" s="91"/>
      <c r="Q177" s="91"/>
      <c r="R177" s="91"/>
      <c r="S177" s="92"/>
      <c r="T177" s="92"/>
      <c r="U177" s="92"/>
      <c r="V177" s="94"/>
      <c r="W177" s="98"/>
      <c r="X177" s="99"/>
      <c r="Y177" s="99"/>
      <c r="Z177" s="92"/>
      <c r="AA177" s="92"/>
      <c r="AB177" s="92"/>
      <c r="AC177" s="92"/>
      <c r="AD177" s="92"/>
      <c r="AE177" s="92"/>
      <c r="AF177" s="92"/>
      <c r="AG177" s="92"/>
      <c r="AH177" s="92"/>
      <c r="AI177" s="92"/>
      <c r="AJ177" s="92"/>
      <c r="AK177" s="92"/>
      <c r="AL177" s="92"/>
      <c r="AM177" s="92"/>
      <c r="AN177" s="92"/>
      <c r="AO177" s="92"/>
      <c r="AP177" s="92"/>
      <c r="AQ177" s="92"/>
    </row>
    <row r="178" spans="1:43" ht="16.5" x14ac:dyDescent="0.25">
      <c r="A178" s="22"/>
      <c r="B178" s="379"/>
      <c r="C178" s="379"/>
      <c r="D178" s="379"/>
      <c r="E178" s="379"/>
      <c r="F178" s="22"/>
      <c r="G178" s="22"/>
      <c r="H178" s="22"/>
      <c r="I178" s="22"/>
      <c r="J178" s="22"/>
      <c r="K178" s="22"/>
      <c r="L178" s="22"/>
      <c r="M178" s="91"/>
      <c r="N178" s="91"/>
      <c r="O178" s="91"/>
      <c r="P178" s="91"/>
      <c r="Q178" s="91"/>
      <c r="R178" s="91"/>
      <c r="S178" s="92"/>
      <c r="T178" s="92"/>
      <c r="U178" s="92"/>
      <c r="V178" s="94"/>
      <c r="W178" s="98"/>
      <c r="X178" s="99"/>
      <c r="Y178" s="103"/>
      <c r="Z178" s="92"/>
      <c r="AA178" s="92"/>
      <c r="AB178" s="92"/>
      <c r="AC178" s="92"/>
      <c r="AD178" s="92"/>
      <c r="AE178" s="92"/>
      <c r="AF178" s="92"/>
      <c r="AG178" s="92"/>
      <c r="AH178" s="92"/>
      <c r="AI178" s="92"/>
      <c r="AJ178" s="92"/>
      <c r="AK178" s="92"/>
      <c r="AL178" s="92"/>
      <c r="AM178" s="92"/>
      <c r="AN178" s="92"/>
      <c r="AO178" s="92"/>
      <c r="AP178" s="92"/>
      <c r="AQ178" s="92"/>
    </row>
    <row r="179" spans="1:43" ht="16.5" x14ac:dyDescent="0.25">
      <c r="A179" s="22"/>
      <c r="B179" s="379"/>
      <c r="C179" s="379"/>
      <c r="D179" s="379"/>
      <c r="E179" s="379"/>
      <c r="F179" s="22"/>
      <c r="G179" s="22"/>
      <c r="H179" s="22"/>
      <c r="I179" s="22"/>
      <c r="J179" s="22"/>
      <c r="K179" s="22"/>
      <c r="L179" s="22"/>
      <c r="M179" s="91"/>
      <c r="N179" s="91"/>
      <c r="O179" s="91"/>
      <c r="P179" s="91"/>
      <c r="Q179" s="91"/>
      <c r="R179" s="91"/>
      <c r="S179" s="92"/>
      <c r="T179" s="92"/>
      <c r="U179" s="92"/>
      <c r="V179" s="94"/>
      <c r="W179" s="98"/>
      <c r="X179" s="103"/>
      <c r="Y179" s="103"/>
      <c r="Z179" s="92"/>
      <c r="AA179" s="92"/>
      <c r="AB179" s="92"/>
      <c r="AC179" s="92"/>
      <c r="AD179" s="92"/>
      <c r="AE179" s="92"/>
      <c r="AF179" s="92"/>
      <c r="AG179" s="92"/>
      <c r="AH179" s="92"/>
      <c r="AI179" s="92"/>
      <c r="AJ179" s="92"/>
      <c r="AK179" s="92"/>
      <c r="AL179" s="92"/>
      <c r="AM179" s="92"/>
      <c r="AN179" s="92"/>
      <c r="AO179" s="92"/>
      <c r="AP179" s="92"/>
      <c r="AQ179" s="92"/>
    </row>
    <row r="180" spans="1:43" ht="16.5" x14ac:dyDescent="0.25">
      <c r="A180" s="22"/>
      <c r="B180" s="379"/>
      <c r="C180" s="379"/>
      <c r="D180" s="379"/>
      <c r="E180" s="379"/>
      <c r="F180" s="22"/>
      <c r="G180" s="22"/>
      <c r="H180" s="22"/>
      <c r="I180" s="22"/>
      <c r="J180" s="22"/>
      <c r="K180" s="22"/>
      <c r="L180" s="22"/>
      <c r="M180" s="91"/>
      <c r="N180" s="91"/>
      <c r="O180" s="91"/>
      <c r="P180" s="91"/>
      <c r="Q180" s="91"/>
      <c r="R180" s="91"/>
      <c r="S180" s="92"/>
      <c r="T180" s="92"/>
      <c r="U180" s="92"/>
      <c r="V180" s="94"/>
      <c r="W180" s="98"/>
      <c r="X180" s="103"/>
      <c r="Y180" s="103"/>
      <c r="Z180" s="92"/>
      <c r="AA180" s="92"/>
      <c r="AB180" s="92"/>
      <c r="AC180" s="92"/>
      <c r="AD180" s="92"/>
      <c r="AE180" s="92"/>
      <c r="AF180" s="92"/>
      <c r="AG180" s="92"/>
      <c r="AH180" s="92"/>
      <c r="AI180" s="92"/>
      <c r="AJ180" s="92"/>
      <c r="AK180" s="92"/>
      <c r="AL180" s="92"/>
      <c r="AM180" s="92"/>
      <c r="AN180" s="92"/>
      <c r="AO180" s="92"/>
      <c r="AP180" s="92"/>
      <c r="AQ180" s="92"/>
    </row>
    <row r="181" spans="1:43" x14ac:dyDescent="0.25">
      <c r="A181" s="22"/>
      <c r="B181" s="379"/>
      <c r="C181" s="379"/>
      <c r="D181" s="379"/>
      <c r="E181" s="379"/>
      <c r="F181" s="22"/>
      <c r="G181" s="22"/>
      <c r="H181" s="22"/>
      <c r="I181" s="22"/>
      <c r="J181" s="22"/>
      <c r="K181" s="22"/>
      <c r="L181" s="22"/>
      <c r="M181" s="91"/>
      <c r="N181" s="91"/>
      <c r="O181" s="91"/>
      <c r="P181" s="91"/>
      <c r="Q181" s="91"/>
      <c r="R181" s="91"/>
      <c r="S181" s="92"/>
      <c r="T181" s="92"/>
      <c r="U181" s="92"/>
      <c r="V181" s="92"/>
      <c r="W181" s="92"/>
      <c r="X181" s="92"/>
      <c r="Y181" s="92"/>
      <c r="Z181" s="92"/>
      <c r="AA181" s="92"/>
      <c r="AB181" s="92"/>
      <c r="AC181" s="92"/>
      <c r="AD181" s="92"/>
      <c r="AE181" s="92"/>
      <c r="AF181" s="92"/>
      <c r="AG181" s="92"/>
      <c r="AH181" s="92"/>
      <c r="AI181" s="92"/>
      <c r="AJ181" s="92"/>
      <c r="AK181" s="92"/>
      <c r="AL181" s="92"/>
      <c r="AM181" s="92"/>
      <c r="AN181" s="92"/>
      <c r="AO181" s="92"/>
      <c r="AP181" s="92"/>
      <c r="AQ181" s="92"/>
    </row>
    <row r="182" spans="1:43" x14ac:dyDescent="0.25">
      <c r="A182" s="22"/>
      <c r="B182" s="379"/>
      <c r="C182" s="379"/>
      <c r="D182" s="379"/>
      <c r="E182" s="379"/>
      <c r="F182" s="22"/>
      <c r="G182" s="22"/>
      <c r="H182" s="22"/>
      <c r="I182" s="22"/>
      <c r="J182" s="22"/>
      <c r="K182" s="22"/>
      <c r="L182" s="22"/>
      <c r="M182" s="91"/>
      <c r="N182" s="91"/>
      <c r="O182" s="91"/>
      <c r="P182" s="91"/>
      <c r="Q182" s="91"/>
      <c r="R182" s="91"/>
      <c r="S182" s="92"/>
      <c r="T182" s="92"/>
      <c r="U182" s="92"/>
      <c r="V182" s="92"/>
      <c r="W182" s="92"/>
      <c r="X182" s="92"/>
      <c r="Y182" s="92"/>
      <c r="Z182" s="92"/>
      <c r="AA182" s="92"/>
      <c r="AB182" s="92"/>
      <c r="AC182" s="92"/>
      <c r="AD182" s="92"/>
      <c r="AE182" s="92"/>
      <c r="AF182" s="92"/>
      <c r="AG182" s="92"/>
      <c r="AH182" s="92"/>
      <c r="AI182" s="92"/>
      <c r="AJ182" s="92"/>
      <c r="AK182" s="92"/>
      <c r="AL182" s="92"/>
      <c r="AM182" s="92"/>
      <c r="AN182" s="92"/>
      <c r="AO182" s="92"/>
      <c r="AP182" s="92"/>
      <c r="AQ182" s="92"/>
    </row>
    <row r="183" spans="1:43" ht="15.75" x14ac:dyDescent="0.25">
      <c r="A183" s="22"/>
      <c r="B183" s="379"/>
      <c r="C183" s="379"/>
      <c r="D183" s="379"/>
      <c r="E183" s="379"/>
      <c r="F183" s="22"/>
      <c r="G183" s="22"/>
      <c r="H183" s="22"/>
      <c r="I183" s="22"/>
      <c r="J183" s="22"/>
      <c r="K183" s="22"/>
      <c r="L183" s="22"/>
      <c r="M183" s="91"/>
      <c r="N183" s="91"/>
      <c r="O183" s="91"/>
      <c r="P183" s="91"/>
      <c r="Q183" s="91"/>
      <c r="R183" s="91"/>
      <c r="S183" s="92"/>
      <c r="T183" s="92"/>
      <c r="U183" s="92"/>
      <c r="V183" s="92"/>
      <c r="W183" s="92"/>
      <c r="X183" s="92"/>
      <c r="Y183" s="92"/>
      <c r="Z183" s="92"/>
      <c r="AA183" s="92"/>
      <c r="AB183" s="92"/>
      <c r="AC183" s="92"/>
      <c r="AD183" s="102"/>
      <c r="AE183" s="92"/>
      <c r="AF183" s="92"/>
      <c r="AG183" s="92"/>
      <c r="AH183" s="92"/>
      <c r="AI183" s="92"/>
      <c r="AJ183" s="92"/>
      <c r="AK183" s="92"/>
      <c r="AL183" s="92"/>
      <c r="AM183" s="92"/>
      <c r="AN183" s="92"/>
      <c r="AO183" s="92"/>
      <c r="AP183" s="92"/>
      <c r="AQ183" s="92"/>
    </row>
    <row r="184" spans="1:43" ht="15.75" x14ac:dyDescent="0.25">
      <c r="A184" s="22"/>
      <c r="B184" s="379"/>
      <c r="C184" s="379"/>
      <c r="D184" s="379"/>
      <c r="E184" s="379"/>
      <c r="F184" s="22"/>
      <c r="G184" s="22"/>
      <c r="H184" s="22"/>
      <c r="I184" s="22"/>
      <c r="J184" s="22"/>
      <c r="K184" s="22"/>
      <c r="L184" s="22"/>
      <c r="M184" s="91"/>
      <c r="N184" s="91"/>
      <c r="O184" s="91"/>
      <c r="P184" s="101"/>
      <c r="Q184" s="91"/>
      <c r="R184" s="91"/>
      <c r="S184" s="92"/>
      <c r="T184" s="92"/>
      <c r="U184" s="92"/>
      <c r="V184" s="412"/>
      <c r="W184" s="412"/>
      <c r="X184" s="412"/>
      <c r="Y184" s="412"/>
      <c r="Z184" s="412"/>
      <c r="AA184" s="412"/>
      <c r="AB184" s="412"/>
      <c r="AC184" s="412"/>
      <c r="AD184" s="412"/>
      <c r="AE184" s="412"/>
      <c r="AF184" s="412"/>
      <c r="AG184" s="412"/>
      <c r="AH184" s="412"/>
      <c r="AI184" s="412"/>
      <c r="AJ184" s="412"/>
      <c r="AK184" s="92"/>
      <c r="AL184" s="92"/>
      <c r="AM184" s="92"/>
      <c r="AN184" s="92"/>
      <c r="AO184" s="92"/>
      <c r="AP184" s="92"/>
      <c r="AQ184" s="92"/>
    </row>
    <row r="185" spans="1:43" ht="15.75" x14ac:dyDescent="0.25">
      <c r="A185" s="22"/>
      <c r="B185" s="379"/>
      <c r="C185" s="379"/>
      <c r="D185" s="379"/>
      <c r="E185" s="379"/>
      <c r="F185" s="22"/>
      <c r="G185" s="22"/>
      <c r="H185" s="22"/>
      <c r="I185" s="22"/>
      <c r="J185" s="22"/>
      <c r="K185" s="22"/>
      <c r="L185" s="22"/>
      <c r="M185" s="91"/>
      <c r="N185" s="91"/>
      <c r="O185" s="91"/>
      <c r="P185" s="91"/>
      <c r="Q185" s="91"/>
      <c r="R185" s="91"/>
      <c r="S185" s="92"/>
      <c r="T185" s="92"/>
      <c r="U185" s="92"/>
      <c r="V185" s="380"/>
      <c r="W185" s="100"/>
      <c r="X185" s="100"/>
      <c r="Y185" s="100"/>
      <c r="Z185" s="100"/>
      <c r="AA185" s="100"/>
      <c r="AB185" s="100"/>
      <c r="AC185" s="100"/>
      <c r="AD185" s="100"/>
      <c r="AE185" s="100"/>
      <c r="AF185" s="104"/>
      <c r="AG185" s="92"/>
      <c r="AH185" s="92"/>
      <c r="AI185" s="92"/>
      <c r="AJ185" s="92"/>
      <c r="AK185" s="92"/>
      <c r="AL185" s="92"/>
      <c r="AM185" s="92"/>
      <c r="AN185" s="92"/>
      <c r="AO185" s="92"/>
      <c r="AP185" s="92"/>
      <c r="AQ185" s="92"/>
    </row>
    <row r="186" spans="1:43" ht="16.5" x14ac:dyDescent="0.25">
      <c r="A186" s="22"/>
      <c r="B186" s="379"/>
      <c r="C186" s="379"/>
      <c r="D186" s="379"/>
      <c r="E186" s="379"/>
      <c r="F186" s="22"/>
      <c r="G186" s="22"/>
      <c r="H186" s="22"/>
      <c r="I186" s="22"/>
      <c r="J186" s="22"/>
      <c r="K186" s="22"/>
      <c r="L186" s="22"/>
      <c r="M186" s="91"/>
      <c r="N186" s="91"/>
      <c r="O186" s="91"/>
      <c r="P186" s="91"/>
      <c r="Q186" s="91"/>
      <c r="R186" s="91"/>
      <c r="S186" s="92"/>
      <c r="T186" s="92"/>
      <c r="U186" s="92"/>
      <c r="V186" s="94"/>
      <c r="W186" s="95"/>
      <c r="X186" s="95"/>
      <c r="Y186" s="95"/>
      <c r="Z186" s="95"/>
      <c r="AA186" s="95"/>
      <c r="AB186" s="95"/>
      <c r="AC186" s="95"/>
      <c r="AD186" s="95"/>
      <c r="AE186" s="96"/>
      <c r="AF186" s="92"/>
      <c r="AG186" s="97"/>
      <c r="AH186" s="92"/>
      <c r="AI186" s="92"/>
      <c r="AJ186" s="92"/>
      <c r="AK186" s="92"/>
      <c r="AL186" s="92"/>
      <c r="AM186" s="92"/>
      <c r="AN186" s="92"/>
      <c r="AO186" s="92"/>
      <c r="AP186" s="92"/>
      <c r="AQ186" s="92"/>
    </row>
    <row r="187" spans="1:43" ht="16.5" x14ac:dyDescent="0.25">
      <c r="A187" s="22"/>
      <c r="B187" s="379"/>
      <c r="C187" s="379"/>
      <c r="D187" s="379"/>
      <c r="E187" s="379"/>
      <c r="F187" s="22"/>
      <c r="G187" s="22"/>
      <c r="H187" s="22"/>
      <c r="I187" s="22"/>
      <c r="J187" s="22"/>
      <c r="K187" s="22"/>
      <c r="L187" s="22"/>
      <c r="M187" s="91"/>
      <c r="N187" s="91"/>
      <c r="O187" s="91"/>
      <c r="P187" s="91"/>
      <c r="Q187" s="91"/>
      <c r="R187" s="91"/>
      <c r="S187" s="92"/>
      <c r="T187" s="92"/>
      <c r="U187" s="92"/>
      <c r="V187" s="94"/>
      <c r="W187" s="95"/>
      <c r="X187" s="95"/>
      <c r="Y187" s="95"/>
      <c r="Z187" s="95"/>
      <c r="AA187" s="95"/>
      <c r="AB187" s="95"/>
      <c r="AC187" s="95"/>
      <c r="AD187" s="95"/>
      <c r="AE187" s="96"/>
      <c r="AF187" s="92"/>
      <c r="AG187" s="97"/>
      <c r="AH187" s="92"/>
      <c r="AI187" s="92"/>
      <c r="AJ187" s="92"/>
      <c r="AK187" s="92"/>
      <c r="AL187" s="92"/>
      <c r="AM187" s="92"/>
      <c r="AN187" s="92"/>
      <c r="AO187" s="92"/>
      <c r="AP187" s="92"/>
      <c r="AQ187" s="92"/>
    </row>
    <row r="188" spans="1:43" ht="16.5" x14ac:dyDescent="0.25">
      <c r="A188" s="22"/>
      <c r="B188" s="379"/>
      <c r="C188" s="379"/>
      <c r="D188" s="379"/>
      <c r="E188" s="379"/>
      <c r="F188" s="22"/>
      <c r="G188" s="22"/>
      <c r="H188" s="22"/>
      <c r="I188" s="22"/>
      <c r="J188" s="22"/>
      <c r="K188" s="22"/>
      <c r="L188" s="22"/>
      <c r="M188" s="91"/>
      <c r="N188" s="91"/>
      <c r="O188" s="91"/>
      <c r="P188" s="91"/>
      <c r="Q188" s="91"/>
      <c r="R188" s="91"/>
      <c r="S188" s="92"/>
      <c r="T188" s="92"/>
      <c r="U188" s="92"/>
      <c r="V188" s="94"/>
      <c r="W188" s="95"/>
      <c r="X188" s="95"/>
      <c r="Y188" s="95"/>
      <c r="Z188" s="95"/>
      <c r="AA188" s="95"/>
      <c r="AB188" s="95"/>
      <c r="AC188" s="96"/>
      <c r="AD188" s="96"/>
      <c r="AE188" s="96"/>
      <c r="AF188" s="92"/>
      <c r="AG188" s="97"/>
      <c r="AH188" s="92"/>
      <c r="AI188" s="92"/>
      <c r="AJ188" s="92"/>
      <c r="AK188" s="92"/>
      <c r="AL188" s="92"/>
      <c r="AM188" s="92"/>
      <c r="AN188" s="92"/>
      <c r="AO188" s="92"/>
      <c r="AP188" s="92"/>
      <c r="AQ188" s="92"/>
    </row>
    <row r="189" spans="1:43" ht="16.5" x14ac:dyDescent="0.25">
      <c r="A189" s="22"/>
      <c r="B189" s="379"/>
      <c r="C189" s="379"/>
      <c r="D189" s="379"/>
      <c r="E189" s="379"/>
      <c r="F189" s="22"/>
      <c r="G189" s="22"/>
      <c r="H189" s="22"/>
      <c r="I189" s="22"/>
      <c r="J189" s="22"/>
      <c r="K189" s="22"/>
      <c r="L189" s="22"/>
      <c r="M189" s="91"/>
      <c r="N189" s="91"/>
      <c r="O189" s="91"/>
      <c r="P189" s="91"/>
      <c r="Q189" s="91"/>
      <c r="R189" s="91"/>
      <c r="S189" s="92"/>
      <c r="T189" s="92"/>
      <c r="U189" s="92"/>
      <c r="V189" s="94"/>
      <c r="W189" s="95"/>
      <c r="X189" s="95"/>
      <c r="Y189" s="95"/>
      <c r="Z189" s="95"/>
      <c r="AA189" s="96"/>
      <c r="AB189" s="96"/>
      <c r="AC189" s="96"/>
      <c r="AD189" s="96"/>
      <c r="AE189" s="96"/>
      <c r="AF189" s="92"/>
      <c r="AG189" s="97"/>
      <c r="AH189" s="92"/>
      <c r="AI189" s="92"/>
      <c r="AJ189" s="92"/>
      <c r="AK189" s="92"/>
      <c r="AL189" s="92"/>
      <c r="AM189" s="92"/>
      <c r="AN189" s="92"/>
      <c r="AO189" s="92"/>
      <c r="AP189" s="92"/>
      <c r="AQ189" s="92"/>
    </row>
    <row r="190" spans="1:43" ht="16.5" x14ac:dyDescent="0.25">
      <c r="A190" s="22"/>
      <c r="B190" s="379"/>
      <c r="C190" s="379"/>
      <c r="D190" s="379"/>
      <c r="E190" s="379"/>
      <c r="F190" s="22"/>
      <c r="G190" s="22"/>
      <c r="H190" s="22"/>
      <c r="I190" s="22"/>
      <c r="J190" s="22"/>
      <c r="K190" s="22"/>
      <c r="L190" s="22"/>
      <c r="M190" s="91"/>
      <c r="N190" s="91"/>
      <c r="O190" s="91"/>
      <c r="P190" s="91"/>
      <c r="Q190" s="91"/>
      <c r="R190" s="91"/>
      <c r="S190" s="92"/>
      <c r="T190" s="92"/>
      <c r="U190" s="92"/>
      <c r="V190" s="94"/>
      <c r="W190" s="95"/>
      <c r="X190" s="95"/>
      <c r="Y190" s="95"/>
      <c r="Z190" s="96"/>
      <c r="AA190" s="96"/>
      <c r="AB190" s="96"/>
      <c r="AC190" s="96"/>
      <c r="AD190" s="96"/>
      <c r="AE190" s="96"/>
      <c r="AF190" s="92"/>
      <c r="AG190" s="97"/>
      <c r="AH190" s="92"/>
      <c r="AI190" s="92"/>
      <c r="AJ190" s="92"/>
      <c r="AK190" s="92"/>
      <c r="AL190" s="92"/>
      <c r="AM190" s="92"/>
      <c r="AN190" s="92"/>
      <c r="AO190" s="92"/>
      <c r="AP190" s="92"/>
      <c r="AQ190" s="92"/>
    </row>
    <row r="191" spans="1:43" ht="16.5" x14ac:dyDescent="0.25">
      <c r="A191" s="22"/>
      <c r="B191" s="379"/>
      <c r="C191" s="379"/>
      <c r="D191" s="379"/>
      <c r="E191" s="379"/>
      <c r="F191" s="22"/>
      <c r="G191" s="22"/>
      <c r="H191" s="22"/>
      <c r="I191" s="22"/>
      <c r="J191" s="22"/>
      <c r="K191" s="22"/>
      <c r="L191" s="22"/>
      <c r="M191" s="91"/>
      <c r="N191" s="91"/>
      <c r="O191" s="91"/>
      <c r="P191" s="91"/>
      <c r="Q191" s="91"/>
      <c r="R191" s="91"/>
      <c r="S191" s="92"/>
      <c r="T191" s="92"/>
      <c r="U191" s="92"/>
      <c r="V191" s="94"/>
      <c r="W191" s="95"/>
      <c r="X191" s="95"/>
      <c r="Y191" s="96"/>
      <c r="Z191" s="96"/>
      <c r="AA191" s="96"/>
      <c r="AB191" s="96"/>
      <c r="AC191" s="96"/>
      <c r="AD191" s="96"/>
      <c r="AE191" s="96"/>
      <c r="AF191" s="92"/>
      <c r="AG191" s="97"/>
      <c r="AH191" s="92"/>
      <c r="AI191" s="92"/>
      <c r="AJ191" s="92"/>
      <c r="AK191" s="92"/>
      <c r="AL191" s="92"/>
      <c r="AM191" s="92"/>
      <c r="AN191" s="92"/>
      <c r="AO191" s="92"/>
      <c r="AP191" s="92"/>
      <c r="AQ191" s="92"/>
    </row>
    <row r="192" spans="1:43" ht="16.5" x14ac:dyDescent="0.25">
      <c r="A192" s="22"/>
      <c r="B192" s="379"/>
      <c r="C192" s="379"/>
      <c r="D192" s="379"/>
      <c r="E192" s="379"/>
      <c r="F192" s="22"/>
      <c r="G192" s="22"/>
      <c r="H192" s="22"/>
      <c r="I192" s="22"/>
      <c r="J192" s="22"/>
      <c r="K192" s="22"/>
      <c r="L192" s="22"/>
      <c r="M192" s="91"/>
      <c r="N192" s="91"/>
      <c r="O192" s="91"/>
      <c r="P192" s="91"/>
      <c r="Q192" s="91"/>
      <c r="R192" s="91"/>
      <c r="S192" s="92"/>
      <c r="T192" s="92"/>
      <c r="U192" s="92"/>
      <c r="V192" s="94"/>
      <c r="W192" s="95"/>
      <c r="X192" s="96"/>
      <c r="Y192" s="96"/>
      <c r="Z192" s="96"/>
      <c r="AA192" s="96"/>
      <c r="AB192" s="96"/>
      <c r="AC192" s="96"/>
      <c r="AD192" s="96"/>
      <c r="AE192" s="96"/>
      <c r="AF192" s="92"/>
      <c r="AG192" s="97"/>
      <c r="AH192" s="92"/>
      <c r="AI192" s="92"/>
      <c r="AJ192" s="92"/>
      <c r="AK192" s="92"/>
      <c r="AL192" s="92"/>
      <c r="AM192" s="92"/>
      <c r="AN192" s="92"/>
      <c r="AO192" s="92"/>
      <c r="AP192" s="92"/>
      <c r="AQ192" s="92"/>
    </row>
    <row r="193" spans="1:43" ht="16.5" x14ac:dyDescent="0.25">
      <c r="A193" s="22"/>
      <c r="B193" s="379"/>
      <c r="C193" s="379"/>
      <c r="D193" s="379"/>
      <c r="E193" s="379"/>
      <c r="F193" s="22"/>
      <c r="G193" s="22"/>
      <c r="H193" s="22"/>
      <c r="I193" s="22"/>
      <c r="J193" s="22"/>
      <c r="K193" s="22"/>
      <c r="L193" s="22"/>
      <c r="M193" s="91"/>
      <c r="N193" s="91"/>
      <c r="O193" s="91"/>
      <c r="P193" s="91"/>
      <c r="Q193" s="91"/>
      <c r="R193" s="91"/>
      <c r="S193" s="92"/>
      <c r="T193" s="92"/>
      <c r="U193" s="92"/>
      <c r="V193" s="94"/>
      <c r="W193" s="95"/>
      <c r="X193" s="96"/>
      <c r="Y193" s="96"/>
      <c r="Z193" s="96"/>
      <c r="AA193" s="96"/>
      <c r="AB193" s="96"/>
      <c r="AC193" s="96"/>
      <c r="AD193" s="96"/>
      <c r="AE193" s="96"/>
      <c r="AF193" s="92"/>
      <c r="AG193" s="97"/>
      <c r="AH193" s="92"/>
      <c r="AI193" s="92"/>
      <c r="AJ193" s="92"/>
      <c r="AK193" s="92"/>
      <c r="AL193" s="92"/>
      <c r="AM193" s="92"/>
      <c r="AN193" s="92"/>
      <c r="AO193" s="92"/>
      <c r="AP193" s="92"/>
      <c r="AQ193" s="92"/>
    </row>
    <row r="194" spans="1:43" x14ac:dyDescent="0.25">
      <c r="A194" s="22"/>
      <c r="B194" s="379"/>
      <c r="C194" s="379"/>
      <c r="D194" s="379"/>
      <c r="E194" s="379"/>
      <c r="F194" s="22"/>
      <c r="G194" s="22"/>
      <c r="H194" s="22"/>
      <c r="I194" s="22"/>
      <c r="J194" s="22"/>
      <c r="K194" s="22"/>
      <c r="L194" s="22"/>
      <c r="M194" s="91"/>
      <c r="N194" s="91"/>
      <c r="O194" s="91"/>
      <c r="P194" s="91"/>
      <c r="Q194" s="91"/>
      <c r="R194" s="91"/>
      <c r="S194" s="92"/>
      <c r="T194" s="92"/>
      <c r="U194" s="92"/>
      <c r="V194" s="92"/>
      <c r="W194" s="92"/>
      <c r="X194" s="92"/>
      <c r="Y194" s="92"/>
      <c r="Z194" s="92"/>
      <c r="AA194" s="92"/>
      <c r="AB194" s="92"/>
      <c r="AC194" s="92"/>
      <c r="AD194" s="92"/>
      <c r="AE194" s="92"/>
      <c r="AF194" s="92"/>
      <c r="AG194" s="92"/>
      <c r="AH194" s="92"/>
      <c r="AI194" s="92"/>
      <c r="AJ194" s="92"/>
      <c r="AK194" s="92"/>
      <c r="AL194" s="92"/>
      <c r="AM194" s="92"/>
      <c r="AN194" s="92"/>
      <c r="AO194" s="92"/>
      <c r="AP194" s="92"/>
      <c r="AQ194" s="92"/>
    </row>
    <row r="195" spans="1:43" x14ac:dyDescent="0.25">
      <c r="A195" s="22"/>
      <c r="B195" s="379"/>
      <c r="C195" s="379"/>
      <c r="D195" s="379"/>
      <c r="E195" s="379"/>
      <c r="F195" s="22"/>
      <c r="G195" s="22"/>
      <c r="H195" s="22"/>
      <c r="I195" s="22"/>
      <c r="J195" s="22"/>
      <c r="K195" s="22"/>
      <c r="L195" s="22"/>
      <c r="M195" s="91"/>
      <c r="N195" s="91"/>
      <c r="O195" s="91"/>
      <c r="P195" s="91"/>
      <c r="Q195" s="91"/>
      <c r="R195" s="91"/>
      <c r="S195" s="92"/>
      <c r="T195" s="92"/>
      <c r="U195" s="92"/>
      <c r="V195" s="92"/>
      <c r="W195" s="92"/>
      <c r="X195" s="92"/>
      <c r="Y195" s="92"/>
      <c r="Z195" s="92"/>
      <c r="AA195" s="92"/>
      <c r="AB195" s="92"/>
      <c r="AC195" s="92"/>
      <c r="AD195" s="92"/>
      <c r="AE195" s="92"/>
      <c r="AF195" s="92"/>
      <c r="AG195" s="92"/>
      <c r="AH195" s="92"/>
      <c r="AI195" s="92"/>
      <c r="AJ195" s="92"/>
      <c r="AK195" s="92"/>
      <c r="AL195" s="92"/>
      <c r="AM195" s="92"/>
      <c r="AN195" s="92"/>
      <c r="AO195" s="92"/>
      <c r="AP195" s="92"/>
      <c r="AQ195" s="92"/>
    </row>
    <row r="196" spans="1:43" x14ac:dyDescent="0.25">
      <c r="A196" s="22"/>
      <c r="B196" s="379"/>
      <c r="C196" s="379"/>
      <c r="D196" s="379"/>
      <c r="E196" s="379"/>
      <c r="F196" s="22"/>
      <c r="G196" s="22"/>
      <c r="H196" s="22"/>
      <c r="I196" s="22"/>
      <c r="J196" s="22"/>
      <c r="K196" s="22"/>
      <c r="L196" s="22"/>
      <c r="M196" s="22"/>
      <c r="N196" s="22"/>
      <c r="O196" s="22"/>
      <c r="P196" s="22"/>
      <c r="Q196" s="22"/>
      <c r="R196" s="22"/>
    </row>
    <row r="197" spans="1:43" x14ac:dyDescent="0.25">
      <c r="A197" s="22"/>
      <c r="B197" s="379"/>
      <c r="C197" s="379"/>
      <c r="D197" s="379"/>
      <c r="E197" s="379"/>
      <c r="F197" s="22"/>
      <c r="G197" s="22"/>
      <c r="H197" s="22"/>
      <c r="I197" s="22"/>
      <c r="J197" s="22"/>
      <c r="K197" s="22"/>
      <c r="L197" s="22"/>
      <c r="M197" s="22"/>
      <c r="N197" s="22"/>
      <c r="O197" s="22"/>
      <c r="P197" s="22"/>
      <c r="Q197" s="22"/>
      <c r="R197" s="22"/>
    </row>
    <row r="198" spans="1:43" x14ac:dyDescent="0.25">
      <c r="A198" s="22"/>
      <c r="B198" s="379"/>
      <c r="C198" s="379"/>
      <c r="D198" s="379"/>
      <c r="E198" s="379"/>
      <c r="F198" s="22"/>
      <c r="G198" s="22"/>
      <c r="H198" s="22"/>
      <c r="I198" s="22"/>
      <c r="J198" s="22"/>
      <c r="K198" s="22"/>
      <c r="L198" s="22"/>
      <c r="M198" s="22"/>
      <c r="N198" s="22"/>
      <c r="O198" s="22"/>
      <c r="P198" s="22"/>
      <c r="Q198" s="22"/>
      <c r="R198" s="22"/>
    </row>
    <row r="199" spans="1:43" x14ac:dyDescent="0.25">
      <c r="A199" s="22"/>
      <c r="B199" s="379"/>
      <c r="C199" s="379"/>
      <c r="D199" s="379"/>
      <c r="E199" s="379"/>
      <c r="F199" s="22"/>
      <c r="G199" s="22"/>
      <c r="H199" s="22"/>
      <c r="I199" s="22"/>
      <c r="J199" s="22"/>
      <c r="K199" s="22"/>
      <c r="L199" s="22"/>
      <c r="M199" s="22"/>
      <c r="N199" s="22"/>
      <c r="O199" s="22"/>
      <c r="P199" s="22"/>
      <c r="Q199" s="22"/>
      <c r="R199" s="22"/>
    </row>
    <row r="200" spans="1:43" x14ac:dyDescent="0.25">
      <c r="A200" s="22"/>
      <c r="B200" s="379"/>
      <c r="C200" s="379"/>
      <c r="D200" s="379"/>
      <c r="E200" s="379"/>
      <c r="F200" s="22"/>
      <c r="G200" s="22"/>
      <c r="H200" s="22"/>
      <c r="I200" s="22"/>
      <c r="J200" s="22"/>
      <c r="K200" s="22"/>
      <c r="L200" s="22"/>
      <c r="M200" s="22"/>
      <c r="N200" s="22"/>
      <c r="O200" s="22"/>
      <c r="P200" s="22"/>
      <c r="Q200" s="22"/>
      <c r="R200" s="22"/>
    </row>
  </sheetData>
  <sheetProtection formatCells="0" formatColumns="0" formatRows="0"/>
  <mergeCells count="41">
    <mergeCell ref="W99:X99"/>
    <mergeCell ref="Y99:Z99"/>
    <mergeCell ref="W106:AB106"/>
    <mergeCell ref="W122:Y122"/>
    <mergeCell ref="V135:W135"/>
    <mergeCell ref="X135:Y135"/>
    <mergeCell ref="Z135:AJ135"/>
    <mergeCell ref="W96:X96"/>
    <mergeCell ref="Y96:Z96"/>
    <mergeCell ref="W97:X97"/>
    <mergeCell ref="Y97:Z97"/>
    <mergeCell ref="W98:X98"/>
    <mergeCell ref="Y98:Z98"/>
    <mergeCell ref="W93:X93"/>
    <mergeCell ref="Y93:Z93"/>
    <mergeCell ref="W94:X94"/>
    <mergeCell ref="Y94:Z94"/>
    <mergeCell ref="W95:X95"/>
    <mergeCell ref="Y95:Z95"/>
    <mergeCell ref="Q19:R19"/>
    <mergeCell ref="V24:AC24"/>
    <mergeCell ref="AD24:AJ24"/>
    <mergeCell ref="W25:AB25"/>
    <mergeCell ref="W37:AC37"/>
    <mergeCell ref="AG37:AI37"/>
    <mergeCell ref="W155:AB155"/>
    <mergeCell ref="W51:AB51"/>
    <mergeCell ref="AG51:AI51"/>
    <mergeCell ref="V184:W184"/>
    <mergeCell ref="X184:Y184"/>
    <mergeCell ref="Z184:AJ184"/>
    <mergeCell ref="W171:Y171"/>
    <mergeCell ref="W65:Y65"/>
    <mergeCell ref="W78:AE78"/>
    <mergeCell ref="V90:W90"/>
    <mergeCell ref="X90:Y90"/>
    <mergeCell ref="Z90:AJ90"/>
    <mergeCell ref="W91:X91"/>
    <mergeCell ref="Y91:Z91"/>
    <mergeCell ref="W92:X92"/>
    <mergeCell ref="Y92:Z92"/>
  </mergeCells>
  <phoneticPr fontId="30" type="noConversion"/>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O31"/>
  <sheetViews>
    <sheetView zoomScale="130" zoomScaleNormal="130" workbookViewId="0">
      <selection activeCell="E12" sqref="E12"/>
    </sheetView>
  </sheetViews>
  <sheetFormatPr defaultColWidth="8.7109375" defaultRowHeight="15" x14ac:dyDescent="0.25"/>
  <cols>
    <col min="1" max="1" width="33" style="1" bestFit="1" customWidth="1"/>
    <col min="2" max="2" width="14" style="1" bestFit="1" customWidth="1"/>
    <col min="3" max="3" width="18.42578125" style="1" bestFit="1" customWidth="1"/>
    <col min="4" max="4" width="14.7109375" style="1" bestFit="1" customWidth="1"/>
    <col min="5" max="5" width="24.140625" style="1" bestFit="1" customWidth="1"/>
    <col min="6" max="6" width="34.85546875" style="1" customWidth="1"/>
    <col min="7" max="7" width="4" style="1" customWidth="1"/>
    <col min="8" max="13" width="4.28515625" style="1" customWidth="1"/>
    <col min="14" max="16384" width="8.7109375" style="1"/>
  </cols>
  <sheetData>
    <row r="1" spans="1:15" ht="15" customHeight="1" thickBot="1" x14ac:dyDescent="0.3">
      <c r="A1" s="117" t="s">
        <v>583</v>
      </c>
      <c r="B1" s="118" t="s">
        <v>584</v>
      </c>
      <c r="C1" s="119" t="s">
        <v>585</v>
      </c>
      <c r="E1" s="2"/>
      <c r="F1" s="2"/>
      <c r="G1" s="2"/>
      <c r="H1" s="2"/>
      <c r="I1" s="2"/>
    </row>
    <row r="2" spans="1:15" ht="15" customHeight="1" x14ac:dyDescent="0.25">
      <c r="A2" s="357" t="s">
        <v>12</v>
      </c>
      <c r="B2" s="358" t="s">
        <v>586</v>
      </c>
      <c r="C2" s="359" t="s">
        <v>587</v>
      </c>
      <c r="D2" s="369" t="s">
        <v>588</v>
      </c>
      <c r="E2" s="245"/>
      <c r="F2" s="245"/>
      <c r="G2" s="2"/>
      <c r="H2" s="2"/>
      <c r="I2" s="2"/>
      <c r="J2" s="2"/>
      <c r="K2" s="2"/>
      <c r="L2" s="2"/>
      <c r="M2" s="2"/>
      <c r="N2" s="2"/>
      <c r="O2" s="2"/>
    </row>
    <row r="3" spans="1:15" ht="15" customHeight="1" x14ac:dyDescent="0.25">
      <c r="A3" s="360" t="s">
        <v>13</v>
      </c>
      <c r="B3" s="361" t="s">
        <v>589</v>
      </c>
      <c r="C3" s="362" t="s">
        <v>587</v>
      </c>
      <c r="D3" s="116" t="s">
        <v>590</v>
      </c>
      <c r="E3" s="245"/>
      <c r="F3" s="245"/>
      <c r="G3" s="2"/>
      <c r="H3" s="2"/>
      <c r="I3" s="2"/>
      <c r="J3" s="2"/>
      <c r="K3" s="2"/>
      <c r="L3" s="2"/>
      <c r="M3" s="2"/>
      <c r="N3" s="2"/>
      <c r="O3" s="2"/>
    </row>
    <row r="4" spans="1:15" ht="15" customHeight="1" x14ac:dyDescent="0.25">
      <c r="A4" s="360" t="s">
        <v>14</v>
      </c>
      <c r="B4" s="361" t="s">
        <v>591</v>
      </c>
      <c r="C4" s="362" t="s">
        <v>587</v>
      </c>
      <c r="D4" s="125" t="s">
        <v>592</v>
      </c>
      <c r="E4" s="245"/>
      <c r="F4" s="245"/>
      <c r="G4" s="2"/>
      <c r="H4" s="2"/>
      <c r="I4" s="2"/>
      <c r="J4" s="2"/>
      <c r="K4" s="2"/>
      <c r="L4" s="2"/>
      <c r="M4" s="2"/>
      <c r="N4" s="2"/>
      <c r="O4" s="2"/>
    </row>
    <row r="5" spans="1:15" ht="15" customHeight="1" x14ac:dyDescent="0.25">
      <c r="A5" s="360" t="s">
        <v>15</v>
      </c>
      <c r="B5" s="361" t="s">
        <v>593</v>
      </c>
      <c r="C5" s="362" t="s">
        <v>587</v>
      </c>
      <c r="D5" s="89"/>
      <c r="E5" s="245"/>
      <c r="F5" s="245"/>
      <c r="G5" s="2"/>
      <c r="H5" s="2"/>
      <c r="I5" s="2"/>
    </row>
    <row r="6" spans="1:15" ht="15" customHeight="1" x14ac:dyDescent="0.25">
      <c r="A6" s="360" t="s">
        <v>16</v>
      </c>
      <c r="B6" s="361" t="s">
        <v>594</v>
      </c>
      <c r="C6" s="362" t="s">
        <v>587</v>
      </c>
      <c r="D6" s="89"/>
      <c r="E6" s="245"/>
      <c r="F6" s="245"/>
      <c r="G6" s="2"/>
      <c r="H6" s="2"/>
      <c r="I6" s="2"/>
    </row>
    <row r="7" spans="1:15" ht="15" customHeight="1" x14ac:dyDescent="0.25">
      <c r="A7" s="360" t="s">
        <v>17</v>
      </c>
      <c r="B7" s="361" t="s">
        <v>595</v>
      </c>
      <c r="C7" s="362" t="s">
        <v>587</v>
      </c>
      <c r="D7" s="89"/>
      <c r="E7" s="245"/>
      <c r="F7" s="245"/>
      <c r="G7" s="2"/>
      <c r="H7" s="2"/>
      <c r="I7" s="2"/>
    </row>
    <row r="8" spans="1:15" ht="15" customHeight="1" x14ac:dyDescent="0.25">
      <c r="A8" s="360" t="s">
        <v>18</v>
      </c>
      <c r="B8" s="361" t="s">
        <v>596</v>
      </c>
      <c r="C8" s="362" t="s">
        <v>587</v>
      </c>
      <c r="D8" s="89"/>
      <c r="E8" s="245"/>
      <c r="F8" s="245"/>
      <c r="G8" s="2"/>
      <c r="H8" s="2"/>
      <c r="I8" s="2"/>
    </row>
    <row r="9" spans="1:15" ht="15" customHeight="1" x14ac:dyDescent="0.25">
      <c r="A9" s="360" t="s">
        <v>19</v>
      </c>
      <c r="B9" s="361" t="s">
        <v>597</v>
      </c>
      <c r="C9" s="362" t="s">
        <v>587</v>
      </c>
      <c r="D9" s="89"/>
      <c r="E9" s="245"/>
      <c r="F9" s="245"/>
      <c r="G9" s="2"/>
      <c r="H9" s="2"/>
      <c r="I9" s="2"/>
    </row>
    <row r="10" spans="1:15" ht="15" customHeight="1" x14ac:dyDescent="0.25">
      <c r="A10" s="360" t="s">
        <v>20</v>
      </c>
      <c r="B10" s="361" t="s">
        <v>598</v>
      </c>
      <c r="C10" s="362" t="s">
        <v>599</v>
      </c>
      <c r="D10" s="89"/>
      <c r="E10" s="245"/>
      <c r="F10" s="245"/>
      <c r="G10" s="2"/>
      <c r="H10" s="2"/>
      <c r="I10" s="2"/>
    </row>
    <row r="11" spans="1:15" ht="15" customHeight="1" x14ac:dyDescent="0.25">
      <c r="A11" s="360" t="s">
        <v>21</v>
      </c>
      <c r="B11" s="361" t="s">
        <v>600</v>
      </c>
      <c r="C11" s="362" t="s">
        <v>587</v>
      </c>
      <c r="D11" s="89"/>
      <c r="E11" s="245"/>
      <c r="F11" s="245"/>
      <c r="G11" s="2"/>
      <c r="H11" s="2"/>
      <c r="I11" s="2"/>
    </row>
    <row r="12" spans="1:15" ht="15" customHeight="1" x14ac:dyDescent="0.25">
      <c r="A12" s="360" t="s">
        <v>22</v>
      </c>
      <c r="B12" s="361" t="s">
        <v>601</v>
      </c>
      <c r="C12" s="362" t="s">
        <v>587</v>
      </c>
      <c r="D12" s="89"/>
      <c r="E12" s="245"/>
      <c r="F12" s="245"/>
      <c r="G12" s="2"/>
      <c r="H12" s="2"/>
      <c r="I12" s="2"/>
    </row>
    <row r="13" spans="1:15" ht="15" customHeight="1" x14ac:dyDescent="0.25">
      <c r="A13" s="360" t="s">
        <v>23</v>
      </c>
      <c r="B13" s="361" t="s">
        <v>602</v>
      </c>
      <c r="C13" s="362" t="s">
        <v>587</v>
      </c>
      <c r="D13" s="89"/>
      <c r="E13" s="245"/>
      <c r="F13" s="245"/>
      <c r="G13" s="2"/>
      <c r="H13" s="2"/>
      <c r="I13" s="2"/>
    </row>
    <row r="14" spans="1:15" ht="15" customHeight="1" x14ac:dyDescent="0.25">
      <c r="A14" s="360" t="s">
        <v>24</v>
      </c>
      <c r="B14" s="361" t="s">
        <v>603</v>
      </c>
      <c r="C14" s="362" t="s">
        <v>587</v>
      </c>
      <c r="D14" s="89"/>
      <c r="E14" s="245"/>
      <c r="F14" s="245"/>
      <c r="G14" s="2"/>
      <c r="H14" s="2"/>
      <c r="I14" s="2"/>
    </row>
    <row r="15" spans="1:15" ht="15" customHeight="1" x14ac:dyDescent="0.25">
      <c r="A15" s="360" t="s">
        <v>25</v>
      </c>
      <c r="B15" s="361" t="s">
        <v>604</v>
      </c>
      <c r="C15" s="362" t="s">
        <v>587</v>
      </c>
      <c r="D15" s="89"/>
      <c r="E15" s="245"/>
      <c r="F15" s="245"/>
      <c r="G15" s="2"/>
      <c r="H15" s="2"/>
      <c r="I15" s="2"/>
    </row>
    <row r="16" spans="1:15" ht="15" customHeight="1" x14ac:dyDescent="0.25">
      <c r="A16" s="360" t="s">
        <v>26</v>
      </c>
      <c r="B16" s="361" t="s">
        <v>605</v>
      </c>
      <c r="C16" s="362" t="s">
        <v>587</v>
      </c>
      <c r="D16" s="89"/>
      <c r="E16" s="245"/>
      <c r="F16" s="245"/>
      <c r="G16" s="2"/>
      <c r="H16" s="2"/>
      <c r="I16" s="2"/>
    </row>
    <row r="17" spans="1:9" ht="15" customHeight="1" x14ac:dyDescent="0.25">
      <c r="A17" s="360" t="s">
        <v>27</v>
      </c>
      <c r="B17" s="361" t="s">
        <v>606</v>
      </c>
      <c r="C17" s="362" t="s">
        <v>587</v>
      </c>
      <c r="D17" s="89"/>
      <c r="E17" s="245"/>
      <c r="F17" s="245"/>
      <c r="G17" s="2"/>
      <c r="H17" s="2"/>
      <c r="I17" s="2"/>
    </row>
    <row r="18" spans="1:9" ht="15" customHeight="1" x14ac:dyDescent="0.25">
      <c r="A18" s="360" t="s">
        <v>28</v>
      </c>
      <c r="B18" s="361" t="s">
        <v>607</v>
      </c>
      <c r="C18" s="362" t="s">
        <v>608</v>
      </c>
      <c r="D18" s="89"/>
      <c r="E18" s="245"/>
      <c r="F18" s="245"/>
      <c r="G18" s="2"/>
      <c r="H18" s="2"/>
      <c r="I18" s="2"/>
    </row>
    <row r="19" spans="1:9" ht="15" customHeight="1" thickBot="1" x14ac:dyDescent="0.3">
      <c r="A19" s="363" t="s">
        <v>29</v>
      </c>
      <c r="B19" s="364" t="s">
        <v>609</v>
      </c>
      <c r="C19" s="365" t="s">
        <v>587</v>
      </c>
      <c r="D19" s="89"/>
      <c r="E19" s="245"/>
      <c r="F19" s="245"/>
      <c r="G19" s="2"/>
      <c r="H19" s="2"/>
      <c r="I19" s="2"/>
    </row>
    <row r="20" spans="1:9" ht="15" customHeight="1" x14ac:dyDescent="0.25">
      <c r="A20" s="357" t="s">
        <v>610</v>
      </c>
      <c r="B20" s="358" t="s">
        <v>611</v>
      </c>
      <c r="C20" s="359" t="s">
        <v>612</v>
      </c>
      <c r="D20" s="89"/>
      <c r="E20" s="245"/>
      <c r="F20" s="245"/>
      <c r="G20" s="2"/>
      <c r="H20" s="2"/>
      <c r="I20" s="2"/>
    </row>
    <row r="21" spans="1:9" ht="15" customHeight="1" x14ac:dyDescent="0.25">
      <c r="A21" s="360" t="s">
        <v>613</v>
      </c>
      <c r="B21" s="361" t="s">
        <v>614</v>
      </c>
      <c r="C21" s="362" t="s">
        <v>612</v>
      </c>
      <c r="D21" s="89"/>
      <c r="E21" s="245"/>
      <c r="F21" s="245"/>
      <c r="G21" s="2"/>
      <c r="H21" s="2"/>
      <c r="I21" s="2"/>
    </row>
    <row r="22" spans="1:9" ht="15" customHeight="1" x14ac:dyDescent="0.25">
      <c r="A22" s="360" t="s">
        <v>615</v>
      </c>
      <c r="B22" s="361" t="s">
        <v>616</v>
      </c>
      <c r="C22" s="362" t="s">
        <v>612</v>
      </c>
      <c r="D22" s="89"/>
      <c r="E22" s="245"/>
      <c r="F22" s="245"/>
      <c r="G22" s="2"/>
      <c r="H22" s="2"/>
      <c r="I22" s="2"/>
    </row>
    <row r="23" spans="1:9" ht="15" customHeight="1" x14ac:dyDescent="0.25">
      <c r="A23" s="360" t="s">
        <v>617</v>
      </c>
      <c r="B23" s="361" t="s">
        <v>618</v>
      </c>
      <c r="C23" s="362" t="s">
        <v>612</v>
      </c>
      <c r="D23" s="89"/>
      <c r="E23" s="245"/>
      <c r="F23" s="245"/>
      <c r="G23" s="2"/>
      <c r="H23" s="2"/>
      <c r="I23" s="2"/>
    </row>
    <row r="24" spans="1:9" ht="15" customHeight="1" x14ac:dyDescent="0.25">
      <c r="A24" s="360" t="s">
        <v>619</v>
      </c>
      <c r="B24" s="361" t="s">
        <v>620</v>
      </c>
      <c r="C24" s="362" t="s">
        <v>612</v>
      </c>
      <c r="D24" s="89"/>
      <c r="E24" s="245"/>
      <c r="F24" s="245"/>
      <c r="G24" s="2"/>
      <c r="H24" s="2"/>
      <c r="I24" s="2"/>
    </row>
    <row r="25" spans="1:9" ht="15" customHeight="1" x14ac:dyDescent="0.25">
      <c r="A25" s="360" t="s">
        <v>621</v>
      </c>
      <c r="B25" s="361" t="s">
        <v>622</v>
      </c>
      <c r="C25" s="362" t="s">
        <v>612</v>
      </c>
      <c r="D25" s="89"/>
      <c r="E25" s="245"/>
      <c r="F25" s="245"/>
      <c r="G25" s="2"/>
      <c r="H25" s="2"/>
      <c r="I25" s="2"/>
    </row>
    <row r="26" spans="1:9" ht="15" customHeight="1" x14ac:dyDescent="0.25">
      <c r="A26" s="360" t="s">
        <v>623</v>
      </c>
      <c r="B26" s="361" t="s">
        <v>624</v>
      </c>
      <c r="C26" s="362" t="s">
        <v>612</v>
      </c>
      <c r="D26" s="89"/>
      <c r="E26" s="245"/>
      <c r="F26" s="245"/>
      <c r="G26" s="2"/>
      <c r="H26" s="2"/>
      <c r="I26" s="2"/>
    </row>
    <row r="27" spans="1:9" ht="15" customHeight="1" x14ac:dyDescent="0.25">
      <c r="A27" s="360" t="s">
        <v>625</v>
      </c>
      <c r="B27" s="361" t="s">
        <v>626</v>
      </c>
      <c r="C27" s="362" t="s">
        <v>612</v>
      </c>
      <c r="D27" s="89"/>
      <c r="E27" s="245"/>
      <c r="F27" s="245"/>
      <c r="G27" s="2"/>
      <c r="H27" s="2"/>
      <c r="I27" s="2"/>
    </row>
    <row r="28" spans="1:9" ht="15" customHeight="1" x14ac:dyDescent="0.25">
      <c r="A28" s="360" t="s">
        <v>627</v>
      </c>
      <c r="B28" s="361" t="s">
        <v>628</v>
      </c>
      <c r="C28" s="362" t="s">
        <v>612</v>
      </c>
      <c r="D28" s="89"/>
      <c r="E28" s="104"/>
      <c r="F28" s="2"/>
      <c r="G28" s="2"/>
      <c r="H28" s="2"/>
      <c r="I28" s="2"/>
    </row>
    <row r="29" spans="1:9" ht="15.75" thickBot="1" x14ac:dyDescent="0.3">
      <c r="A29" s="366" t="s">
        <v>629</v>
      </c>
      <c r="B29" s="367" t="s">
        <v>630</v>
      </c>
      <c r="C29" s="368" t="s">
        <v>612</v>
      </c>
      <c r="E29" s="2"/>
      <c r="F29" s="2"/>
      <c r="G29" s="2"/>
      <c r="H29" s="2"/>
      <c r="I29" s="2"/>
    </row>
    <row r="30" spans="1:9" x14ac:dyDescent="0.25">
      <c r="E30" s="2"/>
      <c r="F30" s="2"/>
      <c r="G30" s="2"/>
      <c r="H30" s="2"/>
      <c r="I30" s="2"/>
    </row>
    <row r="31" spans="1:9" x14ac:dyDescent="0.25">
      <c r="E31" s="2"/>
      <c r="F31" s="2"/>
      <c r="G31" s="2"/>
      <c r="H31" s="2"/>
      <c r="I31" s="2"/>
    </row>
  </sheetData>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SharedContentType xmlns="Microsoft.SharePoint.Taxonomy.ContentTypeSync" SourceId="5b1fb846-ff85-4723-b87b-b69af164f23a" ContentTypeId="0x0101" PreviousValue="false"/>
</file>

<file path=customXml/item2.xml><?xml version="1.0" encoding="utf-8"?>
<ct:contentTypeSchema xmlns:ct="http://schemas.microsoft.com/office/2006/metadata/contentType" xmlns:ma="http://schemas.microsoft.com/office/2006/metadata/properties/metaAttributes" ct:_="" ma:_="" ma:contentTypeName="Document" ma:contentTypeID="0x010100B81A6526431F7443B7F039B202443D26" ma:contentTypeVersion="1" ma:contentTypeDescription="Create a new document." ma:contentTypeScope="" ma:versionID="7508324d585a2baba2966fb25f14014c">
  <xsd:schema xmlns:xsd="http://www.w3.org/2001/XMLSchema" xmlns:xs="http://www.w3.org/2001/XMLSchema" xmlns:p="http://schemas.microsoft.com/office/2006/metadata/properties" targetNamespace="http://schemas.microsoft.com/office/2006/metadata/properties" ma:root="true" ma:fieldsID="1b05d82d297216baf5b26c55225140df">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00D12539-AC45-42D0-A4C5-30A1CD10C2BA}">
  <ds:schemaRefs>
    <ds:schemaRef ds:uri="Microsoft.SharePoint.Taxonomy.ContentTypeSync"/>
  </ds:schemaRefs>
</ds:datastoreItem>
</file>

<file path=customXml/itemProps2.xml><?xml version="1.0" encoding="utf-8"?>
<ds:datastoreItem xmlns:ds="http://schemas.openxmlformats.org/officeDocument/2006/customXml" ds:itemID="{A77B0F2D-C25C-45D8-B5AC-9EA1A200555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openxmlformats.org/package/2006/metadata/core-properties"/>
    <ds:schemaRef ds:uri="http://purl.org/dc/elements/1.1/"/>
    <ds:schemaRef ds:uri="http://purl.org/dc/terms/"/>
    <ds:schemaRef ds:uri="http://schemas.microsoft.com/internal/obd"/>
    <ds:schemaRef ds:uri="http://schemas.microsoft.com/office/infopath/2007/PartnerControls"/>
  </ds:schemaRefs>
</ds:datastoreItem>
</file>

<file path=customXml/itemProps3.xml><?xml version="1.0" encoding="utf-8"?>
<ds:datastoreItem xmlns:ds="http://schemas.openxmlformats.org/officeDocument/2006/customXml" ds:itemID="{5FB7671C-2167-4A69-B63B-CCBCDAFBEC71}">
  <ds:schemaRefs>
    <ds:schemaRef ds:uri="http://schemas.microsoft.com/sharepoint/v3/contenttype/forms"/>
  </ds:schemaRefs>
</ds:datastoreItem>
</file>

<file path=customXml/itemProps4.xml><?xml version="1.0" encoding="utf-8"?>
<ds:datastoreItem xmlns:ds="http://schemas.openxmlformats.org/officeDocument/2006/customXml" ds:itemID="{BDFCB237-3ECE-4C1B-9C2C-F719443B318C}">
  <ds:schemaRefs>
    <ds:schemaRef ds:uri="http://purl.org/dc/terms/"/>
    <ds:schemaRef ds:uri="http://schemas.openxmlformats.org/package/2006/metadata/core-properties"/>
    <ds:schemaRef ds:uri="http://schemas.microsoft.com/office/2006/metadata/properties"/>
    <ds:schemaRef ds:uri="http://purl.org/dc/dcmitype/"/>
    <ds:schemaRef ds:uri="http://schemas.microsoft.com/office/infopath/2007/PartnerControls"/>
    <ds:schemaRef ds:uri="http://schemas.microsoft.com/office/2006/documentManagement/types"/>
    <ds:schemaRef ds:uri="http://www.w3.org/XML/1998/namespace"/>
    <ds:schemaRef ds:uri="http://purl.org/dc/elements/1.1/"/>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Configuration</vt:lpstr>
      <vt:lpstr>Loop Information</vt:lpstr>
      <vt:lpstr>Safety Mechanism Timing</vt:lpstr>
      <vt:lpstr>LatentFaults</vt:lpstr>
      <vt:lpstr>CMD Timing and Current</vt:lpstr>
      <vt:lpstr>SPF IDs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Mark Reisiger</dc:creator>
  <cp:keywords/>
  <dc:description/>
  <cp:lastModifiedBy>Roland Larocque</cp:lastModifiedBy>
  <cp:lastPrinted>2022-05-31T13:39:47Z</cp:lastPrinted>
  <dcterms:created xsi:type="dcterms:W3CDTF">2017-10-19T15:34:30Z</dcterms:created>
  <dcterms:modified xsi:type="dcterms:W3CDTF">2022-05-31T13:52:53Z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0x010100B81A6526431F7443B7F039B202443D26</vt:lpwstr>
  </property>
</Properties>
</file>